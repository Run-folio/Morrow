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73a18707ecc4ea0" /></Relationships>
</file>

<file path=xl/workbook.xml><?xml version="1.0" encoding="utf-8"?>
<x:workbook xmlns:x="http://schemas.openxmlformats.org/spreadsheetml/2006/main">
  <x:sheets>
    <x:sheet xmlns:r="http://schemas.openxmlformats.org/officeDocument/2006/relationships" name="Instructions" sheetId="1" r:id="Re93efaa7a87b4ac5"/>
    <x:sheet xmlns:r="http://schemas.openxmlformats.org/officeDocument/2006/relationships" name="Page Scope" sheetId="2" r:id="R969c282bd8cd4b44"/>
    <x:sheet xmlns:r="http://schemas.openxmlformats.org/officeDocument/2006/relationships" name="Copy Inventory" sheetId="3" r:id="R1243e5d87f7a4f4d"/>
    <x:sheet xmlns:r="http://schemas.openxmlformats.org/officeDocument/2006/relationships" name="Summary" sheetId="4" r:id="R8005b76aae3c487a"/>
    <x:sheet xmlns:r="http://schemas.openxmlformats.org/officeDocument/2006/relationships" name="Review Queue" sheetId="5" r:id="R356c780013ac406f"/>
    <x:sheet xmlns:r="http://schemas.openxmlformats.org/officeDocument/2006/relationships" name="Review Groups" sheetId="6" r:id="Rf23685c6098b4b9b"/>
    <x:sheet xmlns:r="http://schemas.openxmlformats.org/officeDocument/2006/relationships" name="Terminology" sheetId="7" r:id="R0c1079ed4b094dac"/>
    <x:sheet xmlns:r="http://schemas.openxmlformats.org/officeDocument/2006/relationships" name="Context Review" sheetId="8" r:id="R0f56943a6e264d1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5">
    <x:font>
      <x:sz val="11"/>
      <x:name val="Carlito"/>
    </x:font>
    <x:font>
      <x:b/>
      <x:sz val="18"/>
      <x:color rgb="FFFFFFFF"/>
      <x:name val="Carlito"/>
    </x:font>
    <x:font>
      <x:i/>
      <x:sz val="11"/>
      <x:color rgb="FF1F2937"/>
      <x:name val="Carlito"/>
    </x:font>
    <x:font>
      <x:b/>
      <x:sz val="11"/>
      <x:color rgb="FFFFFFFF"/>
      <x:name val="Carlito"/>
    </x:font>
    <x:font>
      <x:sz val="11"/>
      <x:color rgb="FF1F2937"/>
      <x:name val="Carlito"/>
    </x:font>
    <x:font>
      <x:b/>
      <x:sz val="11"/>
      <x:color rgb="FF7C3AED"/>
      <x:name val="Carlito"/>
    </x:font>
    <x:font>
      <x:sz val="10"/>
      <x:name val="Carlito"/>
    </x:font>
    <x:font>
      <x:b/>
      <x:sz val="11"/>
      <x:color rgb="FF4F46E5"/>
      <x:name val="Carlito"/>
    </x:font>
    <x:font>
      <x:b/>
      <x:sz val="16"/>
      <x:color rgb="FFFFFFFF"/>
      <x:name val="Carlito"/>
    </x:font>
    <x:font>
      <x:i/>
      <x:sz val="10"/>
      <x:color rgb="FF3730A3"/>
      <x:name val="Carlito"/>
    </x:font>
    <x:font>
      <x:b/>
      <x:sz val="11"/>
      <x:color rgb="FF1F2937"/>
      <x:name val="Carlito"/>
    </x:font>
    <x:font>
      <x:i/>
      <x:sz val="10"/>
      <x:color rgb="FF9A3412"/>
      <x:name val="Carlito"/>
    </x:font>
    <x:font>
      <x:b/>
      <x:sz val="10"/>
      <x:color rgb="FFFFFFFF"/>
      <x:name val="Carlito"/>
    </x:font>
    <x:font>
      <x:i/>
      <x:sz val="10"/>
      <x:color rgb="FF166534"/>
      <x:name val="Carlito"/>
    </x:font>
    <x:font>
      <x:i/>
      <x:sz val="10"/>
      <x:color rgb="FF475569"/>
      <x:name val="Carlito"/>
    </x:font>
  </x:fonts>
  <x:fills count="18">
    <x:fill>
      <x:patternFill patternType="none"/>
    </x:fill>
    <x:fill>
      <x:patternFill patternType="gray125"/>
    </x:fill>
    <x:fill>
      <x:patternFill patternType="solid">
        <x:fgColor rgb="FF4F46E5"/>
      </x:patternFill>
    </x:fill>
    <x:fill>
      <x:patternFill patternType="solid">
        <x:fgColor rgb="FFF5F3FF"/>
      </x:patternFill>
    </x:fill>
    <x:fill>
      <x:patternFill patternType="solid">
        <x:fgColor rgb="FF7C3AED"/>
      </x:patternFill>
    </x:fill>
    <x:fill>
      <x:patternFill patternType="solid">
        <x:fgColor rgb="FFEC4899"/>
      </x:patternFill>
    </x:fill>
    <x:fill>
      <x:patternFill patternType="solid">
        <x:fgColor rgb="FFFDF2F8"/>
      </x:patternFill>
    </x:fill>
    <x:fill>
      <x:patternFill patternType="solid">
        <x:fgColor rgb="FF4F46E5"/>
      </x:patternFill>
    </x:fill>
    <x:fill>
      <x:patternFill patternType="solid">
        <x:fgColor rgb="FFFFF7ED"/>
      </x:patternFill>
    </x:fill>
    <x:fill>
      <x:patternFill patternType="solid">
        <x:fgColor rgb="FFF0FDF4"/>
      </x:patternFill>
    </x:fill>
    <x:fill>
      <x:patternFill patternType="solid">
        <x:fgColor rgb="FFFEF2F2"/>
      </x:patternFill>
    </x:fill>
    <x:fill>
      <x:patternFill patternType="solid">
        <x:fgColor rgb="FF312E81"/>
      </x:patternFill>
    </x:fill>
    <x:fill>
      <x:patternFill patternType="solid">
        <x:fgColor rgb="FFEEF2FF"/>
      </x:patternFill>
    </x:fill>
    <x:fill>
      <x:patternFill patternType="solid">
        <x:fgColor rgb="FFF8FAFC"/>
      </x:patternFill>
    </x:fill>
    <x:fill>
      <x:patternFill patternType="solid">
        <x:fgColor rgb="FFFFF7ED"/>
      </x:patternFill>
    </x:fill>
    <x:fill>
      <x:patternFill patternType="solid">
        <x:fgColor rgb="FF4F46E5"/>
      </x:patternFill>
    </x:fill>
    <x:fill>
      <x:patternFill patternType="solid">
        <x:fgColor rgb="FFF1F5F9"/>
      </x:patternFill>
    </x:fill>
    <x:fill>
      <x:patternFill patternType="solid">
        <x:fgColor rgb="FFECFDF5"/>
      </x:patternFill>
    </x:fill>
  </x:fills>
  <x:borders count="14">
    <x:border/>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C7D2FE"/>
      </x:left>
      <x:top style="thin">
        <x:color rgb="FFC7D2FE"/>
      </x:top>
      <x:bottom style="thin">
        <x:color rgb="FFC7D2FE"/>
      </x:bottom>
    </x:border>
    <x:border>
      <x:top style="thin">
        <x:color rgb="FFC7D2FE"/>
      </x:top>
      <x:bottom style="thin">
        <x:color rgb="FFC7D2FE"/>
      </x:bottom>
    </x:border>
    <x:border>
      <x:right style="thin">
        <x:color rgb="FFC7D2FE"/>
      </x:right>
      <x:top style="thin">
        <x:color rgb="FFC7D2FE"/>
      </x:top>
      <x:bottom style="thin">
        <x:color rgb="FFC7D2FE"/>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1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4"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0" fillId="0" borderId="0" xfId="0" applyNumberFormat="1" applyFont="1" applyFill="1" applyBorder="1" applyAlignment="1">
      <x:alignment horizontal="center" wrapText="1"/>
    </x:xf>
    <x:xf numFmtId="0" fontId="3" fillId="4" borderId="1"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3" fillId="5" borderId="0" xfId="0" applyNumberFormat="1" applyFont="1" applyFill="1" applyBorder="1"/>
    <x:xf numFmtId="0" fontId="0" fillId="5" borderId="1" xfId="0" applyNumberFormat="1" applyFont="1" applyFill="1" applyBorder="1"/>
    <x:xf numFmtId="0" fontId="3" fillId="5" borderId="1"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top" wrapText="1"/>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4" fillId="6" borderId="1" xfId="0" applyNumberFormat="1" applyFont="1" applyFill="1" applyBorder="1" applyAlignment="1">
      <x:alignment vertical="top" wrapText="1"/>
    </x:xf>
    <x:xf numFmtId="0" fontId="3" fillId="2" borderId="0" xfId="0" applyNumberFormat="1" applyFont="1" applyFill="1" applyBorder="1"/>
    <x:xf numFmtId="0" fontId="3" fillId="2" borderId="1" xfId="0" applyNumberFormat="1" applyFont="1" applyFill="1" applyBorder="1"/>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5" fillId="3" borderId="1" xfId="0" applyNumberFormat="1" applyFont="1" applyFill="1" applyBorder="1" applyAlignment="1">
      <x:alignment wrapText="1"/>
    </x:xf>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3" fillId="5" borderId="0" xfId="0" applyNumberFormat="1" applyFont="1" applyFill="1" applyBorder="1" applyAlignment="1">
      <x:alignment wrapText="1"/>
    </x:xf>
    <x:xf numFmtId="200" fontId="0" fillId="0" borderId="0" xfId="0" applyNumberFormat="1" applyFont="1" applyFill="1" applyBorder="1" applyAlignment="1">
      <x:alignment wrapText="1"/>
    </x:xf>
    <x:xf numFmtId="0" fontId="3" fillId="5" borderId="1" xfId="0" applyNumberFormat="1" applyFont="1" applyFill="1" applyBorder="1" applyAlignment="1">
      <x:alignment wrapText="1"/>
    </x:xf>
    <x:xf numFmtId="200" fontId="0" fillId="0" borderId="1" xfId="0" applyNumberFormat="1" applyFont="1" applyFill="1" applyBorder="1" applyAlignment="1">
      <x:alignment wrapText="1"/>
    </x:xf>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top" wrapText="1"/>
    </x:xf>
    <x:xf numFmtId="0" fontId="3" fillId="2" xfId="0" applyNumberFormat="1" applyFont="1" applyFill="1" applyBorder="0" applyAlignment="1">
      <x:alignment horizontal="center" vertical="center" wrapText="1"/>
    </x:xf>
    <x:xf numFmtId="0" fontId="0" fillId="0" xfId="0" applyNumberFormat="1" applyFont="1" applyFill="1" applyBorder="0" applyAlignment="1">
      <x:alignment vertical="top" wrapText="1"/>
    </x:xf>
    <x:xf numFmtId="0" fontId="0" fillId="0" xfId="0" applyNumberFormat="1" applyFont="1" applyFill="1" applyBorder="0" applyAlignment="1">
      <x:alignment wrapText="1"/>
    </x:xf>
    <x:xf numFmtId="0" fontId="3" fillId="7" xfId="0" applyNumberFormat="1" applyFont="1" applyFill="1" applyBorder="0" applyAlignment="1">
      <x:alignment horizontal="center" vertical="center" wrapText="1"/>
    </x:xf>
    <x:xf numFmtId="0" fontId="6" fillId="0" xfId="0" applyNumberFormat="1" applyFont="1" applyFill="1" applyBorder="0" applyAlignment="1">
      <x:alignment vertical="top" wrapText="1"/>
    </x:xf>
    <x:xf numFmtId="0" fontId="6" fillId="0" xfId="0" applyNumberFormat="1" applyFont="1" applyFill="1" applyBorder="0" applyAlignment="1">
      <x:alignment wrapText="1"/>
    </x:xf>
    <x:xf numFmtId="0" fontId="6" fillId="8" xfId="0" applyNumberFormat="1" applyFont="1" applyFill="1" applyBorder="0" applyAlignment="1">
      <x:alignment vertical="top" wrapText="1"/>
    </x:xf>
    <x:xf numFmtId="0" fontId="6" fillId="9" xfId="0" applyNumberFormat="1" applyFont="1" applyFill="1" applyBorder="0" applyAlignment="1">
      <x:alignment vertical="top" wrapText="1"/>
    </x:xf>
    <x:xf numFmtId="0" fontId="6" fillId="10" xfId="0" applyNumberFormat="1" applyFont="1" applyFill="1" applyBorder="0" applyAlignment="1">
      <x:alignment vertical="top" wrapText="1"/>
    </x:xf>
    <x:xf numFmtId="0" fontId="0" fillId="9"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7" fillId="0" borderId="0" xfId="0" applyNumberFormat="1" applyFont="1" applyFill="1" applyBorder="1" applyAlignment="1">
      <x:alignment wrapText="1"/>
    </x:xf>
    <x:xf numFmtId="0" fontId="7" fillId="3" borderId="0" xfId="0" applyNumberFormat="1" applyFont="1" applyFill="1" applyBorder="1" applyAlignment="1">
      <x:alignment vertical="top" wrapText="1"/>
    </x:xf>
    <x:xf numFmtId="0" fontId="0" fillId="8" borderId="0" xfId="0" applyNumberFormat="1" applyFont="1" applyFill="1" applyBorder="1" applyAlignment="1">
      <x:alignment wrapText="1"/>
    </x:xf>
    <x:xf numFmtId="0" fontId="4" fillId="8" borderId="0" xfId="0" applyNumberFormat="1" applyFont="1" applyFill="1" applyBorder="1" applyAlignment="1">
      <x:alignment vertical="top" wrapText="1"/>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horizontal="left"/>
    </x:xf>
    <x:xf numFmtId="0" fontId="8" fillId="11" borderId="0" xfId="0" applyNumberFormat="1" applyFont="1" applyFill="1" applyBorder="1" applyAlignment="1">
      <x:alignment horizontal="left" vertical="center"/>
    </x:xf>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wrapText="1"/>
    </x:xf>
    <x:xf numFmtId="0" fontId="9" fillId="12" borderId="0" xfId="0" applyNumberFormat="1" applyFont="1" applyFill="1" applyBorder="1" applyAlignment="1">
      <x:alignment vertical="center" wrapText="1"/>
    </x:xf>
    <x:xf numFmtId="0" fontId="0" fillId="13" borderId="0" xfId="0" applyNumberFormat="1" applyFont="1" applyFill="1" applyBorder="1"/>
    <x:xf numFmtId="0" fontId="10" fillId="13" borderId="0" xfId="0" applyNumberFormat="1" applyFont="1" applyFill="1" applyBorder="1"/>
    <x:xf numFmtId="0" fontId="10" fillId="13" borderId="2" xfId="0" applyNumberFormat="1" applyFont="1" applyFill="1" applyBorder="1"/>
    <x:xf numFmtId="0" fontId="10" fillId="13" borderId="3" xfId="0" applyNumberFormat="1" applyFont="1" applyFill="1" applyBorder="1"/>
    <x:xf numFmtId="0" fontId="10" fillId="13" borderId="4" xfId="0" applyNumberFormat="1" applyFont="1" applyFill="1" applyBorder="1"/>
    <x:xf numFmtId="0" fontId="10" fillId="13" borderId="5" xfId="0" applyNumberFormat="1" applyFont="1" applyFill="1" applyBorder="1"/>
    <x:xf numFmtId="0" fontId="10" fillId="13" borderId="6" xfId="0" applyNumberFormat="1" applyFont="1" applyFill="1" applyBorder="1"/>
    <x:xf numFmtId="0" fontId="10" fillId="13" borderId="7" xfId="0" applyNumberFormat="1" applyFont="1" applyFill="1" applyBorder="1"/>
    <x:xf numFmtId="0" fontId="10" fillId="13" borderId="2" xfId="0" applyNumberFormat="1" applyFont="1" applyFill="1" applyBorder="1" applyAlignment="1">
      <x:alignment wrapText="1"/>
    </x:xf>
    <x:xf numFmtId="0" fontId="10" fillId="13" borderId="3" xfId="0" applyNumberFormat="1" applyFont="1" applyFill="1" applyBorder="1" applyAlignment="1">
      <x:alignment wrapText="1"/>
    </x:xf>
    <x:xf numFmtId="0" fontId="10" fillId="13" borderId="4" xfId="0" applyNumberFormat="1" applyFont="1" applyFill="1" applyBorder="1" applyAlignment="1">
      <x:alignment wrapText="1"/>
    </x:xf>
    <x:xf numFmtId="0" fontId="10" fillId="13" borderId="5" xfId="0" applyNumberFormat="1" applyFont="1" applyFill="1" applyBorder="1" applyAlignment="1">
      <x:alignment wrapText="1"/>
    </x:xf>
    <x:xf numFmtId="0" fontId="10" fillId="13" borderId="6" xfId="0" applyNumberFormat="1" applyFont="1" applyFill="1" applyBorder="1" applyAlignment="1">
      <x:alignment wrapText="1"/>
    </x:xf>
    <x:xf numFmtId="0" fontId="10" fillId="13" borderId="7" xfId="0" applyNumberFormat="1" applyFont="1" applyFill="1" applyBorder="1" applyAlignment="1">
      <x:alignment wrapText="1"/>
    </x:xf>
    <x:xf numFmtId="0" fontId="0" fillId="14" borderId="0" xfId="0" applyNumberFormat="1" applyFont="1" applyFill="1" applyBorder="1"/>
    <x:xf numFmtId="0" fontId="11" fillId="14" borderId="0" xfId="0" applyNumberFormat="1" applyFont="1" applyFill="1" applyBorder="1"/>
    <x:xf numFmtId="0" fontId="11" fillId="14" borderId="0" xfId="0" applyNumberFormat="1" applyFont="1" applyFill="1" applyBorder="1" applyAlignment="1">
      <x:alignment wrapText="1"/>
    </x:xf>
    <x:xf numFmtId="0" fontId="0" fillId="15" borderId="0" xfId="0" applyNumberFormat="1" applyFont="1" applyFill="1" applyBorder="1"/>
    <x:xf numFmtId="0" fontId="12" fillId="15" borderId="0" xfId="0" applyNumberFormat="1" applyFont="1" applyFill="1" applyBorder="1"/>
    <x:xf numFmtId="0" fontId="12" fillId="15" borderId="8" xfId="0" applyNumberFormat="1" applyFont="1" applyFill="1" applyBorder="1"/>
    <x:xf numFmtId="0" fontId="12" fillId="15" borderId="9" xfId="0" applyNumberFormat="1" applyFont="1" applyFill="1" applyBorder="1"/>
    <x:xf numFmtId="0" fontId="12" fillId="15" borderId="10" xfId="0" applyNumberFormat="1" applyFont="1" applyFill="1" applyBorder="1"/>
    <x:xf numFmtId="0" fontId="12" fillId="15" borderId="8" xfId="0" applyNumberFormat="1" applyFont="1" applyFill="1" applyBorder="1" applyAlignment="1">
      <x:alignment wrapText="1"/>
    </x:xf>
    <x:xf numFmtId="0" fontId="12" fillId="15" borderId="9" xfId="0" applyNumberFormat="1" applyFont="1" applyFill="1" applyBorder="1" applyAlignment="1">
      <x:alignment wrapText="1"/>
    </x:xf>
    <x:xf numFmtId="0" fontId="12" fillId="15" borderId="10" xfId="0" applyNumberFormat="1" applyFont="1" applyFill="1" applyBorder="1" applyAlignment="1">
      <x:alignment wrapText="1"/>
    </x:xf>
    <x:xf numFmtId="0" fontId="12" fillId="15" borderId="8" xfId="0" applyNumberFormat="1" applyFont="1" applyFill="1" applyBorder="1" applyAlignment="1">
      <x:alignment horizontal="center" wrapText="1"/>
    </x:xf>
    <x:xf numFmtId="0" fontId="12" fillId="15" borderId="9" xfId="0" applyNumberFormat="1" applyFont="1" applyFill="1" applyBorder="1" applyAlignment="1">
      <x:alignment horizontal="center" wrapText="1"/>
    </x:xf>
    <x:xf numFmtId="0" fontId="12" fillId="15" borderId="10" xfId="0" applyNumberFormat="1" applyFont="1" applyFill="1" applyBorder="1" applyAlignment="1">
      <x:alignment horizontal="center" wrapText="1"/>
    </x:xf>
    <x:xf numFmtId="0" fontId="12" fillId="15" borderId="8" xfId="0" applyNumberFormat="1" applyFont="1" applyFill="1" applyBorder="1" applyAlignment="1">
      <x:alignment horizontal="center" vertical="center" wrapText="1"/>
    </x:xf>
    <x:xf numFmtId="0" fontId="12" fillId="15" borderId="9" xfId="0" applyNumberFormat="1" applyFont="1" applyFill="1" applyBorder="1" applyAlignment="1">
      <x:alignment horizontal="center" vertical="center" wrapText="1"/>
    </x:xf>
    <x:xf numFmtId="0" fontId="12" fillId="15" borderId="10" xfId="0" applyNumberFormat="1" applyFont="1" applyFill="1" applyBorder="1" applyAlignment="1">
      <x:alignment horizontal="center" vertical="center" wrapText="1"/>
    </x:xf>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16" borderId="11" xfId="0" applyNumberFormat="1" applyFont="1" applyFill="1" applyBorder="1" applyAlignment="1">
      <x:alignment vertical="top" wrapText="1"/>
    </x:xf>
    <x:xf numFmtId="0" fontId="0" fillId="16" borderId="12" xfId="0" applyNumberFormat="1" applyFont="1" applyFill="1" applyBorder="1" applyAlignment="1">
      <x:alignment vertical="top" wrapText="1"/>
    </x:xf>
    <x:xf numFmtId="0" fontId="0" fillId="16" borderId="13" xfId="0" applyNumberFormat="1" applyFont="1" applyFill="1" applyBorder="1" applyAlignment="1">
      <x:alignment vertical="top" wrapText="1"/>
    </x:xf>
    <x:xf numFmtId="0" fontId="0" fillId="12" borderId="11" xfId="0" applyNumberFormat="1" applyFont="1" applyFill="1" applyBorder="1" applyAlignment="1">
      <x:alignment vertical="top" wrapText="1"/>
    </x:xf>
    <x:xf numFmtId="0" fontId="0" fillId="12" borderId="12" xfId="0" applyNumberFormat="1" applyFont="1" applyFill="1" applyBorder="1" applyAlignment="1">
      <x:alignment vertical="top" wrapText="1"/>
    </x:xf>
    <x:xf numFmtId="0" fontId="0" fillId="12" borderId="13" xfId="0" applyNumberFormat="1" applyFont="1" applyFill="1" applyBorder="1" applyAlignment="1">
      <x:alignment vertical="top" wrapText="1"/>
    </x:xf>
    <x:xf numFmtId="0" fontId="0" fillId="14" borderId="11" xfId="0" applyNumberFormat="1" applyFont="1" applyFill="1" applyBorder="1" applyAlignment="1">
      <x:alignment vertical="top" wrapText="1"/>
    </x:xf>
    <x:xf numFmtId="0" fontId="0" fillId="14" borderId="12" xfId="0" applyNumberFormat="1" applyFont="1" applyFill="1" applyBorder="1" applyAlignment="1">
      <x:alignment vertical="top" wrapText="1"/>
    </x:xf>
    <x:xf numFmtId="0" fontId="0" fillId="14" borderId="13" xfId="0" applyNumberFormat="1" applyFont="1" applyFill="1" applyBorder="1" applyAlignment="1">
      <x:alignment vertical="top" wrapText="1"/>
    </x:xf>
    <x:xf numFmtId="0" fontId="0" fillId="17" borderId="0" xfId="0" applyNumberFormat="1" applyFont="1" applyFill="1" applyBorder="1"/>
    <x:xf numFmtId="0" fontId="13" fillId="17" borderId="0" xfId="0" applyNumberFormat="1" applyFont="1" applyFill="1" applyBorder="1"/>
    <x:xf numFmtId="0" fontId="13" fillId="17" borderId="0" xfId="0" applyNumberFormat="1" applyFont="1" applyFill="1" applyBorder="1" applyAlignment="1">
      <x:alignment wrapText="1"/>
    </x:xf>
    <x:xf numFmtId="0" fontId="0" fillId="13" borderId="11" xfId="0" applyNumberFormat="1" applyFont="1" applyFill="1" applyBorder="1" applyAlignment="1">
      <x:alignment vertical="top" wrapText="1"/>
    </x:xf>
    <x:xf numFmtId="0" fontId="0" fillId="13" borderId="12" xfId="0" applyNumberFormat="1" applyFont="1" applyFill="1" applyBorder="1" applyAlignment="1">
      <x:alignment vertical="top" wrapText="1"/>
    </x:xf>
    <x:xf numFmtId="0" fontId="0" fillId="13" borderId="13" xfId="0" applyNumberFormat="1" applyFont="1" applyFill="1" applyBorder="1" applyAlignment="1">
      <x:alignment vertical="top" wrapText="1"/>
    </x:xf>
    <x:xf numFmtId="0" fontId="0" fillId="17" borderId="11" xfId="0" applyNumberFormat="1" applyFont="1" applyFill="1" applyBorder="1" applyAlignment="1">
      <x:alignment vertical="top" wrapText="1"/>
    </x:xf>
    <x:xf numFmtId="0" fontId="0" fillId="17" borderId="12" xfId="0" applyNumberFormat="1" applyFont="1" applyFill="1" applyBorder="1" applyAlignment="1">
      <x:alignment vertical="top" wrapText="1"/>
    </x:xf>
    <x:xf numFmtId="0" fontId="0" fillId="17" borderId="13" xfId="0" applyNumberFormat="1" applyFont="1" applyFill="1" applyBorder="1" applyAlignment="1">
      <x:alignment vertical="top" wrapText="1"/>
    </x:xf>
    <x:xf numFmtId="0" fontId="14" fillId="13" borderId="0" xfId="0" applyNumberFormat="1" applyFont="1" applyFill="1" applyBorder="1"/>
    <x:xf numFmtId="0" fontId="14" fillId="13" borderId="0" xfId="0" applyNumberFormat="1" applyFont="1" applyFill="1" applyBorder="1" applyAlignment="1">
      <x:alignment wrapText="1"/>
    </x:xf>
  </x:cellXfs>
  <x:cellStyles count="1">
    <x:cellStyle name="Normal" xfId="0"/>
  </x:cellStyles>
  <x:dxfs count="8">
    <x:dxf>
      <x:font>
        <x:color rgb="FF047857"/>
      </x:font>
      <x:fill>
        <x:patternFill>
          <x:bgColor rgb="FFECFDF5"/>
        </x:patternFill>
      </x:fill>
    </x:dxf>
    <x:dxf>
      <x:font>
        <x:color rgb="FF92400E"/>
      </x:font>
      <x:fill>
        <x:patternFill>
          <x:bgColor rgb="FFFFFBEB"/>
        </x:patternFill>
      </x:fill>
    </x:dxf>
    <x:dxf>
      <x:font>
        <x:color rgb="FF92400E"/>
      </x:font>
      <x:fill>
        <x:patternFill>
          <x:bgColor rgb="FFFFFBEB"/>
        </x:patternFill>
      </x:fill>
    </x:dxf>
    <x:dxf>
      <x:font>
        <x:color rgb="FF047857"/>
      </x:font>
      <x:fill>
        <x:patternFill>
          <x:bgColor rgb="FFECFDF5"/>
        </x:patternFill>
      </x:fill>
    </x:dxf>
    <x:dxf>
      <x:font>
        <x:color rgb="FF7C3AED"/>
      </x:font>
      <x:fill>
        <x:patternFill>
          <x:bgColor rgb="FFF5F3FF"/>
        </x:patternFill>
      </x:fill>
    </x:dxf>
    <x:dxf>
      <x:font>
        <x:color rgb="FFB91C1C"/>
      </x:font>
      <x:fill>
        <x:patternFill>
          <x:bgColor rgb="FFFEF2F2"/>
        </x:patternFill>
      </x:fill>
    </x:dxf>
    <x:dxf>
      <x:font>
        <x:color rgb="FF047857"/>
      </x:font>
      <x:fill>
        <x:patternFill>
          <x:bgColor rgb="FFECFDF5"/>
        </x:patternFill>
      </x:fill>
    </x:dxf>
    <x:dxf>
      <x:font>
        <x:color rgb="FFB91C1C"/>
      </x:font>
      <x:fill>
        <x:patternFill>
          <x:bgColor rgb="FFFEF2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79f462e310e4f3d" /><Relationship Type="http://schemas.openxmlformats.org/officeDocument/2006/relationships/theme" Target="/xl/theme/theme1.xml" Id="R0359bfef63a44746" /><Relationship Type="http://schemas.openxmlformats.org/officeDocument/2006/relationships/sharedStrings" Target="/xl/sharedStrings.xml" Id="R49c62aa2b1cd452d" /><Relationship Type="http://schemas.openxmlformats.org/officeDocument/2006/relationships/worksheet" Target="/xl/worksheets/sheet1.xml" Id="Re93efaa7a87b4ac5" /><Relationship Type="http://schemas.openxmlformats.org/officeDocument/2006/relationships/worksheet" Target="/xl/worksheets/sheet2.xml" Id="R969c282bd8cd4b44" /><Relationship Type="http://schemas.openxmlformats.org/officeDocument/2006/relationships/worksheet" Target="/xl/worksheets/sheet3.xml" Id="R1243e5d87f7a4f4d" /><Relationship Type="http://schemas.openxmlformats.org/officeDocument/2006/relationships/worksheet" Target="/xl/worksheets/sheet4.xml" Id="R8005b76aae3c487a" /><Relationship Type="http://schemas.openxmlformats.org/officeDocument/2006/relationships/worksheet" Target="/xl/worksheets/sheet5.xml" Id="R356c780013ac406f" /><Relationship Type="http://schemas.openxmlformats.org/officeDocument/2006/relationships/worksheet" Target="/xl/worksheets/sheet6.xml" Id="Rf23685c6098b4b9b" /><Relationship Type="http://schemas.openxmlformats.org/officeDocument/2006/relationships/worksheet" Target="/xl/worksheets/sheet7.xml" Id="R0c1079ed4b094dac" /><Relationship Type="http://schemas.openxmlformats.org/officeDocument/2006/relationships/worksheet" Target="/xl/worksheets/sheet8.xml" Id="R0f56943a6e264d14" /></Relationships>
</file>

<file path=xl/drawings/_rels/drawing1.xml.rels>&#65279;<?xml version="1.0" encoding="utf-8"?><Relationships xmlns="http://schemas.openxmlformats.org/package/2006/relationships"><Relationship Type="http://schemas.openxmlformats.org/officeDocument/2006/relationships/chart" Target="/xl/drawings/charts/chart1.xml" Id="R24ca3fec53af4ff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Copy decisions</a:t>
            </a:r>
          </a:p>
        </c:rich>
      </c:tx>
    </c:title>
    <c:plotArea>
      <c:barChart>
        <c:barDir val="col"/>
        <c:grouping val="clustered"/>
        <c:varyColors val="0"/>
        <c:ser>
          <c:idx val="0"/>
          <c:order val="0"/>
          <c:tx>
            <c:v>Count</c:v>
          </c:tx>
          <c:cat>
            <c:strRef>
              <c:f>'Summary'!$D$4:$D$7</c:f>
              <c:strCache>
                <c:ptCount val="0"/>
              </c:strCache>
            </c:strRef>
          </c:cat>
          <c:val>
            <c:numRef>
              <c:f>'Summary'!$E$4:$E$7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8</xdr:row>
      <xdr:rowOff>0</xdr:rowOff>
    </xdr:from>
    <xdr:to>
      <xdr:col>10</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4ca3fec53af4ff3"/>
        </a:graphicData>
      </a:graphic>
    </xdr:graphicFrame>
    <xdr:clientData/>
  </xdr:twoCellAnchor>
</xdr:wsDr>
</file>

<file path=xl/tables/table1.xml><?xml version="1.0" encoding="utf-8"?>
<x:table xmlns:x="http://schemas.openxmlformats.org/spreadsheetml/2006/main" id="1" name="PageScopeTable" displayName="PageScopeTable" ref="A1:H27" headerRowCount="1" totalsRowCount="0" totalsRowShown="0">
  <x:tableColumns count="8">
    <x:tableColumn id="1" name="Include"/>
    <x:tableColumn id="2" name="Area"/>
    <x:tableColumn id="3" name="Page / Surface"/>
    <x:tableColumn id="4" name="Route / Pattern"/>
    <x:tableColumn id="5" name="Audience"/>
    <x:tableColumn id="6" name="Key states to capture"/>
    <x:tableColumn id="7" name="Extraction status"/>
    <x:tableColumn id="8" name="Notes"/>
  </x:tableColumns>
  <x:tableStyleInfo name="TableStyleMedium2" showFirstColumn="0" showLastColumn="0" showRowStripes="1" showColumnStripes="0"/>
</x:table>
</file>

<file path=xl/tables/table2.xml><?xml version="1.0" encoding="utf-8"?>
<x:table xmlns:x="http://schemas.openxmlformats.org/spreadsheetml/2006/main" id="2" name="CopyInventoryTable" displayName="CopyInventoryTable" ref="A1:S601" headerRowCount="1" totalsRowCount="0" totalsRowShown="0">
  <x:tableColumns count="19">
    <x:tableColumn id="1" name="Copy ID"/>
    <x:tableColumn id="2" name="Area"/>
    <x:tableColumn id="3" name="Page / Surface"/>
    <x:tableColumn id="4" name="Route"/>
    <x:tableColumn id="5" name="Section / Component"/>
    <x:tableColumn id="6" name="State / Trigger"/>
    <x:tableColumn id="7" name="Copy Type"/>
    <x:tableColumn id="8" name="Current Copy"/>
    <x:tableColumn id="9" name="Suggested Replacement"/>
    <x:tableColumn id="10" name="Final Copy Override"/>
    <x:tableColumn id="11" name="Build Copy"/>
    <x:tableColumn id="12" name="Decision"/>
    <x:tableColumn id="13" name="Review Status"/>
    <x:tableColumn id="14" name="Priority"/>
    <x:tableColumn id="15" name="Source File"/>
    <x:tableColumn id="16" name="Source Line / Key"/>
    <x:tableColumn id="17" name="Locale"/>
    <x:tableColumn id="18" name="Rationale / Notes"/>
    <x:tableColumn id="19" name="Implementation Status"/>
  </x:tableColumns>
  <x:tableStyleInfo name="TableStyleMedium2" showFirstColumn="0" showLastColumn="0" showRowStripes="1" showColumnStripes="0"/>
</x:table>
</file>

<file path=xl/tables/table3.xml><?xml version="1.0" encoding="utf-8"?>
<x:table xmlns:x="http://schemas.openxmlformats.org/spreadsheetml/2006/main" id="3" name="ReviewQueueTable" displayName="ReviewQueueTable" ref="A9:K69" headerRowCount="1" totalsRowCount="0" totalsRowShown="0">
  <x:tableColumns count="11">
    <x:tableColumn id="1" name="Queue rank"/>
    <x:tableColumn id="2" name="Group ID"/>
    <x:tableColumn id="3" name="Impact tier"/>
    <x:tableColumn id="4" name="Decision to make"/>
    <x:tableColumn id="5" name="Scope"/>
    <x:tableColumn id="6" name="Current copy / UX pattern"/>
    <x:tableColumn id="7" name="Existing suggested replacement(s)"/>
    <x:tableColumn id="8" name="Affected Copy IDs"/>
    <x:tableColumn id="9" name="Review direction"/>
    <x:tableColumn id="10" name="Original-row approval step"/>
    <x:tableColumn id="11" name="Reviewer notes"/>
  </x:tableColumns>
  <x:tableStyleInfo name="TableStyleMedium2" showFirstColumn="0" showLastColumn="0" showRowStripes="1" showColumnStripes="0"/>
</x:table>
</file>

<file path=xl/tables/table4.xml><?xml version="1.0" encoding="utf-8"?>
<x:table xmlns:x="http://schemas.openxmlformats.org/spreadsheetml/2006/main" id="4" name="ReviewGroupsTable" displayName="ReviewGroupsTable" ref="A6:N260" headerRowCount="1" totalsRowCount="0" totalsRowShown="0">
  <x:tableColumns count="14">
    <x:tableColumn id="1" name="Group ID"/>
    <x:tableColumn id="2" name="Group type"/>
    <x:tableColumn id="3" name="Impact tier"/>
    <x:tableColumn id="4" name="Score"/>
    <x:tableColumn id="5" name="State / pattern"/>
    <x:tableColumn id="6" name="Exact copy / pattern"/>
    <x:tableColumn id="7" name="Affected rows"/>
    <x:tableColumn id="8" name="Affected Copy IDs"/>
    <x:tableColumn id="9" name="Surfaces"/>
    <x:tableColumn id="10" name="Component / state context"/>
    <x:tableColumn id="11" name="Existing suggested replacement(s)"/>
    <x:tableColumn id="12" name="Decision question"/>
    <x:tableColumn id="13" name="Review direction"/>
    <x:tableColumn id="14" name="Approval status"/>
  </x:tableColumns>
  <x:tableStyleInfo name="TableStyleMedium2" showFirstColumn="0" showLastColumn="0" showRowStripes="1" showColumnStripes="0"/>
</x:table>
</file>

<file path=xl/tables/table5.xml><?xml version="1.0" encoding="utf-8"?>
<x:table xmlns:x="http://schemas.openxmlformats.org/spreadsheetml/2006/main" id="5" name="TerminologyTable" displayName="TerminologyTable" ref="A6:H11" headerRowCount="1" totalsRowCount="0" totalsRowShown="0">
  <x:tableColumns count="8">
    <x:tableColumn id="1" name="Ref"/>
    <x:tableColumn id="2" name="Conflict"/>
    <x:tableColumn id="3" name="Affected rows"/>
    <x:tableColumn id="4" name="Surfaces"/>
    <x:tableColumn id="5" name="Copy ID examples"/>
    <x:tableColumn id="6" name="Recommendation"/>
    <x:tableColumn id="7" name="Boundary"/>
    <x:tableColumn id="8"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de19b2fc15545d4" /></Relationships>
</file>

<file path=xl/worksheets/_rels/sheet3.xml.rels>&#65279;<?xml version="1.0" encoding="utf-8"?><Relationships xmlns="http://schemas.openxmlformats.org/package/2006/relationships"><Relationship Type="http://schemas.openxmlformats.org/officeDocument/2006/relationships/table" Target="/xl/tables/table2.xml" Id="R7f2882df17274db9" /></Relationships>
</file>

<file path=xl/worksheets/_rels/sheet4.xml.rels>&#65279;<?xml version="1.0" encoding="utf-8"?><Relationships xmlns="http://schemas.openxmlformats.org/package/2006/relationships"><Relationship Type="http://schemas.openxmlformats.org/officeDocument/2006/relationships/drawing" Target="/xl/drawings/drawing1.xml" Id="Rd91306cf77b44278" /></Relationships>
</file>

<file path=xl/worksheets/_rels/sheet5.xml.rels>&#65279;<?xml version="1.0" encoding="utf-8"?><Relationships xmlns="http://schemas.openxmlformats.org/package/2006/relationships"><Relationship Type="http://schemas.openxmlformats.org/officeDocument/2006/relationships/table" Target="/xl/tables/table3.xml" Id="Rad76e61a5c1f4b4c" /></Relationships>
</file>

<file path=xl/worksheets/_rels/sheet6.xml.rels>&#65279;<?xml version="1.0" encoding="utf-8"?><Relationships xmlns="http://schemas.openxmlformats.org/package/2006/relationships"><Relationship Type="http://schemas.openxmlformats.org/officeDocument/2006/relationships/table" Target="/xl/tables/table4.xml" Id="Rd362354c55144f30" /></Relationships>
</file>

<file path=xl/worksheets/_rels/sheet7.xml.rels>&#65279;<?xml version="1.0" encoding="utf-8"?><Relationships xmlns="http://schemas.openxmlformats.org/package/2006/relationships"><Relationship Type="http://schemas.openxmlformats.org/officeDocument/2006/relationships/table" Target="/xl/tables/table5.xml" Id="R6eaaee5c52f04dd0" /></Relationships>
</file>

<file path=xl/worksheets/sheet1.xml><?xml version="1.0" encoding="utf-8"?>
<x:worksheet xmlns:x="http://schemas.openxmlformats.org/spreadsheetml/2006/main">
  <x:sheetFormatPr defaultRowHeight="15"/>
  <x:cols>
    <x:col min="1" max="1" width="14" hidden="0" customWidth="1"/>
    <x:col min="2" max="2" width="76" hidden="0" customWidth="1"/>
  </x:cols>
  <x:sheetData>
    <x:row r="1" ht="34" customHeight="1">
      <x:c r="A1" s="5" t="str">
        <x:v>Morrovia Copy Inventory &amp; Approval</x:v>
      </x:c>
      <x:c r="B1" s="5"/>
      <x:c r="C1" s="5"/>
      <x:c r="D1" s="5"/>
      <x:c r="E1" s="5"/>
      <x:c r="F1" s="5"/>
      <x:c r="G1" s="5"/>
      <x:c r="H1" s="5"/>
    </x:row>
    <x:row r="3" ht="34" customHeight="1">
      <x:c r="A3" s="12" t="str">
        <x:v>One source of truth for every user-visible line of copy, the proposed simplification, and the exact copy that should ship.</x:v>
      </x:c>
      <x:c r="B3" s="12"/>
      <x:c r="C3" s="12"/>
      <x:c r="D3" s="12"/>
      <x:c r="E3" s="12"/>
      <x:c r="F3" s="12"/>
      <x:c r="G3" s="12"/>
      <x:c r="H3" s="12"/>
    </x:row>
    <x:row r="5">
      <x:c r="A5" s="24" t="str">
        <x:v>Step</x:v>
      </x:c>
      <x:c r="B5" s="20" t="str">
        <x:v>What to do</x:v>
      </x:c>
      <x:c r="D5" s="29" t="str">
        <x:v>Decision rules</x:v>
      </x:c>
      <x:c r="E5" s="29"/>
      <x:c r="F5" s="29"/>
      <x:c r="G5" s="29"/>
      <x:c r="H5" s="29"/>
    </x:row>
    <x:row r="6">
      <x:c r="A6" s="25" t="str">
        <x:v>1</x:v>
      </x:c>
      <x:c r="B6" s="21" t="str">
        <x:v>Codex extracts every production string into Copy Inventory, including page states, errors, empty states, loading, recovery, buttons, labels, helper text, placeholders and accessibility labels.</x:v>
      </x:c>
      <x:c r="D6" s="35" t="str">
        <x:v>Final Copy Override is the only user-editable copy decision field.
• Blank = keep Current Copy
• Same text as Suggested Replacement = accept the suggestion
• Different text = your custom final copy
Build Copy resolves automatically and is what Codex should implement.</x:v>
      </x:c>
      <x:c r="E6" s="35"/>
      <x:c r="F6" s="35"/>
      <x:c r="G6" s="35"/>
      <x:c r="H6" s="35"/>
    </x:row>
    <x:row r="7">
      <x:c r="A7" s="25" t="str">
        <x:v>2</x:v>
      </x:c>
      <x:c r="B7" s="21" t="str">
        <x:v>Review Current Copy beside Suggested Replacement.</x:v>
      </x:c>
      <x:c r="D7" s="35"/>
      <x:c r="E7" s="35"/>
      <x:c r="F7" s="35"/>
      <x:c r="G7" s="35"/>
      <x:c r="H7" s="35"/>
    </x:row>
    <x:row r="8">
      <x:c r="A8" s="25" t="str">
        <x:v>3</x:v>
      </x:c>
      <x:c r="B8" s="21" t="str">
        <x:v>In Final Copy Override, leave blank to keep the current copy; paste the suggestion to accept it; or type your own wording.</x:v>
      </x:c>
      <x:c r="D8" s="35"/>
      <x:c r="E8" s="35"/>
      <x:c r="F8" s="35"/>
      <x:c r="G8" s="35"/>
      <x:c r="H8" s="35"/>
    </x:row>
    <x:row r="9">
      <x:c r="A9" s="25" t="str">
        <x:v>4</x:v>
      </x:c>
      <x:c r="B9" s="21" t="str">
        <x:v>Mark Review Status as Reviewed once you have made the decision.</x:v>
      </x:c>
      <x:c r="D9" s="35"/>
      <x:c r="E9" s="35"/>
      <x:c r="F9" s="35"/>
      <x:c r="G9" s="35"/>
      <x:c r="H9" s="35"/>
    </x:row>
    <x:row r="10">
      <x:c r="A10" s="25" t="str">
        <x:v>5</x:v>
      </x:c>
      <x:c r="B10" s="21" t="str">
        <x:v>Build Copy is the resolved source of truth for implementation. Decision explains whether the row keeps current copy, uses the suggestion, or uses custom wording.</x:v>
      </x:c>
      <x:c r="D10" s="35"/>
      <x:c r="E10" s="35"/>
      <x:c r="F10" s="35"/>
      <x:c r="G10" s="35"/>
      <x:c r="H10" s="35"/>
    </x:row>
    <x:row r="12">
      <x:c r="A12" s="40" t="str">
        <x:v>What belongs in the inventory</x:v>
      </x:c>
      <x:c r="B12" s="40"/>
      <x:c r="C12" s="40"/>
      <x:c r="D12" s="40"/>
      <x:c r="E12" s="40"/>
      <x:c r="F12" s="40"/>
      <x:c r="G12" s="40"/>
      <x:c r="H12" s="40"/>
    </x:row>
    <x:row r="13">
      <x:c r="A13" s="43" t="str">
        <x:v>Include</x:v>
      </x:c>
      <x:c r="B13" s="21" t="str">
        <x:v>Headings, body copy, CTAs, navigation, labels, helper text, placeholders, tooltips, alerts, banners, warnings, success messages, empty states, loading states, error/recovery copy, consent copy and accessible names.</x:v>
      </x:c>
    </x:row>
    <x:row r="14">
      <x:c r="A14" s="43" t="str">
        <x:v>Include</x:v>
      </x:c>
      <x:c r="B14" s="21" t="str">
        <x:v>Guest, signed-in, offline, session-expired, wrong-owner, missing-data, no-results, ended-trip and mobile-specific states.</x:v>
      </x:c>
    </x:row>
    <x:row r="15">
      <x:c r="A15" s="43" t="str">
        <x:v>Separate</x:v>
      </x:c>
      <x:c r="B15" s="21" t="str">
        <x:v>English and Spanish strings into separate rows when the wording differs.</x:v>
      </x:c>
    </x:row>
    <x:row r="16">
      <x:c r="A16" s="43" t="str">
        <x:v>Exclude</x:v>
      </x:c>
      <x:c r="B16" s="21" t="str">
        <x:v>User-generated trip names, notes, destination/provider content, raw API error messages and third-party copy that Morrovia does not control.</x:v>
      </x:c>
    </x:row>
    <x:row r="17">
      <x:c r="A17" s="43" t="str">
        <x:v>Do not</x:v>
      </x:c>
      <x:c r="B17" s="21" t="str">
        <x:v>Change production copy during extraction. The spreadsheet must be reviewed first.</x:v>
      </x:c>
    </x:row>
    <x:row r="18">
      <x:c r="A18" s="43" t="str">
        <x:v>Style</x:v>
      </x:c>
      <x:c r="B18" s="21" t="str">
        <x:v>Simple, warm, direct and useful. Avoid AI hype, filler, jargon and em dashes.</x:v>
      </x:c>
    </x:row>
  </x:sheetData>
  <x:mergeCells>
    <x:mergeCell ref="A1:H1"/>
    <x:mergeCell ref="A3:H3"/>
    <x:mergeCell ref="D5:H5"/>
    <x:mergeCell ref="D6:H10"/>
    <x:mergeCell ref="A12:H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8" hidden="0" customWidth="1"/>
    <x:col min="3" max="3" width="28" hidden="0" customWidth="1"/>
    <x:col min="4" max="4" width="28" hidden="0" customWidth="1"/>
    <x:col min="5" max="5" width="20" hidden="0" customWidth="1"/>
    <x:col min="6" max="6" width="48" hidden="0" customWidth="1"/>
    <x:col min="7" max="7" width="18" hidden="0" customWidth="1"/>
    <x:col min="8" max="8" width="32" hidden="0" customWidth="1"/>
  </x:cols>
  <x:sheetData>
    <x:row r="1" ht="28" customHeight="1">
      <x:c r="A1" s="47" t="str">
        <x:v>Include</x:v>
      </x:c>
      <x:c r="B1" s="47" t="str">
        <x:v>Area</x:v>
      </x:c>
      <x:c r="C1" s="47" t="str">
        <x:v>Page / Surface</x:v>
      </x:c>
      <x:c r="D1" s="47" t="str">
        <x:v>Route / Pattern</x:v>
      </x:c>
      <x:c r="E1" s="47" t="str">
        <x:v>Audience</x:v>
      </x:c>
      <x:c r="F1" s="47" t="str">
        <x:v>Key states to capture</x:v>
      </x:c>
      <x:c r="G1" s="47" t="str">
        <x:v>Extraction status</x:v>
      </x:c>
      <x:c r="H1" s="47" t="str">
        <x:v>Notes</x:v>
      </x:c>
    </x:row>
    <x:row r="2">
      <x:c r="A2" s="50" t="str">
        <x:v>Yes</x:v>
      </x:c>
      <x:c r="B2" s="50" t="str">
        <x:v>Global</x:v>
      </x:c>
      <x:c r="C2" s="50" t="str">
        <x:v>Primary navigation</x:v>
      </x:c>
      <x:c r="D2" s="50" t="str">
        <x:v>Shared layout</x:v>
      </x:c>
      <x:c r="E2" s="50" t="str">
        <x:v>Guest + signed-in</x:v>
      </x:c>
      <x:c r="F2" s="50" t="str">
        <x:v>Desktop, tablet, mobile dock, active state, account menu, auth interruption</x:v>
      </x:c>
      <x:c r="G2" s="76" t="str">
        <x:v>Extracted</x:v>
      </x:c>
      <x:c r="H2" s="77" t="str">
        <x:v>28 rows inventoried from production sources.</x:v>
      </x:c>
    </x:row>
    <x:row r="3">
      <x:c r="A3" s="50" t="str">
        <x:v>Yes</x:v>
      </x:c>
      <x:c r="B3" s="50" t="str">
        <x:v>Global</x:v>
      </x:c>
      <x:c r="C3" s="50" t="str">
        <x:v>Footer</x:v>
      </x:c>
      <x:c r="D3" s="50" t="str">
        <x:v>Shared layout</x:v>
      </x:c>
      <x:c r="E3" s="50" t="str">
        <x:v>All</x:v>
      </x:c>
      <x:c r="F3" s="50" t="str">
        <x:v>Standard, compact/mobile, legal and affiliate links</x:v>
      </x:c>
      <x:c r="G3" s="76" t="str">
        <x:v>Extracted</x:v>
      </x:c>
      <x:c r="H3" s="77" t="str">
        <x:v>2 rows inventoried from production sources.</x:v>
      </x:c>
    </x:row>
    <x:row r="4">
      <x:c r="A4" s="50" t="str">
        <x:v>Yes</x:v>
      </x:c>
      <x:c r="B4" s="50" t="str">
        <x:v>Global</x:v>
      </x:c>
      <x:c r="C4" s="50" t="str">
        <x:v>Cookie consent &amp; analytics preferences</x:v>
      </x:c>
      <x:c r="D4" s="50" t="str">
        <x:v>Consent banner/settings</x:v>
      </x:c>
      <x:c r="E4" s="50" t="str">
        <x:v>All</x:v>
      </x:c>
      <x:c r="F4" s="50" t="str">
        <x:v>No choice, accepted, declined, withdrawn, error</x:v>
      </x:c>
      <x:c r="G4" s="76" t="str">
        <x:v>Extracted</x:v>
      </x:c>
      <x:c r="H4" s="77" t="str">
        <x:v>5 rows inventoried from production sources.</x:v>
      </x:c>
    </x:row>
    <x:row r="5">
      <x:c r="A5" s="50" t="str">
        <x:v>Yes</x:v>
      </x:c>
      <x:c r="B5" s="50" t="str">
        <x:v>Acquisition</x:v>
      </x:c>
      <x:c r="C5" s="50" t="str">
        <x:v>Homepage</x:v>
      </x:c>
      <x:c r="D5" s="50" t="str">
        <x:v>/journey/home</x:v>
      </x:c>
      <x:c r="E5" s="50" t="str">
        <x:v>Guest + signed-in</x:v>
      </x:c>
      <x:c r="F5" s="50" t="str">
        <x:v>Empty prompt, typing, examples, attributes, voice, loading, failure, recovery</x:v>
      </x:c>
      <x:c r="G5" s="76" t="str">
        <x:v>Extracted</x:v>
      </x:c>
      <x:c r="H5" s="77" t="str">
        <x:v>43 rows inventoried from production sources.</x:v>
      </x:c>
    </x:row>
    <x:row r="6">
      <x:c r="A6" s="50" t="str">
        <x:v>Yes</x:v>
      </x:c>
      <x:c r="B6" s="50" t="str">
        <x:v>Acquisition</x:v>
      </x:c>
      <x:c r="C6" s="50" t="str">
        <x:v>Tour / How it works</x:v>
      </x:c>
      <x:c r="D6" s="50" t="str">
        <x:v>Page or modal</x:v>
      </x:c>
      <x:c r="E6" s="50" t="str">
        <x:v>All</x:v>
      </x:c>
      <x:c r="F6" s="50" t="str">
        <x:v>First visit, returning user, dismiss, mobile</x:v>
      </x:c>
      <x:c r="G6" s="76" t="str">
        <x:v>Extracted</x:v>
      </x:c>
      <x:c r="H6" s="77" t="str">
        <x:v>34 rows inventoried from production sources.</x:v>
      </x:c>
    </x:row>
    <x:row r="7">
      <x:c r="A7" s="50" t="str">
        <x:v>Yes</x:v>
      </x:c>
      <x:c r="B7" s="50" t="str">
        <x:v>Acquisition</x:v>
      </x:c>
      <x:c r="C7" s="50" t="str">
        <x:v>Discover / Routes index</x:v>
      </x:c>
      <x:c r="D7" s="50" t="str">
        <x:v>/journey/discover</x:v>
      </x:c>
      <x:c r="E7" s="50" t="str">
        <x:v>All</x:v>
      </x:c>
      <x:c r="F7" s="50" t="str">
        <x:v>Filters, search, no results, loading, route cards, unpublished boundary</x:v>
      </x:c>
      <x:c r="G7" s="76" t="str">
        <x:v>Extracted</x:v>
      </x:c>
      <x:c r="H7" s="77" t="str">
        <x:v>53 rows inventoried from production sources.</x:v>
      </x:c>
    </x:row>
    <x:row r="8">
      <x:c r="A8" s="50" t="str">
        <x:v>Yes</x:v>
      </x:c>
      <x:c r="B8" s="50" t="str">
        <x:v>Acquisition</x:v>
      </x:c>
      <x:c r="C8" s="50" t="str">
        <x:v>Route Detail</x:v>
      </x:c>
      <x:c r="D8" s="50" t="str">
        <x:v>/journey/routes/[slug]</x:v>
      </x:c>
      <x:c r="E8" s="50" t="str">
        <x:v>All</x:v>
      </x:c>
      <x:c r="F8" s="50" t="str">
        <x:v>Standard, warnings, unknown transfer, missing imagery, CTA failure</x:v>
      </x:c>
      <x:c r="G8" s="76" t="str">
        <x:v>Extracted</x:v>
      </x:c>
      <x:c r="H8" s="77" t="str">
        <x:v>57 rows inventoried from production sources.</x:v>
      </x:c>
    </x:row>
    <x:row r="9">
      <x:c r="A9" s="50" t="str">
        <x:v>Yes</x:v>
      </x:c>
      <x:c r="B9" s="50" t="str">
        <x:v>Planning</x:v>
      </x:c>
      <x:c r="C9" s="50" t="str">
        <x:v>New trip builder</x:v>
      </x:c>
      <x:c r="D9" s="50" t="str">
        <x:v>/journey/new</x:v>
      </x:c>
      <x:c r="E9" s="50" t="str">
        <x:v>Guest + signed-in</x:v>
      </x:c>
      <x:c r="F9" s="50" t="str">
        <x:v>Places, Time, Route, review, conflict, impossible plan, draft recovery, save failure</x:v>
      </x:c>
      <x:c r="G9" s="76" t="str">
        <x:v>Extracted</x:v>
      </x:c>
      <x:c r="H9" s="77" t="str">
        <x:v>465 rows inventoried from production sources.</x:v>
      </x:c>
    </x:row>
    <x:row r="10">
      <x:c r="A10" s="50" t="str">
        <x:v>Yes</x:v>
      </x:c>
      <x:c r="B10" s="50" t="str">
        <x:v>Planning</x:v>
      </x:c>
      <x:c r="C10" s="50" t="str">
        <x:v>Generation experience</x:v>
      </x:c>
      <x:c r="D10" s="50" t="str">
        <x:v>Builder transition</x:v>
      </x:c>
      <x:c r="E10" s="50" t="str">
        <x:v>Guest + signed-in</x:v>
      </x:c>
      <x:c r="F10" s="50" t="str">
        <x:v>Understanding, shaping, checking, failure, retry, preserved brief</x:v>
      </x:c>
      <x:c r="G10" s="76" t="str">
        <x:v>Extracted</x:v>
      </x:c>
      <x:c r="H10" s="77" t="str">
        <x:v>464 rows inventoried from production sources.</x:v>
      </x:c>
    </x:row>
    <x:row r="11">
      <x:c r="A11" s="50" t="str">
        <x:v>Yes</x:v>
      </x:c>
      <x:c r="B11" s="50" t="str">
        <x:v>Trips</x:v>
      </x:c>
      <x:c r="C11" s="50" t="str">
        <x:v>Dashboard</x:v>
      </x:c>
      <x:c r="D11" s="50" t="str">
        <x:v>/journey/dashboard</x:v>
      </x:c>
      <x:c r="E11" s="50" t="str">
        <x:v>Signed-in</x:v>
      </x:c>
      <x:c r="F11" s="50" t="str">
        <x:v>Empty, loading, recovery, offline, wrong owner, search/filter, archive/delete/share errors</x:v>
      </x:c>
      <x:c r="G11" s="76" t="str">
        <x:v>Extracted</x:v>
      </x:c>
      <x:c r="H11" s="77" t="str">
        <x:v>125 rows inventoried from production sources.</x:v>
      </x:c>
    </x:row>
    <x:row r="12">
      <x:c r="A12" s="50" t="str">
        <x:v>Yes</x:v>
      </x:c>
      <x:c r="B12" s="50" t="str">
        <x:v>Trip Workspace</x:v>
      </x:c>
      <x:c r="C12" s="50" t="str">
        <x:v>Overview</x:v>
      </x:c>
      <x:c r="D12" s="50" t="str">
        <x:v>/journey/[tripId]</x:v>
      </x:c>
      <x:c r="E12" s="50" t="str">
        <x:v>Guest/local + signed-in</x:v>
      </x:c>
      <x:c r="F12" s="50" t="str">
        <x:v>Healthy, warnings, critical issues, missing dates, ended/current/future, first-use</x:v>
      </x:c>
      <x:c r="G12" s="76" t="str">
        <x:v>Extracted</x:v>
      </x:c>
      <x:c r="H12" s="77" t="str">
        <x:v>83 rows inventoried from production sources.</x:v>
      </x:c>
    </x:row>
    <x:row r="13">
      <x:c r="A13" s="50" t="str">
        <x:v>Yes</x:v>
      </x:c>
      <x:c r="B13" s="50" t="str">
        <x:v>Trip Workspace</x:v>
      </x:c>
      <x:c r="C13" s="50" t="str">
        <x:v>Itinerary</x:v>
      </x:c>
      <x:c r="D13" s="50" t="str">
        <x:v>/journey/[tripId]/itinerary</x:v>
      </x:c>
      <x:c r="E13" s="50" t="str">
        <x:v>Guest/local + signed-in</x:v>
      </x:c>
      <x:c r="F13" s="50" t="str">
        <x:v>Complete, incomplete, unknown transport, missing dates, no imagery, stay status</x:v>
      </x:c>
      <x:c r="G13" s="76" t="str">
        <x:v>Extracted</x:v>
      </x:c>
      <x:c r="H13" s="77" t="str">
        <x:v>37 rows inventoried from production sources.</x:v>
      </x:c>
    </x:row>
    <x:row r="14">
      <x:c r="A14" s="50" t="str">
        <x:v>Yes</x:v>
      </x:c>
      <x:c r="B14" s="50" t="str">
        <x:v>Trip Workspace</x:v>
      </x:c>
      <x:c r="C14" s="50" t="str">
        <x:v>Map</x:v>
      </x:c>
      <x:c r="D14" s="50" t="str">
        <x:v>/journey/[tripId]/map</x:v>
      </x:c>
      <x:c r="E14" s="50" t="str">
        <x:v>Guest/local + signed-in</x:v>
      </x:c>
      <x:c r="F14" s="50" t="str">
        <x:v>Empty plan, inaccessible map, unknown legs, provider failure, mobile sheets</x:v>
      </x:c>
      <x:c r="G14" s="76" t="str">
        <x:v>Extracted</x:v>
      </x:c>
      <x:c r="H14" s="77" t="str">
        <x:v>10 rows inventoried from production sources.</x:v>
      </x:c>
    </x:row>
    <x:row r="15">
      <x:c r="A15" s="50" t="str">
        <x:v>Yes</x:v>
      </x:c>
      <x:c r="B15" s="50" t="str">
        <x:v>Trip Workspace</x:v>
      </x:c>
      <x:c r="C15" s="50" t="str">
        <x:v>Focused map planner</x:v>
      </x:c>
      <x:c r="D15" s="50" t="str">
        <x:v>/journey/plan?trip=…</x:v>
      </x:c>
      <x:c r="E15" s="50" t="str">
        <x:v>Guest/local + signed-in</x:v>
      </x:c>
      <x:c r="F15" s="50" t="str">
        <x:v>Stay/Eat/See, loading, provider failure, no results, save conflict</x:v>
      </x:c>
      <x:c r="G15" s="76" t="str">
        <x:v>Extracted</x:v>
      </x:c>
      <x:c r="H15" s="77" t="str">
        <x:v>249 rows inventoried from production sources.</x:v>
      </x:c>
    </x:row>
    <x:row r="16">
      <x:c r="A16" s="50" t="str">
        <x:v>Yes</x:v>
      </x:c>
      <x:c r="B16" s="50" t="str">
        <x:v>Trip Workspace</x:v>
      </x:c>
      <x:c r="C16" s="50" t="str">
        <x:v>Prep</x:v>
      </x:c>
      <x:c r="D16" s="50" t="str">
        <x:v>/journey/[tripId]/prep</x:v>
      </x:c>
      <x:c r="E16" s="50" t="str">
        <x:v>Guest/local + signed-in</x:v>
      </x:c>
      <x:c r="F16" s="50" t="str">
        <x:v>0%, 100%, today, ended, no-driving, missing passport, provider failure</x:v>
      </x:c>
      <x:c r="G16" s="76" t="str">
        <x:v>Extracted</x:v>
      </x:c>
      <x:c r="H16" s="77" t="str">
        <x:v>97 rows inventoried from production sources.</x:v>
      </x:c>
    </x:row>
    <x:row r="17">
      <x:c r="A17" s="50" t="str">
        <x:v>Yes</x:v>
      </x:c>
      <x:c r="B17" s="50" t="str">
        <x:v>Legacy</x:v>
      </x:c>
      <x:c r="C17" s="50" t="str">
        <x:v>Trip mode</x:v>
      </x:c>
      <x:c r="D17" s="50" t="str">
        <x:v>/journey/trip</x:v>
      </x:c>
      <x:c r="E17" s="50" t="str">
        <x:v>Guest/local + signed-in</x:v>
      </x:c>
      <x:c r="F17" s="50" t="str">
        <x:v>Normal, ended, missing trip, session expiry, recovery</x:v>
      </x:c>
      <x:c r="G17" s="76" t="str">
        <x:v>Extracted</x:v>
      </x:c>
      <x:c r="H17" s="77" t="str">
        <x:v>62 rows inventoried from production sources.</x:v>
      </x:c>
    </x:row>
    <x:row r="18">
      <x:c r="A18" s="50" t="str">
        <x:v>Yes</x:v>
      </x:c>
      <x:c r="B18" s="50" t="str">
        <x:v>Legacy</x:v>
      </x:c>
      <x:c r="C18" s="50" t="str">
        <x:v>Plan next</x:v>
      </x:c>
      <x:c r="D18" s="50" t="str">
        <x:v>/journey/plan-next</x:v>
      </x:c>
      <x:c r="E18" s="50" t="str">
        <x:v>Guest/local + signed-in</x:v>
      </x:c>
      <x:c r="F18" s="50" t="str">
        <x:v>Normal, missing trip, recovery, errors</x:v>
      </x:c>
      <x:c r="G18" s="76" t="str">
        <x:v>Extracted</x:v>
      </x:c>
      <x:c r="H18" s="77" t="str">
        <x:v>45 rows inventoried from production sources.</x:v>
      </x:c>
    </x:row>
    <x:row r="19">
      <x:c r="A19" s="50" t="str">
        <x:v>Yes</x:v>
      </x:c>
      <x:c r="B19" s="50" t="str">
        <x:v>Travel identity</x:v>
      </x:c>
      <x:c r="C19" s="50" t="str">
        <x:v>Stamps</x:v>
      </x:c>
      <x:c r="D19" s="50" t="str">
        <x:v>/journey/stamped</x:v>
      </x:c>
      <x:c r="E19" s="50" t="str">
        <x:v>Guest + signed-in</x:v>
      </x:c>
      <x:c r="F19" s="50" t="str">
        <x:v>Empty, established, search/filter, offline, migration consent, save/load errors</x:v>
      </x:c>
      <x:c r="G19" s="76" t="str">
        <x:v>Extracted</x:v>
      </x:c>
      <x:c r="H19" s="77" t="str">
        <x:v>41 rows inventoried from production sources.</x:v>
      </x:c>
    </x:row>
    <x:row r="20">
      <x:c r="A20" s="50" t="str">
        <x:v>Yes</x:v>
      </x:c>
      <x:c r="B20" s="50" t="str">
        <x:v>Travel utility</x:v>
      </x:c>
      <x:c r="C20" s="50" t="str">
        <x:v>Passport</x:v>
      </x:c>
      <x:c r="D20" s="50" t="str">
        <x:v>/journey/passport</x:v>
      </x:c>
      <x:c r="E20" s="50" t="str">
        <x:v>Guest + signed-in</x:v>
      </x:c>
      <x:c r="F20" s="50" t="str">
        <x:v>Empty, loading, result, unknown, error, stale invalidation, English/Spanish</x:v>
      </x:c>
      <x:c r="G20" s="76" t="str">
        <x:v>Extracted</x:v>
      </x:c>
      <x:c r="H20" s="77" t="str">
        <x:v>59 rows inventoried from production sources.</x:v>
      </x:c>
    </x:row>
    <x:row r="21">
      <x:c r="A21" s="50" t="str">
        <x:v>Yes</x:v>
      </x:c>
      <x:c r="B21" s="50" t="str">
        <x:v>Account</x:v>
      </x:c>
      <x:c r="C21" s="50" t="str">
        <x:v>Profile</x:v>
      </x:c>
      <x:c r="D21" s="50" t="str">
        <x:v>/journey/profile</x:v>
      </x:c>
      <x:c r="E21" s="50" t="str">
        <x:v>Signed-in</x:v>
      </x:c>
      <x:c r="F21" s="50" t="str">
        <x:v>Default, long values, save success/failure, privacy reassurance, mobile</x:v>
      </x:c>
      <x:c r="G21" s="76" t="str">
        <x:v>Extracted</x:v>
      </x:c>
      <x:c r="H21" s="77" t="str">
        <x:v>30 rows inventoried from production sources.</x:v>
      </x:c>
    </x:row>
    <x:row r="22">
      <x:c r="A22" s="50" t="str">
        <x:v>Yes</x:v>
      </x:c>
      <x:c r="B22" s="50" t="str">
        <x:v>Account</x:v>
      </x:c>
      <x:c r="C22" s="50" t="str">
        <x:v>Sign in / Sign up / Recovery</x:v>
      </x:c>
      <x:c r="D22" s="50" t="str">
        <x:v>Auth routes</x:v>
      </x:c>
      <x:c r="E22" s="50" t="str">
        <x:v>Guest</x:v>
      </x:c>
      <x:c r="F22" s="50" t="str">
        <x:v>Sign in, sign up, verification, failure, session expired, exact return path</x:v>
      </x:c>
      <x:c r="G22" s="76" t="str">
        <x:v>Extracted</x:v>
      </x:c>
      <x:c r="H22" s="77" t="str">
        <x:v>44 rows inventoried from production sources.</x:v>
      </x:c>
    </x:row>
    <x:row r="23">
      <x:c r="A23" s="50" t="str">
        <x:v>Yes</x:v>
      </x:c>
      <x:c r="B23" s="50" t="str">
        <x:v>Sharing</x:v>
      </x:c>
      <x:c r="C23" s="50" t="str">
        <x:v>Gift claim</x:v>
      </x:c>
      <x:c r="D23" s="50" t="str">
        <x:v>/journey/gift/[token]</x:v>
      </x:c>
      <x:c r="E23" s="50" t="str">
        <x:v>Guest + signed-in</x:v>
      </x:c>
      <x:c r="F23" s="50" t="str">
        <x:v>Valid, invalid, expired, claimed, auth interruption, save failure</x:v>
      </x:c>
      <x:c r="G23" s="76" t="str">
        <x:v>Extracted</x:v>
      </x:c>
      <x:c r="H23" s="77" t="str">
        <x:v>6 rows inventoried from production sources.</x:v>
      </x:c>
    </x:row>
    <x:row r="24">
      <x:c r="A24" s="50" t="str">
        <x:v>Yes</x:v>
      </x:c>
      <x:c r="B24" s="50" t="str">
        <x:v>Legal</x:v>
      </x:c>
      <x:c r="C24" s="50" t="str">
        <x:v>Privacy</x:v>
      </x:c>
      <x:c r="D24" s="50" t="str">
        <x:v>/journey/privacy</x:v>
      </x:c>
      <x:c r="E24" s="50" t="str">
        <x:v>All</x:v>
      </x:c>
      <x:c r="F24" s="50" t="str">
        <x:v>Privacy notice, analytics choices, storage explanations</x:v>
      </x:c>
      <x:c r="G24" s="76" t="str">
        <x:v>Extracted</x:v>
      </x:c>
      <x:c r="H24" s="77" t="str">
        <x:v>7 rows inventoried from production sources.</x:v>
      </x:c>
    </x:row>
    <x:row r="25">
      <x:c r="A25" s="50" t="str">
        <x:v>Yes</x:v>
      </x:c>
      <x:c r="B25" s="50" t="str">
        <x:v>Legal</x:v>
      </x:c>
      <x:c r="C25" s="50" t="str">
        <x:v>Affiliate disclosure</x:v>
      </x:c>
      <x:c r="D25" s="50" t="str">
        <x:v>Disclosure route/panel</x:v>
      </x:c>
      <x:c r="E25" s="50" t="str">
        <x:v>All</x:v>
      </x:c>
      <x:c r="F25" s="50" t="str">
        <x:v>Current partners, generic fallback, leaving Morrovia</x:v>
      </x:c>
      <x:c r="G25" s="76" t="str">
        <x:v>Extracted</x:v>
      </x:c>
      <x:c r="H25" s="77" t="str">
        <x:v>16 rows inventoried from production sources.</x:v>
      </x:c>
    </x:row>
    <x:row r="26">
      <x:c r="A26" s="50" t="str">
        <x:v>Yes</x:v>
      </x:c>
      <x:c r="B26" s="50" t="str">
        <x:v>System</x:v>
      </x:c>
      <x:c r="C26" s="50" t="str">
        <x:v>Not found / access denied</x:v>
      </x:c>
      <x:c r="D26" s="50" t="str">
        <x:v>404 / owner-scoped boundary</x:v>
      </x:c>
      <x:c r="E26" s="50" t="str">
        <x:v>All</x:v>
      </x:c>
      <x:c r="F26" s="50" t="str">
        <x:v>Missing trip, wrong owner, unpublished route, unauthenticated deep link</x:v>
      </x:c>
      <x:c r="G26" s="76" t="str">
        <x:v>Extracted</x:v>
      </x:c>
      <x:c r="H26" s="77" t="str">
        <x:v>10 rows inventoried from production sources.</x:v>
      </x:c>
    </x:row>
    <x:row r="27">
      <x:c r="A27" s="50" t="str">
        <x:v>Yes</x:v>
      </x:c>
      <x:c r="B27" s="50" t="str">
        <x:v>System</x:v>
      </x:c>
      <x:c r="C27" s="50" t="str">
        <x:v>Offline / network / provider recovery</x:v>
      </x:c>
      <x:c r="D27" s="50" t="str">
        <x:v>Shared alerts and banners</x:v>
      </x:c>
      <x:c r="E27" s="50" t="str">
        <x:v>All</x:v>
      </x:c>
      <x:c r="F27" s="50" t="str">
        <x:v>Retry, keep local work, reload cloud, provider timeout, safe error copy</x:v>
      </x:c>
      <x:c r="G27" s="76" t="str">
        <x:v>Extracted</x:v>
      </x:c>
      <x:c r="H27" s="77" t="str">
        <x:v>89 rows inventoried from production sources.</x:v>
      </x:c>
    </x:row>
  </x:sheetData>
  <x:conditionalFormatting sqref="G2:G200">
    <x:cfRule type="expression" dxfId="0" priority="1">
      <x:formula>G2="Complete"</x:formula>
    </x:cfRule>
    <x:cfRule type="expression" dxfId="1" priority="2">
      <x:formula>G2="Needs review"</x:formula>
    </x:cfRule>
  </x:conditionalFormatting>
  <x:dataValidations count="2">
    <x:dataValidation type="list" sqref="A2:A200">
      <x:formula1>"Yes,No"</x:formula1>
    </x:dataValidation>
    <x:dataValidation type="list" sqref="G2:G200">
      <x:formula1>"Pending,In progress,Complete,Needs review"</x:formula1>
    </x:dataValidation>
  </x:dataValidations>
  <x:pageMargins left="0.7" right="0.7" top="0.75" bottom="0.75" header="0.3" footer="0.3"/>
  <x:tableParts count="1">
    <x:tablePart xmlns:r="http://schemas.openxmlformats.org/officeDocument/2006/relationships" r:id="Rbde19b2fc15545d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16" hidden="0" customWidth="1"/>
    <x:col min="3" max="3" width="22" hidden="0" customWidth="1"/>
    <x:col min="4" max="4" width="24" hidden="0" customWidth="1"/>
    <x:col min="5" max="5" width="26" hidden="0" customWidth="1"/>
    <x:col min="6" max="6" width="21" hidden="0" customWidth="1"/>
    <x:col min="7" max="7" width="18" hidden="0" customWidth="1"/>
    <x:col min="8" max="8" width="38" hidden="0" customWidth="1"/>
    <x:col min="9" max="9" width="38" hidden="0" customWidth="1"/>
    <x:col min="10" max="10" width="38" hidden="0" customWidth="1"/>
    <x:col min="11" max="11" width="38" hidden="0" customWidth="1"/>
    <x:col min="12" max="12" width="16" hidden="0" customWidth="1"/>
    <x:col min="13" max="13" width="15" hidden="0" customWidth="1"/>
    <x:col min="14" max="14" width="12" hidden="0" customWidth="1"/>
    <x:col min="15" max="15" width="38" hidden="0" customWidth="1"/>
    <x:col min="16" max="16" width="24" hidden="0" customWidth="1"/>
    <x:col min="17" max="17" width="18" hidden="0" customWidth="1"/>
    <x:col min="18" max="18" width="46" hidden="0" customWidth="1"/>
    <x:col min="19" max="19" width="25" hidden="0" customWidth="1"/>
  </x:cols>
  <x:sheetData>
    <x:row r="1" ht="30" customHeight="1">
      <x:c r="A1" s="70" t="str">
        <x:v>Copy ID</x:v>
      </x:c>
      <x:c r="B1" s="70" t="str">
        <x:v>Area</x:v>
      </x:c>
      <x:c r="C1" s="70" t="str">
        <x:v>Page / Surface</x:v>
      </x:c>
      <x:c r="D1" s="70" t="str">
        <x:v>Route</x:v>
      </x:c>
      <x:c r="E1" s="70" t="str">
        <x:v>Section / Component</x:v>
      </x:c>
      <x:c r="F1" s="70" t="str">
        <x:v>State / Trigger</x:v>
      </x:c>
      <x:c r="G1" s="70" t="str">
        <x:v>Copy Type</x:v>
      </x:c>
      <x:c r="H1" s="70" t="str">
        <x:v>Current Copy</x:v>
      </x:c>
      <x:c r="I1" s="70" t="str">
        <x:v>Suggested Replacement</x:v>
      </x:c>
      <x:c r="J1" s="70" t="str">
        <x:v>Final Copy Override</x:v>
      </x:c>
      <x:c r="K1" s="70" t="str">
        <x:v>Build Copy</x:v>
      </x:c>
      <x:c r="L1" s="70" t="str">
        <x:v>Decision</x:v>
      </x:c>
      <x:c r="M1" s="70" t="str">
        <x:v>Review Status</x:v>
      </x:c>
      <x:c r="N1" s="70" t="str">
        <x:v>Priority</x:v>
      </x:c>
      <x:c r="O1" s="70" t="str">
        <x:v>Source File</x:v>
      </x:c>
      <x:c r="P1" s="70" t="str">
        <x:v>Source Line / Key</x:v>
      </x:c>
      <x:c r="Q1" s="70" t="str">
        <x:v>Locale</x:v>
      </x:c>
      <x:c r="R1" s="70" t="str">
        <x:v>Rationale / Notes</x:v>
      </x:c>
      <x:c r="S1" s="70" t="str">
        <x:v>Implementation Status</x:v>
      </x:c>
    </x:row>
    <x:row r="2">
      <x:c r="A2" s="71" t="str">
        <x:v>MRV-068EE3BC5A</x:v>
      </x:c>
      <x:c r="B2" s="71" t="str">
        <x:v>Trip workspace</x:v>
      </x:c>
      <x:c r="C2" s="71" t="str">
        <x:v>Overview</x:v>
      </x:c>
      <x:c r="D2" s="71" t="str">
        <x:v>/journey/[tripId]</x:v>
      </x:c>
      <x:c r="E2" s="71" t="str">
        <x:v>TripWorkspaceLoading</x:v>
      </x:c>
      <x:c r="F2" s="71" t="str">
        <x:v>Route loading</x:v>
      </x:c>
      <x:c r="G2" s="71" t="str">
        <x:v>CTA / button</x:v>
      </x:c>
      <x:c r="H2" s="71" t="str">
        <x:v>Opening your route…</x:v>
      </x:c>
      <x:c r="I2" s="71" t="str">
        <x:v>Opening your route…</x:v>
      </x:c>
      <x:c r="J2" s="73"/>
      <x:c r="K2" s="74" t="str">
        <x:f>IF(J2="",H2,IF(J2=I2,I2,J2))</x:f>
        <x:v>Opening your route…</x:v>
      </x:c>
      <x:c r="L2" s="74" t="str">
        <x:f>IF(J2="","Keep current",IF(J2=I2,"Use suggestion","Custom"))</x:f>
        <x:v>Keep current</x:v>
      </x:c>
      <x:c r="M2" s="71" t="str">
        <x:v>Pending review</x:v>
      </x:c>
      <x:c r="N2" s="71" t="str">
        <x:v>Medium</x:v>
      </x:c>
      <x:c r="O2" s="71" t="str">
        <x:v>app/journey/[tripId]/loading.tsx</x:v>
      </x:c>
      <x:c r="P2" s="71" t="str">
        <x:v>TripWorkspaceLoading:9</x:v>
      </x:c>
      <x:c r="Q2" s="71" t="str">
        <x:v>EN (default / shared)</x:v>
      </x:c>
      <x:c r="R2" s="71" t="str">
        <x:v>Already clear and direct; suggested wording intentionally keeps the current copy. Duplicate wording: appears 2 times.</x:v>
      </x:c>
      <x:c r="S2" s="75" t="str">
        <x:v>Not applied — review required</x:v>
      </x:c>
    </x:row>
    <x:row r="3">
      <x:c r="A3" s="71" t="str">
        <x:v>MRV-15DDF9323E</x:v>
      </x:c>
      <x:c r="B3" s="71" t="str">
        <x:v>Trip workspace</x:v>
      </x:c>
      <x:c r="C3" s="71" t="str">
        <x:v>Overview</x:v>
      </x:c>
      <x:c r="D3" s="71" t="str">
        <x:v>/journey/[tripId]</x:v>
      </x:c>
      <x:c r="E3" s="71" t="str">
        <x:v>TripWorkspaceLoading</x:v>
      </x:c>
      <x:c r="F3" s="71" t="str">
        <x:v>Route loading</x:v>
      </x:c>
      <x:c r="G3" s="71" t="str">
        <x:v>Body copy</x:v>
      </x:c>
      <x:c r="H3" s="71" t="str">
        <x:v>Keeping your trip details and planning choices intact while this view opens.</x:v>
      </x:c>
      <x:c r="I3" s="71" t="str">
        <x:v>Keeping your trip details and planning choices intact while this view opens.</x:v>
      </x:c>
      <x:c r="J3" s="73"/>
      <x:c r="K3" s="74" t="str">
        <x:f>IF(J3="",H3,IF(J3=I3,I3,J3))</x:f>
        <x:v>Keeping your trip details and planning choices intact while this view opens.</x:v>
      </x:c>
      <x:c r="L3" s="74" t="str">
        <x:f>IF(J3="","Keep current",IF(J3=I3,"Use suggestion","Custom"))</x:f>
        <x:v>Keep current</x:v>
      </x:c>
      <x:c r="M3" s="71" t="str">
        <x:v>Pending review</x:v>
      </x:c>
      <x:c r="N3" s="71" t="str">
        <x:v>Normal</x:v>
      </x:c>
      <x:c r="O3" s="71" t="str">
        <x:v>app/journey/[tripId]/loading.tsx</x:v>
      </x:c>
      <x:c r="P3" s="71" t="str">
        <x:v>TripWorkspaceLoading:10</x:v>
      </x:c>
      <x:c r="Q3" s="71" t="str">
        <x:v>EN (default / shared)</x:v>
      </x:c>
      <x:c r="R3" s="71" t="str">
        <x:v>Already clear and direct; suggested wording intentionally keeps the current copy. Terminology watch: ‘trip’ and ‘journey’ both describe the same plan. Terminology watch: ‘stops’, ‘destinations’ and ‘places’ overlap.</x:v>
      </x:c>
      <x:c r="S3" s="75" t="str">
        <x:v>Not applied — review required</x:v>
      </x:c>
    </x:row>
    <x:row r="4">
      <x:c r="A4" s="71" t="str">
        <x:v>MRV-869559FF18</x:v>
      </x:c>
      <x:c r="B4" s="71" t="str">
        <x:v>Admin</x:v>
      </x:c>
      <x:c r="C4" s="71" t="str">
        <x:v>Admin operations</x:v>
      </x:c>
      <x:c r="D4" s="71" t="str">
        <x:v>/journey/admin/audit</x:v>
      </x:c>
      <x:c r="E4" s="71" t="str">
        <x:v>metadata</x:v>
      </x:c>
      <x:c r="F4" s="71" t="str">
        <x:v>Default</x:v>
      </x:c>
      <x:c r="G4" s="71" t="str">
        <x:v>Tooltip</x:v>
      </x:c>
      <x:c r="H4" s="71" t="str">
        <x:v>Admin audit · Morrovia</x:v>
      </x:c>
      <x:c r="I4" s="71" t="str">
        <x:v>Admin audit · Morrovia</x:v>
      </x:c>
      <x:c r="J4" s="73"/>
      <x:c r="K4" s="74" t="str">
        <x:f>IF(J4="",H4,IF(J4=I4,I4,J4))</x:f>
        <x:v>Admin audit · Morrovia</x:v>
      </x:c>
      <x:c r="L4" s="74" t="str">
        <x:f>IF(J4="","Keep current",IF(J4=I4,"Use suggestion","Custom"))</x:f>
        <x:v>Keep current</x:v>
      </x:c>
      <x:c r="M4" s="71" t="str">
        <x:v>Pending review</x:v>
      </x:c>
      <x:c r="N4" s="71" t="str">
        <x:v>Normal</x:v>
      </x:c>
      <x:c r="O4" s="71" t="str">
        <x:v>app/journey/admin/audit/page.tsx</x:v>
      </x:c>
      <x:c r="P4" s="71" t="str">
        <x:v>metadata:10</x:v>
      </x:c>
      <x:c r="Q4" s="71" t="str">
        <x:v>EN (default / shared)</x:v>
      </x:c>
      <x:c r="R4" s="71" t="str">
        <x:v>Already clear and direct; suggested wording intentionally keeps the current copy.</x:v>
      </x:c>
      <x:c r="S4" s="75" t="str">
        <x:v>Not applied — review required</x:v>
      </x:c>
    </x:row>
    <x:row r="5">
      <x:c r="A5" s="71" t="str">
        <x:v>MRV-1215AFC9AF</x:v>
      </x:c>
      <x:c r="B5" s="71" t="str">
        <x:v>Admin</x:v>
      </x:c>
      <x:c r="C5" s="71" t="str">
        <x:v>Admin operations</x:v>
      </x:c>
      <x:c r="D5" s="71" t="str">
        <x:v>/journey/admin/audit</x:v>
      </x:c>
      <x:c r="E5" s="71" t="str">
        <x:v>EasyTAuditPage</x:v>
      </x:c>
      <x:c r="F5" s="71" t="str">
        <x:v>Default</x:v>
      </x:c>
      <x:c r="G5" s="71" t="str">
        <x:v>Body copy</x:v>
      </x:c>
      <x:c r="H5" s="71" t="str">
        <x:v>Admin audit.</x:v>
      </x:c>
      <x:c r="I5" s="71" t="str">
        <x:v>Admin audit.</x:v>
      </x:c>
      <x:c r="J5" s="73"/>
      <x:c r="K5" s="74" t="str">
        <x:f>IF(J5="",H5,IF(J5=I5,I5,J5))</x:f>
        <x:v>Admin audit.</x:v>
      </x:c>
      <x:c r="L5" s="74" t="str">
        <x:f>IF(J5="","Keep current",IF(J5=I5,"Use suggestion","Custom"))</x:f>
        <x:v>Keep current</x:v>
      </x:c>
      <x:c r="M5" s="71" t="str">
        <x:v>Pending review</x:v>
      </x:c>
      <x:c r="N5" s="71" t="str">
        <x:v>Normal</x:v>
      </x:c>
      <x:c r="O5" s="71" t="str">
        <x:v>app/journey/admin/audit/page.tsx</x:v>
      </x:c>
      <x:c r="P5" s="71" t="str">
        <x:v>EasyTAuditPage:17</x:v>
      </x:c>
      <x:c r="Q5" s="71" t="str">
        <x:v>EN (default / shared)</x:v>
      </x:c>
      <x:c r="R5" s="71" t="str">
        <x:v>Already clear and direct; suggested wording intentionally keeps the current copy. Duplicate wording: appears 2 times.</x:v>
      </x:c>
      <x:c r="S5" s="75" t="str">
        <x:v>Not applied — review required</x:v>
      </x:c>
    </x:row>
    <x:row r="6">
      <x:c r="A6" s="71" t="str">
        <x:v>MRV-E192505C3E</x:v>
      </x:c>
      <x:c r="B6" s="71" t="str">
        <x:v>Admin</x:v>
      </x:c>
      <x:c r="C6" s="71" t="str">
        <x:v>Admin operations</x:v>
      </x:c>
      <x:c r="D6" s="71" t="str">
        <x:v>/journey/admin/audit</x:v>
      </x:c>
      <x:c r="E6" s="71" t="str">
        <x:v>EasyTAuditPage</x:v>
      </x:c>
      <x:c r="F6" s="71" t="str">
        <x:v>Default</x:v>
      </x:c>
      <x:c r="G6" s="71" t="str">
        <x:v>Body copy</x:v>
      </x:c>
      <x:c r="H6" s="71" t="str">
        <x:v>No admin activity yet.</x:v>
      </x:c>
      <x:c r="I6" s="71" t="str">
        <x:v>No admin activity yet.</x:v>
      </x:c>
      <x:c r="J6" s="73"/>
      <x:c r="K6" s="74" t="str">
        <x:f>IF(J6="",H6,IF(J6=I6,I6,J6))</x:f>
        <x:v>No admin activity yet.</x:v>
      </x:c>
      <x:c r="L6" s="74" t="str">
        <x:f>IF(J6="","Keep current",IF(J6=I6,"Use suggestion","Custom"))</x:f>
        <x:v>Keep current</x:v>
      </x:c>
      <x:c r="M6" s="71" t="str">
        <x:v>Pending review</x:v>
      </x:c>
      <x:c r="N6" s="71" t="str">
        <x:v>Normal</x:v>
      </x:c>
      <x:c r="O6" s="71" t="str">
        <x:v>app/journey/admin/audit/page.tsx</x:v>
      </x:c>
      <x:c r="P6" s="71" t="str">
        <x:v>EasyTAuditPage:17</x:v>
      </x:c>
      <x:c r="Q6" s="71" t="str">
        <x:v>EN (default / shared)</x:v>
      </x:c>
      <x:c r="R6" s="71" t="str">
        <x:v>Already clear and direct; suggested wording intentionally keeps the current copy.</x:v>
      </x:c>
      <x:c r="S6" s="75" t="str">
        <x:v>Not applied — review required</x:v>
      </x:c>
    </x:row>
    <x:row r="7">
      <x:c r="A7" s="71" t="str">
        <x:v>MRV-F7563F132D</x:v>
      </x:c>
      <x:c r="B7" s="71" t="str">
        <x:v>Admin</x:v>
      </x:c>
      <x:c r="C7" s="71" t="str">
        <x:v>Admin operations</x:v>
      </x:c>
      <x:c r="D7" s="71" t="str">
        <x:v>/journey/admin/emails</x:v>
      </x:c>
      <x:c r="E7" s="71" t="str">
        <x:v>metadata</x:v>
      </x:c>
      <x:c r="F7" s="71" t="str">
        <x:v>Default</x:v>
      </x:c>
      <x:c r="G7" s="71" t="str">
        <x:v>Tooltip</x:v>
      </x:c>
      <x:c r="H7" s="71" t="str">
        <x:v>Email delivery · Morrovia</x:v>
      </x:c>
      <x:c r="I7" s="71" t="str">
        <x:v>Email delivery · Morrovia</x:v>
      </x:c>
      <x:c r="J7" s="73"/>
      <x:c r="K7" s="74" t="str">
        <x:f>IF(J7="",H7,IF(J7=I7,I7,J7))</x:f>
        <x:v>Email delivery · Morrovia</x:v>
      </x:c>
      <x:c r="L7" s="74" t="str">
        <x:f>IF(J7="","Keep current",IF(J7=I7,"Use suggestion","Custom"))</x:f>
        <x:v>Keep current</x:v>
      </x:c>
      <x:c r="M7" s="71" t="str">
        <x:v>Pending review</x:v>
      </x:c>
      <x:c r="N7" s="71" t="str">
        <x:v>Normal</x:v>
      </x:c>
      <x:c r="O7" s="71" t="str">
        <x:v>app/journey/admin/emails/page.tsx</x:v>
      </x:c>
      <x:c r="P7" s="71" t="str">
        <x:v>metadata:10</x:v>
      </x:c>
      <x:c r="Q7" s="71" t="str">
        <x:v>EN (default / shared)</x:v>
      </x:c>
      <x:c r="R7" s="71" t="str">
        <x:v>Already clear and direct; suggested wording intentionally keeps the current copy.</x:v>
      </x:c>
      <x:c r="S7" s="75" t="str">
        <x:v>Not applied — review required</x:v>
      </x:c>
    </x:row>
    <x:row r="8">
      <x:c r="A8" s="71" t="str">
        <x:v>MRV-750A2B2AF2</x:v>
      </x:c>
      <x:c r="B8" s="71" t="str">
        <x:v>Admin</x:v>
      </x:c>
      <x:c r="C8" s="71" t="str">
        <x:v>Admin operations</x:v>
      </x:c>
      <x:c r="D8" s="71" t="str">
        <x:v>/journey/admin/emails</x:v>
      </x:c>
      <x:c r="E8" s="71" t="str">
        <x:v>EasyTEmailAdminPage</x:v>
      </x:c>
      <x:c r="F8" s="71" t="str">
        <x:v>Default</x:v>
      </x:c>
      <x:c r="G8" s="71" t="str">
        <x:v>Body copy</x:v>
      </x:c>
      <x:c r="H8" s="71" t="str">
        <x:v>Email delivery.</x:v>
      </x:c>
      <x:c r="I8" s="71" t="str">
        <x:v>Email delivery.</x:v>
      </x:c>
      <x:c r="J8" s="73"/>
      <x:c r="K8" s="74" t="str">
        <x:f>IF(J8="",H8,IF(J8=I8,I8,J8))</x:f>
        <x:v>Email delivery.</x:v>
      </x:c>
      <x:c r="L8" s="74" t="str">
        <x:f>IF(J8="","Keep current",IF(J8=I8,"Use suggestion","Custom"))</x:f>
        <x:v>Keep current</x:v>
      </x:c>
      <x:c r="M8" s="71" t="str">
        <x:v>Pending review</x:v>
      </x:c>
      <x:c r="N8" s="71" t="str">
        <x:v>Normal</x:v>
      </x:c>
      <x:c r="O8" s="71" t="str">
        <x:v>app/journey/admin/emails/page.tsx</x:v>
      </x:c>
      <x:c r="P8" s="71" t="str">
        <x:v>EasyTEmailAdminPage:20</x:v>
      </x:c>
      <x:c r="Q8" s="71" t="str">
        <x:v>EN (default / shared)</x:v>
      </x:c>
      <x:c r="R8" s="71" t="str">
        <x:v>Already clear and direct; suggested wording intentionally keeps the current copy. Duplicate wording: appears 2 times.</x:v>
      </x:c>
      <x:c r="S8" s="75" t="str">
        <x:v>Not applied — review required</x:v>
      </x:c>
    </x:row>
    <x:row r="9">
      <x:c r="A9" s="71" t="str">
        <x:v>MRV-0152896628</x:v>
      </x:c>
      <x:c r="B9" s="71" t="str">
        <x:v>Admin</x:v>
      </x:c>
      <x:c r="C9" s="71" t="str">
        <x:v>Admin operations</x:v>
      </x:c>
      <x:c r="D9" s="71" t="str">
        <x:v>/journey/admin/emails</x:v>
      </x:c>
      <x:c r="E9" s="71" t="str">
        <x:v>EasyTEmailAdminPage</x:v>
      </x:c>
      <x:c r="F9" s="71" t="str">
        <x:v>Default</x:v>
      </x:c>
      <x:c r="G9" s="71" t="str">
        <x:v>Body copy</x:v>
      </x:c>
      <x:c r="H9" s="71" t="str">
        <x:v>No email events yet.</x:v>
      </x:c>
      <x:c r="I9" s="71" t="str">
        <x:v>No email events yet.</x:v>
      </x:c>
      <x:c r="J9" s="73"/>
      <x:c r="K9" s="74" t="str">
        <x:f>IF(J9="",H9,IF(J9=I9,I9,J9))</x:f>
        <x:v>No email events yet.</x:v>
      </x:c>
      <x:c r="L9" s="74" t="str">
        <x:f>IF(J9="","Keep current",IF(J9=I9,"Use suggestion","Custom"))</x:f>
        <x:v>Keep current</x:v>
      </x:c>
      <x:c r="M9" s="71" t="str">
        <x:v>Pending review</x:v>
      </x:c>
      <x:c r="N9" s="71" t="str">
        <x:v>Normal</x:v>
      </x:c>
      <x:c r="O9" s="71" t="str">
        <x:v>app/journey/admin/emails/page.tsx</x:v>
      </x:c>
      <x:c r="P9" s="71" t="str">
        <x:v>EasyTEmailAdminPage:21</x:v>
      </x:c>
      <x:c r="Q9" s="71" t="str">
        <x:v>EN (default / shared)</x:v>
      </x:c>
      <x:c r="R9" s="71" t="str">
        <x:v>Already clear and direct; suggested wording intentionally keeps the current copy.</x:v>
      </x:c>
      <x:c r="S9" s="75" t="str">
        <x:v>Not applied — review required</x:v>
      </x:c>
    </x:row>
    <x:row r="10">
      <x:c r="A10" s="71" t="str">
        <x:v>MRV-2EBC559850</x:v>
      </x:c>
      <x:c r="B10" s="71" t="str">
        <x:v>Admin</x:v>
      </x:c>
      <x:c r="C10" s="71" t="str">
        <x:v>Admin operations</x:v>
      </x:c>
      <x:c r="D10" s="71" t="str">
        <x:v>/journey/admin/feedback/feedback-triage-list</x:v>
      </x:c>
      <x:c r="E10" s="71" t="str">
        <x:v>save</x:v>
      </x:c>
      <x:c r="F10" s="71" t="str">
        <x:v>Failure / recovery</x:v>
      </x:c>
      <x:c r="G10" s="71" t="str">
        <x:v>Body copy</x:v>
      </x:c>
      <x:c r="H10" s="71" t="str">
        <x:v>We couldn't save that triage update.</x:v>
      </x:c>
      <x:c r="I10" s="71" t="str">
        <x:v>We couldn't save that triage update.</x:v>
      </x:c>
      <x:c r="J10" s="73"/>
      <x:c r="K10" s="74" t="str">
        <x:f>IF(J10="",H10,IF(J10=I10,I10,J10))</x:f>
        <x:v>We couldn't save that triage update.</x:v>
      </x:c>
      <x:c r="L10" s="74" t="str">
        <x:f>IF(J10="","Keep current",IF(J10=I10,"Use suggestion","Custom"))</x:f>
        <x:v>Keep current</x:v>
      </x:c>
      <x:c r="M10" s="71" t="str">
        <x:v>Pending review</x:v>
      </x:c>
      <x:c r="N10" s="71" t="str">
        <x:v>High</x:v>
      </x:c>
      <x:c r="O10" s="71" t="str">
        <x:v>app/journey/admin/feedback/feedback-triage-list.tsx</x:v>
      </x:c>
      <x:c r="P10" s="71" t="str">
        <x:v>save:21</x:v>
      </x:c>
      <x:c r="Q10" s="71" t="str">
        <x:v>EN (default / shared)</x:v>
      </x:c>
      <x:c r="R10" s="71" t="str">
        <x:v>Already clear and direct; suggested wording intentionally keeps the current copy.</x:v>
      </x:c>
      <x:c r="S10" s="75" t="str">
        <x:v>Not applied — review required</x:v>
      </x:c>
    </x:row>
    <x:row r="11">
      <x:c r="A11" s="71" t="str">
        <x:v>MRV-39C43E5C1F</x:v>
      </x:c>
      <x:c r="B11" s="71" t="str">
        <x:v>Admin</x:v>
      </x:c>
      <x:c r="C11" s="71" t="str">
        <x:v>Admin operations</x:v>
      </x:c>
      <x:c r="D11" s="71" t="str">
        <x:v>/journey/admin/feedback/feedback-triage-list</x:v>
      </x:c>
      <x:c r="E11" s="71" t="str">
        <x:v>save</x:v>
      </x:c>
      <x:c r="F11" s="71" t="str">
        <x:v>Default</x:v>
      </x:c>
      <x:c r="G11" s="71" t="str">
        <x:v>Body copy</x:v>
      </x:c>
      <x:c r="H11" s="71" t="str">
        <x:v>Triage update saved.</x:v>
      </x:c>
      <x:c r="I11" s="71" t="str">
        <x:v>Triage update saved.</x:v>
      </x:c>
      <x:c r="J11" s="73"/>
      <x:c r="K11" s="74" t="str">
        <x:f>IF(J11="",H11,IF(J11=I11,I11,J11))</x:f>
        <x:v>Triage update saved.</x:v>
      </x:c>
      <x:c r="L11" s="74" t="str">
        <x:f>IF(J11="","Keep current",IF(J11=I11,"Use suggestion","Custom"))</x:f>
        <x:v>Keep current</x:v>
      </x:c>
      <x:c r="M11" s="71" t="str">
        <x:v>Pending review</x:v>
      </x:c>
      <x:c r="N11" s="71" t="str">
        <x:v>Normal</x:v>
      </x:c>
      <x:c r="O11" s="71" t="str">
        <x:v>app/journey/admin/feedback/feedback-triage-list.tsx</x:v>
      </x:c>
      <x:c r="P11" s="71" t="str">
        <x:v>save:22</x:v>
      </x:c>
      <x:c r="Q11" s="71" t="str">
        <x:v>EN (default / shared)</x:v>
      </x:c>
      <x:c r="R11" s="71" t="str">
        <x:v>Already clear and direct; suggested wording intentionally keeps the current copy.</x:v>
      </x:c>
      <x:c r="S11" s="75" t="str">
        <x:v>Not applied — review required</x:v>
      </x:c>
    </x:row>
    <x:row r="12">
      <x:c r="A12" s="71" t="str">
        <x:v>MRV-476D80ECB0</x:v>
      </x:c>
      <x:c r="B12" s="71" t="str">
        <x:v>Admin</x:v>
      </x:c>
      <x:c r="C12" s="71" t="str">
        <x:v>Admin operations</x:v>
      </x:c>
      <x:c r="D12" s="71" t="str">
        <x:v>/journey/admin/feedback/feedback-triage-list</x:v>
      </x:c>
      <x:c r="E12" s="71" t="str">
        <x:v>FeedbackTriageList</x:v>
      </x:c>
      <x:c r="F12" s="71" t="str">
        <x:v>Accessibility / input support</x:v>
      </x:c>
      <x:c r="G12" s="71" t="str">
        <x:v>Accessibility label</x:v>
      </x:c>
      <x:c r="H12" s="71" t="str">
        <x:v>Feedback responses</x:v>
      </x:c>
      <x:c r="I12" s="71" t="str">
        <x:v>Feedback responses</x:v>
      </x:c>
      <x:c r="J12" s="73"/>
      <x:c r="K12" s="74" t="str">
        <x:f>IF(J12="",H12,IF(J12=I12,I12,J12))</x:f>
        <x:v>Feedback responses</x:v>
      </x:c>
      <x:c r="L12" s="74" t="str">
        <x:f>IF(J12="","Keep current",IF(J12=I12,"Use suggestion","Custom"))</x:f>
        <x:v>Keep current</x:v>
      </x:c>
      <x:c r="M12" s="71" t="str">
        <x:v>Pending review</x:v>
      </x:c>
      <x:c r="N12" s="71" t="str">
        <x:v>Medium</x:v>
      </x:c>
      <x:c r="O12" s="71" t="str">
        <x:v>app/journey/admin/feedback/feedback-triage-list.tsx</x:v>
      </x:c>
      <x:c r="P12" s="71" t="str">
        <x:v>FeedbackTriageList:25</x:v>
      </x:c>
      <x:c r="Q12" s="71" t="str">
        <x:v>EN (default / shared)</x:v>
      </x:c>
      <x:c r="R12" s="71" t="str">
        <x:v>Already clear and direct; suggested wording intentionally keeps the current copy.</x:v>
      </x:c>
      <x:c r="S12" s="75" t="str">
        <x:v>Not applied — review required</x:v>
      </x:c>
    </x:row>
    <x:row r="13">
      <x:c r="A13" s="71" t="str">
        <x:v>MRV-B5E8AFC5EC</x:v>
      </x:c>
      <x:c r="B13" s="71" t="str">
        <x:v>Admin</x:v>
      </x:c>
      <x:c r="C13" s="71" t="str">
        <x:v>Admin operations</x:v>
      </x:c>
      <x:c r="D13" s="71" t="str">
        <x:v>/journey/admin/feedback/feedback-triage-list</x:v>
      </x:c>
      <x:c r="E13" s="71" t="str">
        <x:v>FeedbackTriageList</x:v>
      </x:c>
      <x:c r="F13" s="71" t="str">
        <x:v>Default</x:v>
      </x:c>
      <x:c r="G13" s="71" t="str">
        <x:v>Label</x:v>
      </x:c>
      <x:c r="H13" s="71" t="str">
        <x:v>All feedback</x:v>
      </x:c>
      <x:c r="I13" s="71" t="str">
        <x:v>All feedback</x:v>
      </x:c>
      <x:c r="J13" s="73"/>
      <x:c r="K13" s="74" t="str">
        <x:f>IF(J13="",H13,IF(J13=I13,I13,J13))</x:f>
        <x:v>All feedback</x:v>
      </x:c>
      <x:c r="L13" s="74" t="str">
        <x:f>IF(J13="","Keep current",IF(J13=I13,"Use suggestion","Custom"))</x:f>
        <x:v>Keep current</x:v>
      </x:c>
      <x:c r="M13" s="71" t="str">
        <x:v>Pending review</x:v>
      </x:c>
      <x:c r="N13" s="71" t="str">
        <x:v>Normal</x:v>
      </x:c>
      <x:c r="O13" s="71" t="str">
        <x:v>app/journey/admin/feedback/feedback-triage-list.tsx</x:v>
      </x:c>
      <x:c r="P13" s="71" t="str">
        <x:v>FeedbackTriageList:26</x:v>
      </x:c>
      <x:c r="Q13" s="71" t="str">
        <x:v>EN (default / shared)</x:v>
      </x:c>
      <x:c r="R13" s="71" t="str">
        <x:v>Already clear and direct; suggested wording intentionally keeps the current copy.</x:v>
      </x:c>
      <x:c r="S13" s="75" t="str">
        <x:v>Not applied — review required</x:v>
      </x:c>
    </x:row>
    <x:row r="14">
      <x:c r="A14" s="71" t="str">
        <x:v>MRV-24A97A4413</x:v>
      </x:c>
      <x:c r="B14" s="71" t="str">
        <x:v>Admin</x:v>
      </x:c>
      <x:c r="C14" s="71" t="str">
        <x:v>Admin operations</x:v>
      </x:c>
      <x:c r="D14" s="71" t="str">
        <x:v>/journey/admin/feedback/feedback-triage-list</x:v>
      </x:c>
      <x:c r="E14" s="71" t="str">
        <x:v>FeedbackTriageList</x:v>
      </x:c>
      <x:c r="F14" s="71" t="str">
        <x:v>Default</x:v>
      </x:c>
      <x:c r="G14" s="71" t="str">
        <x:v>Body copy</x:v>
      </x:c>
      <x:c r="H14" s="71" t="str">
        <x:v>No written comment.</x:v>
      </x:c>
      <x:c r="I14" s="71" t="str">
        <x:v>No written comment.</x:v>
      </x:c>
      <x:c r="J14" s="73"/>
      <x:c r="K14" s="74" t="str">
        <x:f>IF(J14="",H14,IF(J14=I14,I14,J14))</x:f>
        <x:v>No written comment.</x:v>
      </x:c>
      <x:c r="L14" s="74" t="str">
        <x:f>IF(J14="","Keep current",IF(J14=I14,"Use suggestion","Custom"))</x:f>
        <x:v>Keep current</x:v>
      </x:c>
      <x:c r="M14" s="71" t="str">
        <x:v>Pending review</x:v>
      </x:c>
      <x:c r="N14" s="71" t="str">
        <x:v>Normal</x:v>
      </x:c>
      <x:c r="O14" s="71" t="str">
        <x:v>app/journey/admin/feedback/feedback-triage-list.tsx</x:v>
      </x:c>
      <x:c r="P14" s="71" t="str">
        <x:v>FeedbackTriageList:28</x:v>
      </x:c>
      <x:c r="Q14" s="71" t="str">
        <x:v>EN (default / shared)</x:v>
      </x:c>
      <x:c r="R14" s="71" t="str">
        <x:v>Already clear and direct; suggested wording intentionally keeps the current copy.</x:v>
      </x:c>
      <x:c r="S14" s="75" t="str">
        <x:v>Not applied — review required</x:v>
      </x:c>
    </x:row>
    <x:row r="15">
      <x:c r="A15" s="71" t="str">
        <x:v>MRV-C92FDD9748</x:v>
      </x:c>
      <x:c r="B15" s="71" t="str">
        <x:v>Admin</x:v>
      </x:c>
      <x:c r="C15" s="71" t="str">
        <x:v>Admin operations</x:v>
      </x:c>
      <x:c r="D15" s="71" t="str">
        <x:v>/journey/admin/feedback/feedback-triage-list</x:v>
      </x:c>
      <x:c r="E15" s="71" t="str">
        <x:v>FeedbackTriageList</x:v>
      </x:c>
      <x:c r="F15" s="71" t="str">
        <x:v>Wrong owner / access denied</x:v>
      </x:c>
      <x:c r="G15" s="71" t="str">
        <x:v>Label</x:v>
      </x:c>
      <x:c r="H15" s="71" t="str">
        <x:v>Unknown account</x:v>
      </x:c>
      <x:c r="I15" s="71" t="str">
        <x:v>Unknown account</x:v>
      </x:c>
      <x:c r="J15" s="73"/>
      <x:c r="K15" s="74" t="str">
        <x:f>IF(J15="",H15,IF(J15=I15,I15,J15))</x:f>
        <x:v>Unknown account</x:v>
      </x:c>
      <x:c r="L15" s="74" t="str">
        <x:f>IF(J15="","Keep current",IF(J15=I15,"Use suggestion","Custom"))</x:f>
        <x:v>Keep current</x:v>
      </x:c>
      <x:c r="M15" s="71" t="str">
        <x:v>Pending review</x:v>
      </x:c>
      <x:c r="N15" s="71" t="str">
        <x:v>High</x:v>
      </x:c>
      <x:c r="O15" s="71" t="str">
        <x:v>app/journey/admin/feedback/feedback-triage-list.tsx</x:v>
      </x:c>
      <x:c r="P15" s="71" t="str">
        <x:v>FeedbackTriageList:28</x:v>
      </x:c>
      <x:c r="Q15" s="71" t="str">
        <x:v>EN (default / shared)</x:v>
      </x:c>
      <x:c r="R15" s="71" t="str">
        <x:v>Already clear and direct; suggested wording intentionally keeps the current copy.</x:v>
      </x:c>
      <x:c r="S15" s="75" t="str">
        <x:v>Not applied — review required</x:v>
      </x:c>
    </x:row>
    <x:row r="16">
      <x:c r="A16" s="71" t="str">
        <x:v>MRV-8E8376829C</x:v>
      </x:c>
      <x:c r="B16" s="71" t="str">
        <x:v>Admin</x:v>
      </x:c>
      <x:c r="C16" s="71" t="str">
        <x:v>Admin operations</x:v>
      </x:c>
      <x:c r="D16" s="71" t="str">
        <x:v>/journey/admin/feedback/feedback-triage-list</x:v>
      </x:c>
      <x:c r="E16" s="71" t="str">
        <x:v>FeedbackTriageList</x:v>
      </x:c>
      <x:c r="F16" s="71" t="str">
        <x:v>Default</x:v>
      </x:c>
      <x:c r="G16" s="71" t="str">
        <x:v>Label</x:v>
      </x:c>
      <x:c r="H16" s="71" t="str">
        <x:v>Internal note</x:v>
      </x:c>
      <x:c r="I16" s="71" t="str">
        <x:v>Internal note</x:v>
      </x:c>
      <x:c r="J16" s="73"/>
      <x:c r="K16" s="74" t="str">
        <x:f>IF(J16="",H16,IF(J16=I16,I16,J16))</x:f>
        <x:v>Internal note</x:v>
      </x:c>
      <x:c r="L16" s="74" t="str">
        <x:f>IF(J16="","Keep current",IF(J16=I16,"Use suggestion","Custom"))</x:f>
        <x:v>Keep current</x:v>
      </x:c>
      <x:c r="M16" s="71" t="str">
        <x:v>Pending review</x:v>
      </x:c>
      <x:c r="N16" s="71" t="str">
        <x:v>Normal</x:v>
      </x:c>
      <x:c r="O16" s="71" t="str">
        <x:v>app/journey/admin/feedback/feedback-triage-list.tsx</x:v>
      </x:c>
      <x:c r="P16" s="71" t="str">
        <x:v>FeedbackTriageList:28</x:v>
      </x:c>
      <x:c r="Q16" s="71" t="str">
        <x:v>EN (default / shared)</x:v>
      </x:c>
      <x:c r="R16" s="71" t="str">
        <x:v>Already clear and direct; suggested wording intentionally keeps the current copy.</x:v>
      </x:c>
      <x:c r="S16" s="75" t="str">
        <x:v>Not applied — review required</x:v>
      </x:c>
    </x:row>
    <x:row r="17">
      <x:c r="A17" s="71" t="str">
        <x:v>MRV-1B9F25F9A4</x:v>
      </x:c>
      <x:c r="B17" s="71" t="str">
        <x:v>Admin</x:v>
      </x:c>
      <x:c r="C17" s="71" t="str">
        <x:v>Admin operations</x:v>
      </x:c>
      <x:c r="D17" s="71" t="str">
        <x:v>/journey/admin/feedback/feedback-triage-list</x:v>
      </x:c>
      <x:c r="E17" s="71" t="str">
        <x:v>FeedbackTriageList</x:v>
      </x:c>
      <x:c r="F17" s="71" t="str">
        <x:v>Accessibility / input support</x:v>
      </x:c>
      <x:c r="G17" s="71" t="str">
        <x:v>Placeholder</x:v>
      </x:c>
      <x:c r="H17" s="71" t="str">
        <x:v>What did we learn? What happens next?</x:v>
      </x:c>
      <x:c r="I17" s="71" t="str">
        <x:v>What did we learn? What happens next?</x:v>
      </x:c>
      <x:c r="J17" s="73"/>
      <x:c r="K17" s="74" t="str">
        <x:f>IF(J17="",H17,IF(J17=I17,I17,J17))</x:f>
        <x:v>What did we learn? What happens next?</x:v>
      </x:c>
      <x:c r="L17" s="74" t="str">
        <x:f>IF(J17="","Keep current",IF(J17=I17,"Use suggestion","Custom"))</x:f>
        <x:v>Keep current</x:v>
      </x:c>
      <x:c r="M17" s="71" t="str">
        <x:v>Pending review</x:v>
      </x:c>
      <x:c r="N17" s="71" t="str">
        <x:v>Medium</x:v>
      </x:c>
      <x:c r="O17" s="71" t="str">
        <x:v>app/journey/admin/feedback/feedback-triage-list.tsx</x:v>
      </x:c>
      <x:c r="P17" s="71" t="str">
        <x:v>FeedbackTriageList:28</x:v>
      </x:c>
      <x:c r="Q17" s="71" t="str">
        <x:v>EN (default / shared)</x:v>
      </x:c>
      <x:c r="R17" s="71" t="str">
        <x:v>Already clear and direct; suggested wording intentionally keeps the current copy.</x:v>
      </x:c>
      <x:c r="S17" s="75" t="str">
        <x:v>Not applied — review required</x:v>
      </x:c>
    </x:row>
    <x:row r="18">
      <x:c r="A18" s="71" t="str">
        <x:v>MRV-7174858666</x:v>
      </x:c>
      <x:c r="B18" s="71" t="str">
        <x:v>Admin</x:v>
      </x:c>
      <x:c r="C18" s="71" t="str">
        <x:v>Admin operations</x:v>
      </x:c>
      <x:c r="D18" s="71" t="str">
        <x:v>/journey/admin/feedback/feedback-triage-list</x:v>
      </x:c>
      <x:c r="E18" s="71" t="str">
        <x:v>FeedbackTriageList</x:v>
      </x:c>
      <x:c r="F18" s="71" t="str">
        <x:v>Loading / in progress</x:v>
      </x:c>
      <x:c r="G18" s="71" t="str">
        <x:v>Label</x:v>
      </x:c>
      <x:c r="H18" s="71" t="str">
        <x:v>Saving…</x:v>
      </x:c>
      <x:c r="I18" s="71" t="str">
        <x:v>Saving…</x:v>
      </x:c>
      <x:c r="J18" s="73"/>
      <x:c r="K18" s="74" t="str">
        <x:f>IF(J18="",H18,IF(J18=I18,I18,J18))</x:f>
        <x:v>Saving…</x:v>
      </x:c>
      <x:c r="L18" s="74" t="str">
        <x:f>IF(J18="","Keep current",IF(J18=I18,"Use suggestion","Custom"))</x:f>
        <x:v>Keep current</x:v>
      </x:c>
      <x:c r="M18" s="71" t="str">
        <x:v>Pending review</x:v>
      </x:c>
      <x:c r="N18" s="71" t="str">
        <x:v>Normal</x:v>
      </x:c>
      <x:c r="O18" s="71" t="str">
        <x:v>app/journey/admin/feedback/feedback-triage-list.tsx</x:v>
      </x:c>
      <x:c r="P18" s="71" t="str">
        <x:v>FeedbackTriageList:28</x:v>
      </x:c>
      <x:c r="Q18" s="71" t="str">
        <x:v>EN (default / shared)</x:v>
      </x:c>
      <x:c r="R18" s="71" t="str">
        <x:v>Already clear and direct; suggested wording intentionally keeps the current copy. Duplicate wording: appears 2 times.</x:v>
      </x:c>
      <x:c r="S18" s="75" t="str">
        <x:v>Not applied — review required</x:v>
      </x:c>
    </x:row>
    <x:row r="19">
      <x:c r="A19" s="71" t="str">
        <x:v>MRV-6B200B5000</x:v>
      </x:c>
      <x:c r="B19" s="71" t="str">
        <x:v>Admin</x:v>
      </x:c>
      <x:c r="C19" s="71" t="str">
        <x:v>Admin operations</x:v>
      </x:c>
      <x:c r="D19" s="71" t="str">
        <x:v>/journey/admin/feedback/feedback-triage-list</x:v>
      </x:c>
      <x:c r="E19" s="71" t="str">
        <x:v>FeedbackTriageList</x:v>
      </x:c>
      <x:c r="F19" s="71" t="str">
        <x:v>Loading / in progress</x:v>
      </x:c>
      <x:c r="G19" s="71" t="str">
        <x:v>CTA / button</x:v>
      </x:c>
      <x:c r="H19" s="71" t="str">
        <x:v>Save triage</x:v>
      </x:c>
      <x:c r="I19" s="71" t="str">
        <x:v>Save triage</x:v>
      </x:c>
      <x:c r="J19" s="73"/>
      <x:c r="K19" s="74" t="str">
        <x:f>IF(J19="",H19,IF(J19=I19,I19,J19))</x:f>
        <x:v>Save triage</x:v>
      </x:c>
      <x:c r="L19" s="74" t="str">
        <x:f>IF(J19="","Keep current",IF(J19=I19,"Use suggestion","Custom"))</x:f>
        <x:v>Keep current</x:v>
      </x:c>
      <x:c r="M19" s="71" t="str">
        <x:v>Pending review</x:v>
      </x:c>
      <x:c r="N19" s="71" t="str">
        <x:v>Medium</x:v>
      </x:c>
      <x:c r="O19" s="71" t="str">
        <x:v>app/journey/admin/feedback/feedback-triage-list.tsx</x:v>
      </x:c>
      <x:c r="P19" s="71" t="str">
        <x:v>FeedbackTriageList:28</x:v>
      </x:c>
      <x:c r="Q19" s="71" t="str">
        <x:v>EN (default / shared)</x:v>
      </x:c>
      <x:c r="R19" s="71" t="str">
        <x:v>Already clear and direct; suggested wording intentionally keeps the current copy.</x:v>
      </x:c>
      <x:c r="S19" s="75" t="str">
        <x:v>Not applied — review required</x:v>
      </x:c>
    </x:row>
    <x:row r="20">
      <x:c r="A20" s="71" t="str">
        <x:v>MRV-B000AFFC7D</x:v>
      </x:c>
      <x:c r="B20" s="71" t="str">
        <x:v>Admin</x:v>
      </x:c>
      <x:c r="C20" s="71" t="str">
        <x:v>Admin operations</x:v>
      </x:c>
      <x:c r="D20" s="71" t="str">
        <x:v>/journey/admin/feedback</x:v>
      </x:c>
      <x:c r="E20" s="71" t="str">
        <x:v>metadata</x:v>
      </x:c>
      <x:c r="F20" s="71" t="str">
        <x:v>Default</x:v>
      </x:c>
      <x:c r="G20" s="71" t="str">
        <x:v>Tooltip</x:v>
      </x:c>
      <x:c r="H20" s="71" t="str">
        <x:v>Feedback · Morrovia</x:v>
      </x:c>
      <x:c r="I20" s="71" t="str">
        <x:v>Feedback · Morrovia</x:v>
      </x:c>
      <x:c r="J20" s="73"/>
      <x:c r="K20" s="74" t="str">
        <x:f>IF(J20="",H20,IF(J20=I20,I20,J20))</x:f>
        <x:v>Feedback · Morrovia</x:v>
      </x:c>
      <x:c r="L20" s="74" t="str">
        <x:f>IF(J20="","Keep current",IF(J20=I20,"Use suggestion","Custom"))</x:f>
        <x:v>Keep current</x:v>
      </x:c>
      <x:c r="M20" s="71" t="str">
        <x:v>Pending review</x:v>
      </x:c>
      <x:c r="N20" s="71" t="str">
        <x:v>Normal</x:v>
      </x:c>
      <x:c r="O20" s="71" t="str">
        <x:v>app/journey/admin/feedback/page.tsx</x:v>
      </x:c>
      <x:c r="P20" s="71" t="str">
        <x:v>metadata:12</x:v>
      </x:c>
      <x:c r="Q20" s="71" t="str">
        <x:v>EN (default / shared)</x:v>
      </x:c>
      <x:c r="R20" s="71" t="str">
        <x:v>Already clear and direct; suggested wording intentionally keeps the current copy.</x:v>
      </x:c>
      <x:c r="S20" s="75" t="str">
        <x:v>Not applied — review required</x:v>
      </x:c>
    </x:row>
    <x:row r="21">
      <x:c r="A21" s="71" t="str">
        <x:v>MRV-67ABE73269</x:v>
      </x:c>
      <x:c r="B21" s="71" t="str">
        <x:v>Admin</x:v>
      </x:c>
      <x:c r="C21" s="71" t="str">
        <x:v>Admin operations</x:v>
      </x:c>
      <x:c r="D21" s="71" t="str">
        <x:v>/journey/admin/feedback</x:v>
      </x:c>
      <x:c r="E21" s="71" t="str">
        <x:v>EasyTAdminFeedbackPage</x:v>
      </x:c>
      <x:c r="F21" s="71" t="str">
        <x:v>Default</x:v>
      </x:c>
      <x:c r="G21" s="71" t="str">
        <x:v>Body copy</x:v>
      </x:c>
      <x:c r="H21" s="71" t="str">
        <x:v>Feedback inbox.</x:v>
      </x:c>
      <x:c r="I21" s="71" t="str">
        <x:v>Feedback inbox.</x:v>
      </x:c>
      <x:c r="J21" s="73"/>
      <x:c r="K21" s="74" t="str">
        <x:f>IF(J21="",H21,IF(J21=I21,I21,J21))</x:f>
        <x:v>Feedback inbox.</x:v>
      </x:c>
      <x:c r="L21" s="74" t="str">
        <x:f>IF(J21="","Keep current",IF(J21=I21,"Use suggestion","Custom"))</x:f>
        <x:v>Keep current</x:v>
      </x:c>
      <x:c r="M21" s="71" t="str">
        <x:v>Pending review</x:v>
      </x:c>
      <x:c r="N21" s="71" t="str">
        <x:v>Normal</x:v>
      </x:c>
      <x:c r="O21" s="71" t="str">
        <x:v>app/journey/admin/feedback/page.tsx</x:v>
      </x:c>
      <x:c r="P21" s="71" t="str">
        <x:v>EasyTAdminFeedbackPage:29</x:v>
      </x:c>
      <x:c r="Q21" s="71" t="str">
        <x:v>EN (default / shared)</x:v>
      </x:c>
      <x:c r="R21" s="71" t="str">
        <x:v>Already clear and direct; suggested wording intentionally keeps the current copy. Duplicate wording: appears 2 times.</x:v>
      </x:c>
      <x:c r="S21" s="75" t="str">
        <x:v>Not applied — review required</x:v>
      </x:c>
    </x:row>
    <x:row r="22">
      <x:c r="A22" s="71" t="str">
        <x:v>MRV-A083CB22F6</x:v>
      </x:c>
      <x:c r="B22" s="71" t="str">
        <x:v>Admin</x:v>
      </x:c>
      <x:c r="C22" s="71" t="str">
        <x:v>Admin operations</x:v>
      </x:c>
      <x:c r="D22" s="71" t="str">
        <x:v>/journey/admin/feedback</x:v>
      </x:c>
      <x:c r="E22" s="71" t="str">
        <x:v>EasyTAdminFeedbackPage</x:v>
      </x:c>
      <x:c r="F22" s="71" t="str">
        <x:v>Default</x:v>
      </x:c>
      <x:c r="G22" s="71" t="str">
        <x:v>Label</x:v>
      </x:c>
      <x:c r="H22" s="71" t="str">
        <x:v>No rating yet</x:v>
      </x:c>
      <x:c r="I22" s="71" t="str">
        <x:v>No rating yet</x:v>
      </x:c>
      <x:c r="J22" s="73"/>
      <x:c r="K22" s="74" t="str">
        <x:f>IF(J22="",H22,IF(J22=I22,I22,J22))</x:f>
        <x:v>No rating yet</x:v>
      </x:c>
      <x:c r="L22" s="74" t="str">
        <x:f>IF(J22="","Keep current",IF(J22=I22,"Use suggestion","Custom"))</x:f>
        <x:v>Keep current</x:v>
      </x:c>
      <x:c r="M22" s="71" t="str">
        <x:v>Pending review</x:v>
      </x:c>
      <x:c r="N22" s="71" t="str">
        <x:v>Normal</x:v>
      </x:c>
      <x:c r="O22" s="71" t="str">
        <x:v>app/journey/admin/feedback/page.tsx</x:v>
      </x:c>
      <x:c r="P22" s="71" t="str">
        <x:v>EasyTAdminFeedbackPage:33</x:v>
      </x:c>
      <x:c r="Q22" s="71" t="str">
        <x:v>EN (default / shared)</x:v>
      </x:c>
      <x:c r="R22" s="71" t="str">
        <x:v>Already clear and direct; suggested wording intentionally keeps the current copy.</x:v>
      </x:c>
      <x:c r="S22" s="75" t="str">
        <x:v>Not applied — review required</x:v>
      </x:c>
    </x:row>
    <x:row r="23">
      <x:c r="A23" s="71" t="str">
        <x:v>MRV-47DD404E0B</x:v>
      </x:c>
      <x:c r="B23" s="71" t="str">
        <x:v>Admin</x:v>
      </x:c>
      <x:c r="C23" s="71" t="str">
        <x:v>Admin operations</x:v>
      </x:c>
      <x:c r="D23" s="71" t="str">
        <x:v>/journey/admin/feedback</x:v>
      </x:c>
      <x:c r="E23" s="71" t="str">
        <x:v>EasyTAdminFeedbackPage</x:v>
      </x:c>
      <x:c r="F23" s="71" t="str">
        <x:v>Default</x:v>
      </x:c>
      <x:c r="G23" s="71" t="str">
        <x:v>Label</x:v>
      </x:c>
      <x:c r="H23" s="71" t="str">
        <x:v>average rating</x:v>
      </x:c>
      <x:c r="I23" s="71" t="str">
        <x:v>average rating</x:v>
      </x:c>
      <x:c r="J23" s="73"/>
      <x:c r="K23" s="74" t="str">
        <x:f>IF(J23="",H23,IF(J23=I23,I23,J23))</x:f>
        <x:v>average rating</x:v>
      </x:c>
      <x:c r="L23" s="74" t="str">
        <x:f>IF(J23="","Keep current",IF(J23=I23,"Use suggestion","Custom"))</x:f>
        <x:v>Keep current</x:v>
      </x:c>
      <x:c r="M23" s="71" t="str">
        <x:v>Pending review</x:v>
      </x:c>
      <x:c r="N23" s="71" t="str">
        <x:v>Normal</x:v>
      </x:c>
      <x:c r="O23" s="71" t="str">
        <x:v>app/journey/admin/feedback/page.tsx</x:v>
      </x:c>
      <x:c r="P23" s="71" t="str">
        <x:v>EasyTAdminFeedbackPage:33</x:v>
      </x:c>
      <x:c r="Q23" s="71" t="str">
        <x:v>EN (default / shared)</x:v>
      </x:c>
      <x:c r="R23" s="71" t="str">
        <x:v>Already clear and direct; suggested wording intentionally keeps the current copy.</x:v>
      </x:c>
      <x:c r="S23" s="75" t="str">
        <x:v>Not applied — review required</x:v>
      </x:c>
    </x:row>
    <x:row r="24">
      <x:c r="A24" s="71" t="str">
        <x:v>MRV-76B6BD1420</x:v>
      </x:c>
      <x:c r="B24" s="71" t="str">
        <x:v>Admin</x:v>
      </x:c>
      <x:c r="C24" s="71" t="str">
        <x:v>Admin operations</x:v>
      </x:c>
      <x:c r="D24" s="71" t="str">
        <x:v>/journey/admin/feedback</x:v>
      </x:c>
      <x:c r="E24" s="71" t="str">
        <x:v>EasyTAdminFeedbackPage</x:v>
      </x:c>
      <x:c r="F24" s="71" t="str">
        <x:v>Default</x:v>
      </x:c>
      <x:c r="G24" s="71" t="str">
        <x:v>Label</x:v>
      </x:c>
      <x:c r="H24" s="71" t="str">
        <x:v>with comments</x:v>
      </x:c>
      <x:c r="I24" s="71" t="str">
        <x:v>with comments</x:v>
      </x:c>
      <x:c r="J24" s="73"/>
      <x:c r="K24" s="74" t="str">
        <x:f>IF(J24="",H24,IF(J24=I24,I24,J24))</x:f>
        <x:v>with comments</x:v>
      </x:c>
      <x:c r="L24" s="74" t="str">
        <x:f>IF(J24="","Keep current",IF(J24=I24,"Use suggestion","Custom"))</x:f>
        <x:v>Keep current</x:v>
      </x:c>
      <x:c r="M24" s="71" t="str">
        <x:v>Pending review</x:v>
      </x:c>
      <x:c r="N24" s="71" t="str">
        <x:v>Normal</x:v>
      </x:c>
      <x:c r="O24" s="71" t="str">
        <x:v>app/journey/admin/feedback/page.tsx</x:v>
      </x:c>
      <x:c r="P24" s="71" t="str">
        <x:v>EasyTAdminFeedbackPage:34</x:v>
      </x:c>
      <x:c r="Q24" s="71" t="str">
        <x:v>EN (default / shared)</x:v>
      </x:c>
      <x:c r="R24" s="71" t="str">
        <x:v>Already clear and direct; suggested wording intentionally keeps the current copy.</x:v>
      </x:c>
      <x:c r="S24" s="75" t="str">
        <x:v>Not applied — review required</x:v>
      </x:c>
    </x:row>
    <x:row r="25">
      <x:c r="A25" s="71" t="str">
        <x:v>MRV-B4BC1C0FC4</x:v>
      </x:c>
      <x:c r="B25" s="71" t="str">
        <x:v>Admin</x:v>
      </x:c>
      <x:c r="C25" s="71" t="str">
        <x:v>Admin operations</x:v>
      </x:c>
      <x:c r="D25" s="71" t="str">
        <x:v>/journey/admin/feedback</x:v>
      </x:c>
      <x:c r="E25" s="71" t="str">
        <x:v>EasyTAdminFeedbackPage</x:v>
      </x:c>
      <x:c r="F25" s="71" t="str">
        <x:v>Accessibility / input support</x:v>
      </x:c>
      <x:c r="G25" s="71" t="str">
        <x:v>Accessibility label</x:v>
      </x:c>
      <x:c r="H25" s="71" t="str">
        <x:v>Rating distribution</x:v>
      </x:c>
      <x:c r="I25" s="71" t="str">
        <x:v>Rating distribution</x:v>
      </x:c>
      <x:c r="J25" s="73"/>
      <x:c r="K25" s="74" t="str">
        <x:f>IF(J25="",H25,IF(J25=I25,I25,J25))</x:f>
        <x:v>Rating distribution</x:v>
      </x:c>
      <x:c r="L25" s="74" t="str">
        <x:f>IF(J25="","Keep current",IF(J25=I25,"Use suggestion","Custom"))</x:f>
        <x:v>Keep current</x:v>
      </x:c>
      <x:c r="M25" s="71" t="str">
        <x:v>Pending review</x:v>
      </x:c>
      <x:c r="N25" s="71" t="str">
        <x:v>Medium</x:v>
      </x:c>
      <x:c r="O25" s="71" t="str">
        <x:v>app/journey/admin/feedback/page.tsx</x:v>
      </x:c>
      <x:c r="P25" s="71" t="str">
        <x:v>EasyTAdminFeedbackPage:36</x:v>
      </x:c>
      <x:c r="Q25" s="71" t="str">
        <x:v>EN (default / shared)</x:v>
      </x:c>
      <x:c r="R25" s="71" t="str">
        <x:v>Already clear and direct; suggested wording intentionally keeps the current copy.</x:v>
      </x:c>
      <x:c r="S25" s="75" t="str">
        <x:v>Not applied — review required</x:v>
      </x:c>
    </x:row>
    <x:row r="26">
      <x:c r="A26" s="71" t="str">
        <x:v>MRV-E0C0E085A2</x:v>
      </x:c>
      <x:c r="B26" s="71" t="str">
        <x:v>Admin</x:v>
      </x:c>
      <x:c r="C26" s="71" t="str">
        <x:v>Admin operations</x:v>
      </x:c>
      <x:c r="D26" s="71" t="str">
        <x:v>/journey/admin</x:v>
      </x:c>
      <x:c r="E26" s="71" t="str">
        <x:v>metadata</x:v>
      </x:c>
      <x:c r="F26" s="71" t="str">
        <x:v>Default</x:v>
      </x:c>
      <x:c r="G26" s="71" t="str">
        <x:v>Tooltip</x:v>
      </x:c>
      <x:c r="H26" s="71" t="str">
        <x:v>Admin · Morrovia</x:v>
      </x:c>
      <x:c r="I26" s="71" t="str">
        <x:v>Admin · Morrovia</x:v>
      </x:c>
      <x:c r="J26" s="73"/>
      <x:c r="K26" s="74" t="str">
        <x:f>IF(J26="",H26,IF(J26=I26,I26,J26))</x:f>
        <x:v>Admin · Morrovia</x:v>
      </x:c>
      <x:c r="L26" s="74" t="str">
        <x:f>IF(J26="","Keep current",IF(J26=I26,"Use suggestion","Custom"))</x:f>
        <x:v>Keep current</x:v>
      </x:c>
      <x:c r="M26" s="71" t="str">
        <x:v>Pending review</x:v>
      </x:c>
      <x:c r="N26" s="71" t="str">
        <x:v>Normal</x:v>
      </x:c>
      <x:c r="O26" s="71" t="str">
        <x:v>app/journey/admin/page.tsx</x:v>
      </x:c>
      <x:c r="P26" s="71" t="str">
        <x:v>metadata:11</x:v>
      </x:c>
      <x:c r="Q26" s="71" t="str">
        <x:v>EN (default / shared)</x:v>
      </x:c>
      <x:c r="R26" s="71" t="str">
        <x:v>Already clear and direct; suggested wording intentionally keeps the current copy.</x:v>
      </x:c>
      <x:c r="S26" s="75" t="str">
        <x:v>Not applied — review required</x:v>
      </x:c>
    </x:row>
    <x:row r="27">
      <x:c r="A27" s="71" t="str">
        <x:v>MRV-88991FD624</x:v>
      </x:c>
      <x:c r="B27" s="71" t="str">
        <x:v>Admin</x:v>
      </x:c>
      <x:c r="C27" s="71" t="str">
        <x:v>Admin operations</x:v>
      </x:c>
      <x:c r="D27" s="71" t="str">
        <x:v>/journey/admin</x:v>
      </x:c>
      <x:c r="E27" s="71" t="str">
        <x:v>areas</x:v>
      </x:c>
      <x:c r="F27" s="71" t="str">
        <x:v>Default</x:v>
      </x:c>
      <x:c r="G27" s="71" t="str">
        <x:v>Tooltip</x:v>
      </x:c>
      <x:c r="H27" s="71" t="str">
        <x:v>Feedback inbox</x:v>
      </x:c>
      <x:c r="I27" s="71" t="str">
        <x:v>Feedback inbox</x:v>
      </x:c>
      <x:c r="J27" s="73"/>
      <x:c r="K27" s="74" t="str">
        <x:f>IF(J27="",H27,IF(J27=I27,I27,J27))</x:f>
        <x:v>Feedback inbox</x:v>
      </x:c>
      <x:c r="L27" s="74" t="str">
        <x:f>IF(J27="","Keep current",IF(J27=I27,"Use suggestion","Custom"))</x:f>
        <x:v>Keep current</x:v>
      </x:c>
      <x:c r="M27" s="71" t="str">
        <x:v>Pending review</x:v>
      </x:c>
      <x:c r="N27" s="71" t="str">
        <x:v>Normal</x:v>
      </x:c>
      <x:c r="O27" s="71" t="str">
        <x:v>app/journey/admin/page.tsx</x:v>
      </x:c>
      <x:c r="P27" s="71" t="str">
        <x:v>areas:17</x:v>
      </x:c>
      <x:c r="Q27" s="71" t="str">
        <x:v>EN (default / shared)</x:v>
      </x:c>
      <x:c r="R27" s="71" t="str">
        <x:v>Already clear and direct; suggested wording intentionally keeps the current copy. Duplicate wording: appears 2 times.</x:v>
      </x:c>
      <x:c r="S27" s="75" t="str">
        <x:v>Not applied — review required</x:v>
      </x:c>
    </x:row>
    <x:row r="28">
      <x:c r="A28" s="71" t="str">
        <x:v>MRV-72E217CF10</x:v>
      </x:c>
      <x:c r="B28" s="71" t="str">
        <x:v>Admin</x:v>
      </x:c>
      <x:c r="C28" s="71" t="str">
        <x:v>Admin operations</x:v>
      </x:c>
      <x:c r="D28" s="71" t="str">
        <x:v>/journey/admin</x:v>
      </x:c>
      <x:c r="E28" s="71" t="str">
        <x:v>areas</x:v>
      </x:c>
      <x:c r="F28" s="71" t="str">
        <x:v>Default</x:v>
      </x:c>
      <x:c r="G28" s="71" t="str">
        <x:v>Tooltip</x:v>
      </x:c>
      <x:c r="H28" s="71" t="str">
        <x:v>Email delivery</x:v>
      </x:c>
      <x:c r="I28" s="71" t="str">
        <x:v>Email delivery</x:v>
      </x:c>
      <x:c r="J28" s="73"/>
      <x:c r="K28" s="74" t="str">
        <x:f>IF(J28="",H28,IF(J28=I28,I28,J28))</x:f>
        <x:v>Email delivery</x:v>
      </x:c>
      <x:c r="L28" s="74" t="str">
        <x:f>IF(J28="","Keep current",IF(J28=I28,"Use suggestion","Custom"))</x:f>
        <x:v>Keep current</x:v>
      </x:c>
      <x:c r="M28" s="71" t="str">
        <x:v>Pending review</x:v>
      </x:c>
      <x:c r="N28" s="71" t="str">
        <x:v>Normal</x:v>
      </x:c>
      <x:c r="O28" s="71" t="str">
        <x:v>app/journey/admin/page.tsx</x:v>
      </x:c>
      <x:c r="P28" s="71" t="str">
        <x:v>areas:24</x:v>
      </x:c>
      <x:c r="Q28" s="71" t="str">
        <x:v>EN (default / shared)</x:v>
      </x:c>
      <x:c r="R28" s="71" t="str">
        <x:v>Already clear and direct; suggested wording intentionally keeps the current copy. Duplicate wording: appears 2 times.</x:v>
      </x:c>
      <x:c r="S28" s="75" t="str">
        <x:v>Not applied — review required</x:v>
      </x:c>
    </x:row>
    <x:row r="29">
      <x:c r="A29" s="71" t="str">
        <x:v>MRV-B26FA4251D</x:v>
      </x:c>
      <x:c r="B29" s="71" t="str">
        <x:v>Admin</x:v>
      </x:c>
      <x:c r="C29" s="71" t="str">
        <x:v>Admin operations</x:v>
      </x:c>
      <x:c r="D29" s="71" t="str">
        <x:v>/journey/admin</x:v>
      </x:c>
      <x:c r="E29" s="71" t="str">
        <x:v>areas</x:v>
      </x:c>
      <x:c r="F29" s="71" t="str">
        <x:v>Default</x:v>
      </x:c>
      <x:c r="G29" s="71" t="str">
        <x:v>Tooltip</x:v>
      </x:c>
      <x:c r="H29" s="71" t="str">
        <x:v>Route catalogue</x:v>
      </x:c>
      <x:c r="I29" s="71" t="str">
        <x:v>Route catalogue</x:v>
      </x:c>
      <x:c r="J29" s="73"/>
      <x:c r="K29" s="74" t="str">
        <x:f>IF(J29="",H29,IF(J29=I29,I29,J29))</x:f>
        <x:v>Route catalogue</x:v>
      </x:c>
      <x:c r="L29" s="74" t="str">
        <x:f>IF(J29="","Keep current",IF(J29=I29,"Use suggestion","Custom"))</x:f>
        <x:v>Keep current</x:v>
      </x:c>
      <x:c r="M29" s="71" t="str">
        <x:v>Pending review</x:v>
      </x:c>
      <x:c r="N29" s="71" t="str">
        <x:v>Normal</x:v>
      </x:c>
      <x:c r="O29" s="71" t="str">
        <x:v>app/journey/admin/page.tsx</x:v>
      </x:c>
      <x:c r="P29" s="71" t="str">
        <x:v>areas:31</x:v>
      </x:c>
      <x:c r="Q29" s="71" t="str">
        <x:v>EN (default / shared)</x:v>
      </x:c>
      <x:c r="R29" s="71" t="str">
        <x:v>Already clear and direct; suggested wording intentionally keeps the current copy. Duplicate wording: appears 2 times.</x:v>
      </x:c>
      <x:c r="S29" s="75" t="str">
        <x:v>Not applied — review required</x:v>
      </x:c>
    </x:row>
    <x:row r="30">
      <x:c r="A30" s="71" t="str">
        <x:v>MRV-ECF9D91C3A</x:v>
      </x:c>
      <x:c r="B30" s="71" t="str">
        <x:v>Admin</x:v>
      </x:c>
      <x:c r="C30" s="71" t="str">
        <x:v>Admin operations</x:v>
      </x:c>
      <x:c r="D30" s="71" t="str">
        <x:v>/journey/admin</x:v>
      </x:c>
      <x:c r="E30" s="71" t="str">
        <x:v>areas</x:v>
      </x:c>
      <x:c r="F30" s="71" t="str">
        <x:v>Default</x:v>
      </x:c>
      <x:c r="G30" s="71" t="str">
        <x:v>Tooltip</x:v>
      </x:c>
      <x:c r="H30" s="71" t="str">
        <x:v>Users &amp; support</x:v>
      </x:c>
      <x:c r="I30" s="71" t="str">
        <x:v>Users &amp; support</x:v>
      </x:c>
      <x:c r="J30" s="73"/>
      <x:c r="K30" s="74" t="str">
        <x:f>IF(J30="",H30,IF(J30=I30,I30,J30))</x:f>
        <x:v>Users &amp; support</x:v>
      </x:c>
      <x:c r="L30" s="74" t="str">
        <x:f>IF(J30="","Keep current",IF(J30=I30,"Use suggestion","Custom"))</x:f>
        <x:v>Keep current</x:v>
      </x:c>
      <x:c r="M30" s="71" t="str">
        <x:v>Pending review</x:v>
      </x:c>
      <x:c r="N30" s="71" t="str">
        <x:v>Normal</x:v>
      </x:c>
      <x:c r="O30" s="71" t="str">
        <x:v>app/journey/admin/page.tsx</x:v>
      </x:c>
      <x:c r="P30" s="71" t="str">
        <x:v>areas:38</x:v>
      </x:c>
      <x:c r="Q30" s="71" t="str">
        <x:v>EN (default / shared)</x:v>
      </x:c>
      <x:c r="R30" s="71" t="str">
        <x:v>Already clear and direct; suggested wording intentionally keeps the current copy. Duplicate wording: appears 2 times.</x:v>
      </x:c>
      <x:c r="S30" s="75" t="str">
        <x:v>Not applied — review required</x:v>
      </x:c>
    </x:row>
    <x:row r="31">
      <x:c r="A31" s="71" t="str">
        <x:v>MRV-FB00B073BA</x:v>
      </x:c>
      <x:c r="B31" s="71" t="str">
        <x:v>Admin</x:v>
      </x:c>
      <x:c r="C31" s="71" t="str">
        <x:v>Admin operations</x:v>
      </x:c>
      <x:c r="D31" s="71" t="str">
        <x:v>/journey/admin</x:v>
      </x:c>
      <x:c r="E31" s="71" t="str">
        <x:v>areas</x:v>
      </x:c>
      <x:c r="F31" s="71" t="str">
        <x:v>Default</x:v>
      </x:c>
      <x:c r="G31" s="71" t="str">
        <x:v>Tooltip</x:v>
      </x:c>
      <x:c r="H31" s="71" t="str">
        <x:v>Admin audit</x:v>
      </x:c>
      <x:c r="I31" s="71" t="str">
        <x:v>Admin audit</x:v>
      </x:c>
      <x:c r="J31" s="73"/>
      <x:c r="K31" s="74" t="str">
        <x:f>IF(J31="",H31,IF(J31=I31,I31,J31))</x:f>
        <x:v>Admin audit</x:v>
      </x:c>
      <x:c r="L31" s="74" t="str">
        <x:f>IF(J31="","Keep current",IF(J31=I31,"Use suggestion","Custom"))</x:f>
        <x:v>Keep current</x:v>
      </x:c>
      <x:c r="M31" s="71" t="str">
        <x:v>Pending review</x:v>
      </x:c>
      <x:c r="N31" s="71" t="str">
        <x:v>Normal</x:v>
      </x:c>
      <x:c r="O31" s="71" t="str">
        <x:v>app/journey/admin/page.tsx</x:v>
      </x:c>
      <x:c r="P31" s="71" t="str">
        <x:v>areas:45</x:v>
      </x:c>
      <x:c r="Q31" s="71" t="str">
        <x:v>EN (default / shared)</x:v>
      </x:c>
      <x:c r="R31" s="71" t="str">
        <x:v>Already clear and direct; suggested wording intentionally keeps the current copy. Duplicate wording: appears 2 times.</x:v>
      </x:c>
      <x:c r="S31" s="75" t="str">
        <x:v>Not applied — review required</x:v>
      </x:c>
    </x:row>
    <x:row r="32">
      <x:c r="A32" s="71" t="str">
        <x:v>MRV-BC48DA8849</x:v>
      </x:c>
      <x:c r="B32" s="71" t="str">
        <x:v>Admin</x:v>
      </x:c>
      <x:c r="C32" s="71" t="str">
        <x:v>Admin operations</x:v>
      </x:c>
      <x:c r="D32" s="71" t="str">
        <x:v>/journey/admin</x:v>
      </x:c>
      <x:c r="E32" s="71" t="str">
        <x:v>EasyTAdminPage</x:v>
      </x:c>
      <x:c r="F32" s="71" t="str">
        <x:v>Default</x:v>
      </x:c>
      <x:c r="G32" s="71" t="str">
        <x:v>Body copy</x:v>
      </x:c>
      <x:c r="H32" s="71" t="str">
        <x:v>Operations.</x:v>
      </x:c>
      <x:c r="I32" s="71" t="str">
        <x:v>Operations.</x:v>
      </x:c>
      <x:c r="J32" s="73"/>
      <x:c r="K32" s="74" t="str">
        <x:f>IF(J32="",H32,IF(J32=I32,I32,J32))</x:f>
        <x:v>Operations.</x:v>
      </x:c>
      <x:c r="L32" s="74" t="str">
        <x:f>IF(J32="","Keep current",IF(J32=I32,"Use suggestion","Custom"))</x:f>
        <x:v>Keep current</x:v>
      </x:c>
      <x:c r="M32" s="71" t="str">
        <x:v>Pending review</x:v>
      </x:c>
      <x:c r="N32" s="71" t="str">
        <x:v>Normal</x:v>
      </x:c>
      <x:c r="O32" s="71" t="str">
        <x:v>app/journey/admin/page.tsx</x:v>
      </x:c>
      <x:c r="P32" s="71" t="str">
        <x:v>EasyTAdminPage:64</x:v>
      </x:c>
      <x:c r="Q32" s="71" t="str">
        <x:v>EN (default / shared)</x:v>
      </x:c>
      <x:c r="R32" s="71" t="str">
        <x:v>Already clear and direct; suggested wording intentionally keeps the current copy.</x:v>
      </x:c>
      <x:c r="S32" s="75" t="str">
        <x:v>Not applied — review required</x:v>
      </x:c>
    </x:row>
    <x:row r="33">
      <x:c r="A33" s="71" t="str">
        <x:v>MRV-76BC85273D</x:v>
      </x:c>
      <x:c r="B33" s="71" t="str">
        <x:v>Admin</x:v>
      </x:c>
      <x:c r="C33" s="71" t="str">
        <x:v>Admin operations</x:v>
      </x:c>
      <x:c r="D33" s="71" t="str">
        <x:v>/journey/admin/routes</x:v>
      </x:c>
      <x:c r="E33" s="71" t="str">
        <x:v>metadata</x:v>
      </x:c>
      <x:c r="F33" s="71" t="str">
        <x:v>Default</x:v>
      </x:c>
      <x:c r="G33" s="71" t="str">
        <x:v>Tooltip</x:v>
      </x:c>
      <x:c r="H33" s="71" t="str">
        <x:v>Route catalogue · Morrovia</x:v>
      </x:c>
      <x:c r="I33" s="71" t="str">
        <x:v>Route catalogue · Morrovia</x:v>
      </x:c>
      <x:c r="J33" s="73"/>
      <x:c r="K33" s="74" t="str">
        <x:f>IF(J33="",H33,IF(J33=I33,I33,J33))</x:f>
        <x:v>Route catalogue · Morrovia</x:v>
      </x:c>
      <x:c r="L33" s="74" t="str">
        <x:f>IF(J33="","Keep current",IF(J33=I33,"Use suggestion","Custom"))</x:f>
        <x:v>Keep current</x:v>
      </x:c>
      <x:c r="M33" s="71" t="str">
        <x:v>Pending review</x:v>
      </x:c>
      <x:c r="N33" s="71" t="str">
        <x:v>Normal</x:v>
      </x:c>
      <x:c r="O33" s="71" t="str">
        <x:v>app/journey/admin/routes/page.tsx</x:v>
      </x:c>
      <x:c r="P33" s="71" t="str">
        <x:v>metadata:12</x:v>
      </x:c>
      <x:c r="Q33" s="71" t="str">
        <x:v>EN (default / shared)</x:v>
      </x:c>
      <x:c r="R33" s="71" t="str">
        <x:v>Already clear and direct; suggested wording intentionally keeps the current copy.</x:v>
      </x:c>
      <x:c r="S33" s="75" t="str">
        <x:v>Not applied — review required</x:v>
      </x:c>
    </x:row>
    <x:row r="34">
      <x:c r="A34" s="71" t="str">
        <x:v>MRV-CE2B2C9E35</x:v>
      </x:c>
      <x:c r="B34" s="71" t="str">
        <x:v>Admin</x:v>
      </x:c>
      <x:c r="C34" s="71" t="str">
        <x:v>Admin operations</x:v>
      </x:c>
      <x:c r="D34" s="71" t="str">
        <x:v>/journey/admin/routes</x:v>
      </x:c>
      <x:c r="E34" s="71" t="str">
        <x:v>RouteCataloguePage</x:v>
      </x:c>
      <x:c r="F34" s="71" t="str">
        <x:v>Default</x:v>
      </x:c>
      <x:c r="G34" s="71" t="str">
        <x:v>Body copy</x:v>
      </x:c>
      <x:c r="H34" s="71" t="str">
        <x:v>Route catalogue.</x:v>
      </x:c>
      <x:c r="I34" s="71" t="str">
        <x:v>Route catalogue.</x:v>
      </x:c>
      <x:c r="J34" s="73"/>
      <x:c r="K34" s="74" t="str">
        <x:f>IF(J34="",H34,IF(J34=I34,I34,J34))</x:f>
        <x:v>Route catalogue.</x:v>
      </x:c>
      <x:c r="L34" s="74" t="str">
        <x:f>IF(J34="","Keep current",IF(J34=I34,"Use suggestion","Custom"))</x:f>
        <x:v>Keep current</x:v>
      </x:c>
      <x:c r="M34" s="71" t="str">
        <x:v>Pending review</x:v>
      </x:c>
      <x:c r="N34" s="71" t="str">
        <x:v>Normal</x:v>
      </x:c>
      <x:c r="O34" s="71" t="str">
        <x:v>app/journey/admin/routes/page.tsx</x:v>
      </x:c>
      <x:c r="P34" s="71" t="str">
        <x:v>RouteCataloguePage:19</x:v>
      </x:c>
      <x:c r="Q34" s="71" t="str">
        <x:v>EN (default / shared)</x:v>
      </x:c>
      <x:c r="R34" s="71" t="str">
        <x:v>Already clear and direct; suggested wording intentionally keeps the current copy. Duplicate wording: appears 2 times.</x:v>
      </x:c>
      <x:c r="S34" s="75" t="str">
        <x:v>Not applied — review required</x:v>
      </x:c>
    </x:row>
    <x:row r="35">
      <x:c r="A35" s="71" t="str">
        <x:v>MRV-A7873B07A0</x:v>
      </x:c>
      <x:c r="B35" s="71" t="str">
        <x:v>Admin</x:v>
      </x:c>
      <x:c r="C35" s="71" t="str">
        <x:v>Admin operations</x:v>
      </x:c>
      <x:c r="D35" s="71" t="str">
        <x:v>/journey/admin/routes/route-controls</x:v>
      </x:c>
      <x:c r="E35" s="71" t="str">
        <x:v>RouteControls</x:v>
      </x:c>
      <x:c r="F35" s="71" t="str">
        <x:v>Accessibility / input support</x:v>
      </x:c>
      <x:c r="G35" s="71" t="str">
        <x:v>Accessibility label</x:v>
      </x:c>
      <x:c r="H35" s="71" t="str">
        <x:v>Route catalogue controls</x:v>
      </x:c>
      <x:c r="I35" s="71" t="str">
        <x:v>Route catalogue controls</x:v>
      </x:c>
      <x:c r="J35" s="73"/>
      <x:c r="K35" s="74" t="str">
        <x:f>IF(J35="",H35,IF(J35=I35,I35,J35))</x:f>
        <x:v>Route catalogue controls</x:v>
      </x:c>
      <x:c r="L35" s="74" t="str">
        <x:f>IF(J35="","Keep current",IF(J35=I35,"Use suggestion","Custom"))</x:f>
        <x:v>Keep current</x:v>
      </x:c>
      <x:c r="M35" s="71" t="str">
        <x:v>Pending review</x:v>
      </x:c>
      <x:c r="N35" s="71" t="str">
        <x:v>Medium</x:v>
      </x:c>
      <x:c r="O35" s="71" t="str">
        <x:v>app/journey/admin/routes/route-controls.tsx</x:v>
      </x:c>
      <x:c r="P35" s="71" t="str">
        <x:v>RouteControls:20</x:v>
      </x:c>
      <x:c r="Q35" s="71" t="str">
        <x:v>EN (default / shared)</x:v>
      </x:c>
      <x:c r="R35" s="71" t="str">
        <x:v>Already clear and direct; suggested wording intentionally keeps the current copy.</x:v>
      </x:c>
      <x:c r="S35" s="75" t="str">
        <x:v>Not applied — review required</x:v>
      </x:c>
    </x:row>
    <x:row r="36">
      <x:c r="A36" s="71" t="str">
        <x:v>MRV-A0C70BD7B6</x:v>
      </x:c>
      <x:c r="B36" s="71" t="str">
        <x:v>Admin</x:v>
      </x:c>
      <x:c r="C36" s="71" t="str">
        <x:v>Admin operations</x:v>
      </x:c>
      <x:c r="D36" s="71" t="str">
        <x:v>/journey/admin/routes/route-controls</x:v>
      </x:c>
      <x:c r="E36" s="71" t="str">
        <x:v>RouteControls</x:v>
      </x:c>
      <x:c r="F36" s="71" t="str">
        <x:v>Loading / in progress</x:v>
      </x:c>
      <x:c r="G36" s="71" t="str">
        <x:v>Label</x:v>
      </x:c>
      <x:c r="H36" s="71" t="str">
        <x:v>Visible to travellers</x:v>
      </x:c>
      <x:c r="I36" s="71" t="str">
        <x:v>Visible to travellers</x:v>
      </x:c>
      <x:c r="J36" s="73"/>
      <x:c r="K36" s="74" t="str">
        <x:f>IF(J36="",H36,IF(J36=I36,I36,J36))</x:f>
        <x:v>Visible to travellers</x:v>
      </x:c>
      <x:c r="L36" s="74" t="str">
        <x:f>IF(J36="","Keep current",IF(J36=I36,"Use suggestion","Custom"))</x:f>
        <x:v>Keep current</x:v>
      </x:c>
      <x:c r="M36" s="71" t="str">
        <x:v>Pending review</x:v>
      </x:c>
      <x:c r="N36" s="71" t="str">
        <x:v>Normal</x:v>
      </x:c>
      <x:c r="O36" s="71" t="str">
        <x:v>app/journey/admin/routes/route-controls.tsx</x:v>
      </x:c>
      <x:c r="P36" s="71" t="str">
        <x:v>RouteControls:26</x:v>
      </x:c>
      <x:c r="Q36" s="71" t="str">
        <x:v>EN (default / shared)</x:v>
      </x:c>
      <x:c r="R36" s="71" t="str">
        <x:v>Already clear and direct; suggested wording intentionally keeps the current copy.</x:v>
      </x:c>
      <x:c r="S36" s="75" t="str">
        <x:v>Not applied — review required</x:v>
      </x:c>
    </x:row>
    <x:row r="37">
      <x:c r="A37" s="71" t="str">
        <x:v>MRV-C58FD5E8D0</x:v>
      </x:c>
      <x:c r="B37" s="71" t="str">
        <x:v>Admin</x:v>
      </x:c>
      <x:c r="C37" s="71" t="str">
        <x:v>Admin operations</x:v>
      </x:c>
      <x:c r="D37" s="71" t="str">
        <x:v>/journey/admin/routes/route-controls</x:v>
      </x:c>
      <x:c r="E37" s="71" t="str">
        <x:v>RouteControls</x:v>
      </x:c>
      <x:c r="F37" s="71" t="str">
        <x:v>Loading / in progress</x:v>
      </x:c>
      <x:c r="G37" s="71" t="str">
        <x:v>Label</x:v>
      </x:c>
      <x:c r="H37" s="71" t="str">
        <x:v>Feature first</x:v>
      </x:c>
      <x:c r="I37" s="71" t="str">
        <x:v>Feature first</x:v>
      </x:c>
      <x:c r="J37" s="73"/>
      <x:c r="K37" s="74" t="str">
        <x:f>IF(J37="",H37,IF(J37=I37,I37,J37))</x:f>
        <x:v>Feature first</x:v>
      </x:c>
      <x:c r="L37" s="74" t="str">
        <x:f>IF(J37="","Keep current",IF(J37=I37,"Use suggestion","Custom"))</x:f>
        <x:v>Keep current</x:v>
      </x:c>
      <x:c r="M37" s="71" t="str">
        <x:v>Pending review</x:v>
      </x:c>
      <x:c r="N37" s="71" t="str">
        <x:v>Normal</x:v>
      </x:c>
      <x:c r="O37" s="71" t="str">
        <x:v>app/journey/admin/routes/route-controls.tsx</x:v>
      </x:c>
      <x:c r="P37" s="71" t="str">
        <x:v>RouteControls:27</x:v>
      </x:c>
      <x:c r="Q37" s="71" t="str">
        <x:v>EN (default / shared)</x:v>
      </x:c>
      <x:c r="R37" s="71" t="str">
        <x:v>Already clear and direct; suggested wording intentionally keeps the current copy.</x:v>
      </x:c>
      <x:c r="S37" s="75" t="str">
        <x:v>Not applied — review required</x:v>
      </x:c>
    </x:row>
    <x:row r="38">
      <x:c r="A38" s="71" t="str">
        <x:v>MRV-E54A31EA9B</x:v>
      </x:c>
      <x:c r="B38" s="71" t="str">
        <x:v>Admin</x:v>
      </x:c>
      <x:c r="C38" s="71" t="str">
        <x:v>Admin operations</x:v>
      </x:c>
      <x:c r="D38" s="71" t="str">
        <x:v>/journey/admin/routes/route-controls</x:v>
      </x:c>
      <x:c r="E38" s="71" t="str">
        <x:v>RouteControls</x:v>
      </x:c>
      <x:c r="F38" s="71" t="str">
        <x:v>Loading / in progress</x:v>
      </x:c>
      <x:c r="G38" s="71" t="str">
        <x:v>Label</x:v>
      </x:c>
      <x:c r="H38" s="71" t="str">
        <x:v>Saving…</x:v>
      </x:c>
      <x:c r="I38" s="71" t="str">
        <x:v>Saving…</x:v>
      </x:c>
      <x:c r="J38" s="73"/>
      <x:c r="K38" s="74" t="str">
        <x:f>IF(J38="",H38,IF(J38=I38,I38,J38))</x:f>
        <x:v>Saving…</x:v>
      </x:c>
      <x:c r="L38" s="74" t="str">
        <x:f>IF(J38="","Keep current",IF(J38=I38,"Use suggestion","Custom"))</x:f>
        <x:v>Keep current</x:v>
      </x:c>
      <x:c r="M38" s="71" t="str">
        <x:v>Pending review</x:v>
      </x:c>
      <x:c r="N38" s="71" t="str">
        <x:v>Normal</x:v>
      </x:c>
      <x:c r="O38" s="71" t="str">
        <x:v>app/journey/admin/routes/route-controls.tsx</x:v>
      </x:c>
      <x:c r="P38" s="71" t="str">
        <x:v>RouteControls:28</x:v>
      </x:c>
      <x:c r="Q38" s="71" t="str">
        <x:v>EN (default / shared)</x:v>
      </x:c>
      <x:c r="R38" s="71" t="str">
        <x:v>Already clear and direct; suggested wording intentionally keeps the current copy. Duplicate wording: appears 2 times.</x:v>
      </x:c>
      <x:c r="S38" s="75" t="str">
        <x:v>Not applied — review required</x:v>
      </x:c>
    </x:row>
    <x:row r="39">
      <x:c r="A39" s="71" t="str">
        <x:v>MRV-4B1826F6C4</x:v>
      </x:c>
      <x:c r="B39" s="71" t="str">
        <x:v>Admin</x:v>
      </x:c>
      <x:c r="C39" s="71" t="str">
        <x:v>Admin operations</x:v>
      </x:c>
      <x:c r="D39" s="71" t="str">
        <x:v>/journey/admin/users</x:v>
      </x:c>
      <x:c r="E39" s="71" t="str">
        <x:v>metadata</x:v>
      </x:c>
      <x:c r="F39" s="71" t="str">
        <x:v>Default</x:v>
      </x:c>
      <x:c r="G39" s="71" t="str">
        <x:v>Tooltip</x:v>
      </x:c>
      <x:c r="H39" s="71" t="str">
        <x:v>Users &amp; support · Morrovia</x:v>
      </x:c>
      <x:c r="I39" s="71" t="str">
        <x:v>Users &amp; support · Morrovia</x:v>
      </x:c>
      <x:c r="J39" s="73"/>
      <x:c r="K39" s="74" t="str">
        <x:f>IF(J39="",H39,IF(J39=I39,I39,J39))</x:f>
        <x:v>Users &amp; support · Morrovia</x:v>
      </x:c>
      <x:c r="L39" s="74" t="str">
        <x:f>IF(J39="","Keep current",IF(J39=I39,"Use suggestion","Custom"))</x:f>
        <x:v>Keep current</x:v>
      </x:c>
      <x:c r="M39" s="71" t="str">
        <x:v>Pending review</x:v>
      </x:c>
      <x:c r="N39" s="71" t="str">
        <x:v>Normal</x:v>
      </x:c>
      <x:c r="O39" s="71" t="str">
        <x:v>app/journey/admin/users/page.tsx</x:v>
      </x:c>
      <x:c r="P39" s="71" t="str">
        <x:v>metadata:11</x:v>
      </x:c>
      <x:c r="Q39" s="71" t="str">
        <x:v>EN (default / shared)</x:v>
      </x:c>
      <x:c r="R39" s="71" t="str">
        <x:v>Already clear and direct; suggested wording intentionally keeps the current copy.</x:v>
      </x:c>
      <x:c r="S39" s="75" t="str">
        <x:v>Not applied — review required</x:v>
      </x:c>
    </x:row>
    <x:row r="40">
      <x:c r="A40" s="71" t="str">
        <x:v>MRV-7DE8BE3D81</x:v>
      </x:c>
      <x:c r="B40" s="71" t="str">
        <x:v>Admin</x:v>
      </x:c>
      <x:c r="C40" s="71" t="str">
        <x:v>Admin operations</x:v>
      </x:c>
      <x:c r="D40" s="71" t="str">
        <x:v>/journey/admin/users</x:v>
      </x:c>
      <x:c r="E40" s="71" t="str">
        <x:v>EasyTUsersAdminPage</x:v>
      </x:c>
      <x:c r="F40" s="71" t="str">
        <x:v>Default</x:v>
      </x:c>
      <x:c r="G40" s="71" t="str">
        <x:v>CTA / button</x:v>
      </x:c>
      <x:c r="H40" s="71" t="str">
        <x:v>Users &amp; support.</x:v>
      </x:c>
      <x:c r="I40" s="71" t="str">
        <x:v>Users &amp; support.</x:v>
      </x:c>
      <x:c r="J40" s="73"/>
      <x:c r="K40" s="74" t="str">
        <x:f>IF(J40="",H40,IF(J40=I40,I40,J40))</x:f>
        <x:v>Users &amp; support.</x:v>
      </x:c>
      <x:c r="L40" s="74" t="str">
        <x:f>IF(J40="","Keep current",IF(J40=I40,"Use suggestion","Custom"))</x:f>
        <x:v>Keep current</x:v>
      </x:c>
      <x:c r="M40" s="71" t="str">
        <x:v>Pending review</x:v>
      </x:c>
      <x:c r="N40" s="71" t="str">
        <x:v>Medium</x:v>
      </x:c>
      <x:c r="O40" s="71" t="str">
        <x:v>app/journey/admin/users/page.tsx</x:v>
      </x:c>
      <x:c r="P40" s="71" t="str">
        <x:v>EasyTUsersAdminPage:18</x:v>
      </x:c>
      <x:c r="Q40" s="71" t="str">
        <x:v>EN (default / shared)</x:v>
      </x:c>
      <x:c r="R40" s="71" t="str">
        <x:v>Already clear and direct; suggested wording intentionally keeps the current copy. Duplicate wording: appears 2 times.</x:v>
      </x:c>
      <x:c r="S40" s="75" t="str">
        <x:v>Not applied — review required</x:v>
      </x:c>
    </x:row>
    <x:row r="41">
      <x:c r="A41" s="71" t="str">
        <x:v>MRV-472CA065E2</x:v>
      </x:c>
      <x:c r="B41" s="71" t="str">
        <x:v>Admin</x:v>
      </x:c>
      <x:c r="C41" s="71" t="str">
        <x:v>Admin operations</x:v>
      </x:c>
      <x:c r="D41" s="71" t="str">
        <x:v>/journey/admin/users/user-support</x:v>
      </x:c>
      <x:c r="E41" s="71" t="str">
        <x:v>filtered</x:v>
      </x:c>
      <x:c r="F41" s="71" t="str">
        <x:v>Default</x:v>
      </x:c>
      <x:c r="G41" s="71" t="str">
        <x:v>Body copy</x:v>
      </x:c>
      <x:c r="H41" s="71" t="str">
        <x:v>{user.name ?? ""} {user.email}</x:v>
      </x:c>
      <x:c r="I41" s="71" t="str">
        <x:v>{user.name ?? ""} {user.email}</x:v>
      </x:c>
      <x:c r="J41" s="73"/>
      <x:c r="K41" s="74" t="str">
        <x:f>IF(J41="",H41,IF(J41=I41,I41,J41))</x:f>
        <x:v>{user.name ?? ""} {user.email}</x:v>
      </x:c>
      <x:c r="L41" s="74" t="str">
        <x:f>IF(J41="","Keep current",IF(J41=I41,"Use suggestion","Custom"))</x:f>
        <x:v>Keep current</x:v>
      </x:c>
      <x:c r="M41" s="71" t="str">
        <x:v>Pending review</x:v>
      </x:c>
      <x:c r="N41" s="71" t="str">
        <x:v>Normal</x:v>
      </x:c>
      <x:c r="O41" s="71" t="str">
        <x:v>app/journey/admin/users/user-support.tsx</x:v>
      </x:c>
      <x:c r="P41" s="71" t="str">
        <x:v>filtered:15</x:v>
      </x:c>
      <x:c r="Q41" s="71" t="str">
        <x:v>EN (default / shared)</x:v>
      </x:c>
      <x:c r="R41" s="71" t="str">
        <x:v>Already clear and direct; suggested wording intentionally keeps the current copy. Dynamic traveller or trip value is represented as a token; user-generated values are excluded.</x:v>
      </x:c>
      <x:c r="S41" s="75" t="str">
        <x:v>Not applied — review required</x:v>
      </x:c>
    </x:row>
    <x:row r="42">
      <x:c r="A42" s="71" t="str">
        <x:v>MRV-CEF0870571</x:v>
      </x:c>
      <x:c r="B42" s="71" t="str">
        <x:v>Admin</x:v>
      </x:c>
      <x:c r="C42" s="71" t="str">
        <x:v>Admin operations</x:v>
      </x:c>
      <x:c r="D42" s="71" t="str">
        <x:v>/journey/admin/users/user-support</x:v>
      </x:c>
      <x:c r="E42" s="71" t="str">
        <x:v>sendReset</x:v>
      </x:c>
      <x:c r="F42" s="71" t="str">
        <x:v>Failure / recovery</x:v>
      </x:c>
      <x:c r="G42" s="71" t="str">
        <x:v>Body copy</x:v>
      </x:c>
      <x:c r="H42" s="71" t="str">
        <x:v>We couldn't send the reset email.</x:v>
      </x:c>
      <x:c r="I42" s="71" t="str">
        <x:v>We couldn't send the reset email.</x:v>
      </x:c>
      <x:c r="J42" s="73"/>
      <x:c r="K42" s="74" t="str">
        <x:f>IF(J42="",H42,IF(J42=I42,I42,J42))</x:f>
        <x:v>We couldn't send the reset email.</x:v>
      </x:c>
      <x:c r="L42" s="74" t="str">
        <x:f>IF(J42="","Keep current",IF(J42=I42,"Use suggestion","Custom"))</x:f>
        <x:v>Keep current</x:v>
      </x:c>
      <x:c r="M42" s="71" t="str">
        <x:v>Pending review</x:v>
      </x:c>
      <x:c r="N42" s="71" t="str">
        <x:v>High</x:v>
      </x:c>
      <x:c r="O42" s="71" t="str">
        <x:v>app/journey/admin/users/user-support.tsx</x:v>
      </x:c>
      <x:c r="P42" s="71" t="str">
        <x:v>sendReset:20</x:v>
      </x:c>
      <x:c r="Q42" s="71" t="str">
        <x:v>EN (default / shared)</x:v>
      </x:c>
      <x:c r="R42" s="71" t="str">
        <x:v>Already clear and direct; suggested wording intentionally keeps the current copy.</x:v>
      </x:c>
      <x:c r="S42" s="75" t="str">
        <x:v>Not applied — review required</x:v>
      </x:c>
    </x:row>
    <x:row r="43">
      <x:c r="A43" s="71" t="str">
        <x:v>MRV-AE935645ED</x:v>
      </x:c>
      <x:c r="B43" s="71" t="str">
        <x:v>Admin</x:v>
      </x:c>
      <x:c r="C43" s="71" t="str">
        <x:v>Admin operations</x:v>
      </x:c>
      <x:c r="D43" s="71" t="str">
        <x:v>/journey/admin/users/user-support</x:v>
      </x:c>
      <x:c r="E43" s="71" t="str">
        <x:v>sendReset</x:v>
      </x:c>
      <x:c r="F43" s="71" t="str">
        <x:v>Default</x:v>
      </x:c>
      <x:c r="G43" s="71" t="str">
        <x:v>Body copy</x:v>
      </x:c>
      <x:c r="H43" s="71" t="str">
        <x:v>Reset link requested for {email}.</x:v>
      </x:c>
      <x:c r="I43" s="71" t="str">
        <x:v>Reset link requested for {email}.</x:v>
      </x:c>
      <x:c r="J43" s="73"/>
      <x:c r="K43" s="74" t="str">
        <x:f>IF(J43="",H43,IF(J43=I43,I43,J43))</x:f>
        <x:v>Reset link requested for {email}.</x:v>
      </x:c>
      <x:c r="L43" s="74" t="str">
        <x:f>IF(J43="","Keep current",IF(J43=I43,"Use suggestion","Custom"))</x:f>
        <x:v>Keep current</x:v>
      </x:c>
      <x:c r="M43" s="71" t="str">
        <x:v>Pending review</x:v>
      </x:c>
      <x:c r="N43" s="71" t="str">
        <x:v>Normal</x:v>
      </x:c>
      <x:c r="O43" s="71" t="str">
        <x:v>app/journey/admin/users/user-support.tsx</x:v>
      </x:c>
      <x:c r="P43" s="71" t="str">
        <x:v>sendReset:23</x:v>
      </x:c>
      <x:c r="Q43" s="71" t="str">
        <x:v>EN (default / shared)</x:v>
      </x:c>
      <x:c r="R43" s="71" t="str">
        <x:v>Already clear and direct; suggested wording intentionally keeps the current copy. Dynamic traveller or trip value is represented as a token; user-generated values are excluded.</x:v>
      </x:c>
      <x:c r="S43" s="75" t="str">
        <x:v>Not applied — review required</x:v>
      </x:c>
    </x:row>
    <x:row r="44">
      <x:c r="A44" s="71" t="str">
        <x:v>MRV-5089DA08F9</x:v>
      </x:c>
      <x:c r="B44" s="71" t="str">
        <x:v>Admin</x:v>
      </x:c>
      <x:c r="C44" s="71" t="str">
        <x:v>Admin operations</x:v>
      </x:c>
      <x:c r="D44" s="71" t="str">
        <x:v>/journey/admin/users/user-support</x:v>
      </x:c>
      <x:c r="E44" s="71" t="str">
        <x:v>deleteAccount</x:v>
      </x:c>
      <x:c r="F44" s="71" t="str">
        <x:v>Failure / recovery</x:v>
      </x:c>
      <x:c r="G44" s="71" t="str">
        <x:v>Body copy</x:v>
      </x:c>
      <x:c r="H44" s="71" t="str">
        <x:v>We couldn't delete that account.</x:v>
      </x:c>
      <x:c r="I44" s="71" t="str">
        <x:v>We couldn't delete that account.</x:v>
      </x:c>
      <x:c r="J44" s="73"/>
      <x:c r="K44" s="74" t="str">
        <x:f>IF(J44="",H44,IF(J44=I44,I44,J44))</x:f>
        <x:v>We couldn't delete that account.</x:v>
      </x:c>
      <x:c r="L44" s="74" t="str">
        <x:f>IF(J44="","Keep current",IF(J44=I44,"Use suggestion","Custom"))</x:f>
        <x:v>Keep current</x:v>
      </x:c>
      <x:c r="M44" s="71" t="str">
        <x:v>Pending review</x:v>
      </x:c>
      <x:c r="N44" s="71" t="str">
        <x:v>High</x:v>
      </x:c>
      <x:c r="O44" s="71" t="str">
        <x:v>app/journey/admin/users/user-support.tsx</x:v>
      </x:c>
      <x:c r="P44" s="71" t="str">
        <x:v>deleteAccount:33</x:v>
      </x:c>
      <x:c r="Q44" s="71" t="str">
        <x:v>EN (default / shared)</x:v>
      </x:c>
      <x:c r="R44" s="71" t="str">
        <x:v>Already clear and direct; suggested wording intentionally keeps the current copy.</x:v>
      </x:c>
      <x:c r="S44" s="75" t="str">
        <x:v>Not applied — review required</x:v>
      </x:c>
    </x:row>
    <x:row r="45">
      <x:c r="A45" s="71" t="str">
        <x:v>MRV-5170DA04F2</x:v>
      </x:c>
      <x:c r="B45" s="71" t="str">
        <x:v>Admin</x:v>
      </x:c>
      <x:c r="C45" s="71" t="str">
        <x:v>Admin operations</x:v>
      </x:c>
      <x:c r="D45" s="71" t="str">
        <x:v>/journey/admin/users/user-support</x:v>
      </x:c>
      <x:c r="E45" s="71" t="str">
        <x:v>deleteAccount</x:v>
      </x:c>
      <x:c r="F45" s="71" t="str">
        <x:v>Default</x:v>
      </x:c>
      <x:c r="G45" s="71" t="str">
        <x:v>Body copy</x:v>
      </x:c>
      <x:c r="H45" s="71" t="str">
        <x:v>Account {deleteCandidate} was permanently deleted.</x:v>
      </x:c>
      <x:c r="I45" s="71" t="str">
        <x:v>Account {deleteCandidate} was permanently deleted.</x:v>
      </x:c>
      <x:c r="J45" s="73"/>
      <x:c r="K45" s="74" t="str">
        <x:f>IF(J45="",H45,IF(J45=I45,I45,J45))</x:f>
        <x:v>Account {deleteCandidate} was permanently deleted.</x:v>
      </x:c>
      <x:c r="L45" s="74" t="str">
        <x:f>IF(J45="","Keep current",IF(J45=I45,"Use suggestion","Custom"))</x:f>
        <x:v>Keep current</x:v>
      </x:c>
      <x:c r="M45" s="71" t="str">
        <x:v>Pending review</x:v>
      </x:c>
      <x:c r="N45" s="71" t="str">
        <x:v>High</x:v>
      </x:c>
      <x:c r="O45" s="71" t="str">
        <x:v>app/journey/admin/users/user-support.tsx</x:v>
      </x:c>
      <x:c r="P45" s="71" t="str">
        <x:v>deleteAccount:34</x:v>
      </x:c>
      <x:c r="Q45" s="71" t="str">
        <x:v>EN (default / shared)</x:v>
      </x:c>
      <x:c r="R45" s="71" t="str">
        <x:v>Already clear and direct; suggested wording intentionally keeps the current copy. Dynamic traveller or trip value is represented as a token; user-generated values are excluded.</x:v>
      </x:c>
      <x:c r="S45" s="75" t="str">
        <x:v>Not applied — review required</x:v>
      </x:c>
    </x:row>
    <x:row r="46">
      <x:c r="A46" s="71" t="str">
        <x:v>MRV-2037B35A29</x:v>
      </x:c>
      <x:c r="B46" s="71" t="str">
        <x:v>Admin</x:v>
      </x:c>
      <x:c r="C46" s="71" t="str">
        <x:v>Admin operations</x:v>
      </x:c>
      <x:c r="D46" s="71" t="str">
        <x:v>/journey/admin/users/user-support</x:v>
      </x:c>
      <x:c r="E46" s="71" t="str">
        <x:v>UserSupport</x:v>
      </x:c>
      <x:c r="F46" s="71" t="str">
        <x:v>Default</x:v>
      </x:c>
      <x:c r="G46" s="71" t="str">
        <x:v>CTA / button</x:v>
      </x:c>
      <x:c r="H46" s="71" t="str">
        <x:v>Find a user</x:v>
      </x:c>
      <x:c r="I46" s="71" t="str">
        <x:v>Find a user</x:v>
      </x:c>
      <x:c r="J46" s="73"/>
      <x:c r="K46" s="74" t="str">
        <x:f>IF(J46="",H46,IF(J46=I46,I46,J46))</x:f>
        <x:v>Find a user</x:v>
      </x:c>
      <x:c r="L46" s="74" t="str">
        <x:f>IF(J46="","Keep current",IF(J46=I46,"Use suggestion","Custom"))</x:f>
        <x:v>Keep current</x:v>
      </x:c>
      <x:c r="M46" s="71" t="str">
        <x:v>Pending review</x:v>
      </x:c>
      <x:c r="N46" s="71" t="str">
        <x:v>Medium</x:v>
      </x:c>
      <x:c r="O46" s="71" t="str">
        <x:v>app/journey/admin/users/user-support.tsx</x:v>
      </x:c>
      <x:c r="P46" s="71" t="str">
        <x:v>UserSupport:39</x:v>
      </x:c>
      <x:c r="Q46" s="71" t="str">
        <x:v>EN (default / shared)</x:v>
      </x:c>
      <x:c r="R46" s="71" t="str">
        <x:v>Already clear and direct; suggested wording intentionally keeps the current copy.</x:v>
      </x:c>
      <x:c r="S46" s="75" t="str">
        <x:v>Not applied — review required</x:v>
      </x:c>
    </x:row>
    <x:row r="47">
      <x:c r="A47" s="71" t="str">
        <x:v>MRV-FB883FF39B</x:v>
      </x:c>
      <x:c r="B47" s="71" t="str">
        <x:v>Admin</x:v>
      </x:c>
      <x:c r="C47" s="71" t="str">
        <x:v>Admin operations</x:v>
      </x:c>
      <x:c r="D47" s="71" t="str">
        <x:v>/journey/admin/users/user-support</x:v>
      </x:c>
      <x:c r="E47" s="71" t="str">
        <x:v>UserSupport</x:v>
      </x:c>
      <x:c r="F47" s="71" t="str">
        <x:v>Accessibility / input support</x:v>
      </x:c>
      <x:c r="G47" s="71" t="str">
        <x:v>Placeholder</x:v>
      </x:c>
      <x:c r="H47" s="71" t="str">
        <x:v>Search by name or email</x:v>
      </x:c>
      <x:c r="I47" s="71" t="str">
        <x:v>Search by name or email</x:v>
      </x:c>
      <x:c r="J47" s="73"/>
      <x:c r="K47" s="74" t="str">
        <x:f>IF(J47="",H47,IF(J47=I47,I47,J47))</x:f>
        <x:v>Search by name or email</x:v>
      </x:c>
      <x:c r="L47" s="74" t="str">
        <x:f>IF(J47="","Keep current",IF(J47=I47,"Use suggestion","Custom"))</x:f>
        <x:v>Keep current</x:v>
      </x:c>
      <x:c r="M47" s="71" t="str">
        <x:v>Pending review</x:v>
      </x:c>
      <x:c r="N47" s="71" t="str">
        <x:v>Medium</x:v>
      </x:c>
      <x:c r="O47" s="71" t="str">
        <x:v>app/journey/admin/users/user-support.tsx</x:v>
      </x:c>
      <x:c r="P47" s="71" t="str">
        <x:v>UserSupport:40</x:v>
      </x:c>
      <x:c r="Q47" s="71" t="str">
        <x:v>EN (default / shared)</x:v>
      </x:c>
      <x:c r="R47" s="71" t="str">
        <x:v>Already clear and direct; suggested wording intentionally keeps the current copy.</x:v>
      </x:c>
      <x:c r="S47" s="75" t="str">
        <x:v>Not applied — review required</x:v>
      </x:c>
    </x:row>
    <x:row r="48">
      <x:c r="A48" s="71" t="str">
        <x:v>MRV-4A41634DBF</x:v>
      </x:c>
      <x:c r="B48" s="71" t="str">
        <x:v>Admin</x:v>
      </x:c>
      <x:c r="C48" s="71" t="str">
        <x:v>Admin operations</x:v>
      </x:c>
      <x:c r="D48" s="71" t="str">
        <x:v>/journey/admin/users/user-support</x:v>
      </x:c>
      <x:c r="E48" s="71" t="str">
        <x:v>UserSupport</x:v>
      </x:c>
      <x:c r="F48" s="71" t="str">
        <x:v>Default</x:v>
      </x:c>
      <x:c r="G48" s="71" t="str">
        <x:v>Label</x:v>
      </x:c>
      <x:c r="H48" s="71" t="str">
        <x:v>Unnamed traveller</x:v>
      </x:c>
      <x:c r="I48" s="71" t="str">
        <x:v>Unnamed traveller</x:v>
      </x:c>
      <x:c r="J48" s="73"/>
      <x:c r="K48" s="74" t="str">
        <x:f>IF(J48="",H48,IF(J48=I48,I48,J48))</x:f>
        <x:v>Unnamed traveller</x:v>
      </x:c>
      <x:c r="L48" s="74" t="str">
        <x:f>IF(J48="","Keep current",IF(J48=I48,"Use suggestion","Custom"))</x:f>
        <x:v>Keep current</x:v>
      </x:c>
      <x:c r="M48" s="71" t="str">
        <x:v>Pending review</x:v>
      </x:c>
      <x:c r="N48" s="71" t="str">
        <x:v>Normal</x:v>
      </x:c>
      <x:c r="O48" s="71" t="str">
        <x:v>app/journey/admin/users/user-support.tsx</x:v>
      </x:c>
      <x:c r="P48" s="71" t="str">
        <x:v>UserSupport:45</x:v>
      </x:c>
      <x:c r="Q48" s="71" t="str">
        <x:v>EN (default / shared)</x:v>
      </x:c>
      <x:c r="R48" s="71" t="str">
        <x:v>Already clear and direct; suggested wording intentionally keeps the current copy.</x:v>
      </x:c>
      <x:c r="S48" s="75" t="str">
        <x:v>Not applied — review required</x:v>
      </x:c>
    </x:row>
    <x:row r="49">
      <x:c r="A49" s="71" t="str">
        <x:v>MRV-6EF96B829F</x:v>
      </x:c>
      <x:c r="B49" s="71" t="str">
        <x:v>Admin</x:v>
      </x:c>
      <x:c r="C49" s="71" t="str">
        <x:v>Admin operations</x:v>
      </x:c>
      <x:c r="D49" s="71" t="str">
        <x:v>/journey/admin/users/user-support</x:v>
      </x:c>
      <x:c r="E49" s="71" t="str">
        <x:v>UserSupport</x:v>
      </x:c>
      <x:c r="F49" s="71" t="str">
        <x:v>Default</x:v>
      </x:c>
      <x:c r="G49" s="71" t="str">
        <x:v>Label</x:v>
      </x:c>
      <x:c r="H49" s="71" t="str">
        <x:v>· Last trip activity</x:v>
      </x:c>
      <x:c r="I49" s="71" t="str">
        <x:v>· Last trip activity</x:v>
      </x:c>
      <x:c r="J49" s="73"/>
      <x:c r="K49" s="74" t="str">
        <x:f>IF(J49="",H49,IF(J49=I49,I49,J49))</x:f>
        <x:v>· Last trip activity</x:v>
      </x:c>
      <x:c r="L49" s="74" t="str">
        <x:f>IF(J49="","Keep current",IF(J49=I49,"Use suggestion","Custom"))</x:f>
        <x:v>Keep current</x:v>
      </x:c>
      <x:c r="M49" s="71" t="str">
        <x:v>Pending review</x:v>
      </x:c>
      <x:c r="N49" s="71" t="str">
        <x:v>Normal</x:v>
      </x:c>
      <x:c r="O49" s="71" t="str">
        <x:v>app/journey/admin/users/user-support.tsx</x:v>
      </x:c>
      <x:c r="P49" s="71" t="str">
        <x:v>UserSupport:45</x:v>
      </x:c>
      <x:c r="Q49" s="71" t="str">
        <x:v>EN (default / shared)</x:v>
      </x:c>
      <x:c r="R49" s="71" t="str">
        <x:v>Already clear and direct; suggested wording intentionally keeps the current copy. Terminology watch: ‘trip’ and ‘journey’ both describe the same plan. Terminology watch: ‘stops’, ‘destinations’ and ‘places’ overlap.</x:v>
      </x:c>
      <x:c r="S49" s="75" t="str">
        <x:v>Not applied — review required</x:v>
      </x:c>
    </x:row>
    <x:row r="50">
      <x:c r="A50" s="71" t="str">
        <x:v>MRV-38676D3540</x:v>
      </x:c>
      <x:c r="B50" s="71" t="str">
        <x:v>Admin</x:v>
      </x:c>
      <x:c r="C50" s="71" t="str">
        <x:v>Admin operations</x:v>
      </x:c>
      <x:c r="D50" s="71" t="str">
        <x:v>/journey/admin/users/user-support</x:v>
      </x:c>
      <x:c r="E50" s="71" t="str">
        <x:v>UserSupport</x:v>
      </x:c>
      <x:c r="F50" s="71" t="str">
        <x:v>Default</x:v>
      </x:c>
      <x:c r="G50" s="71" t="str">
        <x:v>Label</x:v>
      </x:c>
      <x:c r="H50" s="71" t="str">
        <x:v>not yet</x:v>
      </x:c>
      <x:c r="I50" s="71" t="str">
        <x:v>not yet</x:v>
      </x:c>
      <x:c r="J50" s="73"/>
      <x:c r="K50" s="74" t="str">
        <x:f>IF(J50="",H50,IF(J50=I50,I50,J50))</x:f>
        <x:v>not yet</x:v>
      </x:c>
      <x:c r="L50" s="74" t="str">
        <x:f>IF(J50="","Keep current",IF(J50=I50,"Use suggestion","Custom"))</x:f>
        <x:v>Keep current</x:v>
      </x:c>
      <x:c r="M50" s="71" t="str">
        <x:v>Pending review</x:v>
      </x:c>
      <x:c r="N50" s="71" t="str">
        <x:v>Normal</x:v>
      </x:c>
      <x:c r="O50" s="71" t="str">
        <x:v>app/journey/admin/users/user-support.tsx</x:v>
      </x:c>
      <x:c r="P50" s="71" t="str">
        <x:v>UserSupport:45</x:v>
      </x:c>
      <x:c r="Q50" s="71" t="str">
        <x:v>EN (default / shared)</x:v>
      </x:c>
      <x:c r="R50" s="71" t="str">
        <x:v>Already clear and direct; suggested wording intentionally keeps the current copy.</x:v>
      </x:c>
      <x:c r="S50" s="75" t="str">
        <x:v>Not applied — review required</x:v>
      </x:c>
    </x:row>
    <x:row r="51">
      <x:c r="A51" s="71" t="str">
        <x:v>MRV-C5B738175C</x:v>
      </x:c>
      <x:c r="B51" s="71" t="str">
        <x:v>Admin</x:v>
      </x:c>
      <x:c r="C51" s="71" t="str">
        <x:v>Admin operations</x:v>
      </x:c>
      <x:c r="D51" s="71" t="str">
        <x:v>/journey/admin/users/user-support</x:v>
      </x:c>
      <x:c r="E51" s="71" t="str">
        <x:v>UserSupport</x:v>
      </x:c>
      <x:c r="F51" s="71" t="str">
        <x:v>Default</x:v>
      </x:c>
      <x:c r="G51" s="71" t="str">
        <x:v>CTA / button</x:v>
      </x:c>
      <x:c r="H51" s="71" t="str">
        <x:v>Sending…</x:v>
      </x:c>
      <x:c r="I51" s="71" t="str">
        <x:v>Sending…</x:v>
      </x:c>
      <x:c r="J51" s="73"/>
      <x:c r="K51" s="74" t="str">
        <x:f>IF(J51="",H51,IF(J51=I51,I51,J51))</x:f>
        <x:v>Sending…</x:v>
      </x:c>
      <x:c r="L51" s="74" t="str">
        <x:f>IF(J51="","Keep current",IF(J51=I51,"Use suggestion","Custom"))</x:f>
        <x:v>Keep current</x:v>
      </x:c>
      <x:c r="M51" s="71" t="str">
        <x:v>Pending review</x:v>
      </x:c>
      <x:c r="N51" s="71" t="str">
        <x:v>Medium</x:v>
      </x:c>
      <x:c r="O51" s="71" t="str">
        <x:v>app/journey/admin/users/user-support.tsx</x:v>
      </x:c>
      <x:c r="P51" s="71" t="str">
        <x:v>UserSupport:46</x:v>
      </x:c>
      <x:c r="Q51" s="71" t="str">
        <x:v>EN (default / shared)</x:v>
      </x:c>
      <x:c r="R51" s="71" t="str">
        <x:v>Already clear and direct; suggested wording intentionally keeps the current copy.</x:v>
      </x:c>
      <x:c r="S51" s="75" t="str">
        <x:v>Not applied — review required</x:v>
      </x:c>
    </x:row>
    <x:row r="52">
      <x:c r="A52" s="71" t="str">
        <x:v>MRV-CE6E257D4D</x:v>
      </x:c>
      <x:c r="B52" s="71" t="str">
        <x:v>Admin</x:v>
      </x:c>
      <x:c r="C52" s="71" t="str">
        <x:v>Admin operations</x:v>
      </x:c>
      <x:c r="D52" s="71" t="str">
        <x:v>/journey/admin/users/user-support</x:v>
      </x:c>
      <x:c r="E52" s="71" t="str">
        <x:v>UserSupport</x:v>
      </x:c>
      <x:c r="F52" s="71" t="str">
        <x:v>Default</x:v>
      </x:c>
      <x:c r="G52" s="71" t="str">
        <x:v>CTA / button</x:v>
      </x:c>
      <x:c r="H52" s="71" t="str">
        <x:v>Send reset link</x:v>
      </x:c>
      <x:c r="I52" s="71" t="str">
        <x:v>Send reset link</x:v>
      </x:c>
      <x:c r="J52" s="73"/>
      <x:c r="K52" s="74" t="str">
        <x:f>IF(J52="",H52,IF(J52=I52,I52,J52))</x:f>
        <x:v>Send reset link</x:v>
      </x:c>
      <x:c r="L52" s="74" t="str">
        <x:f>IF(J52="","Keep current",IF(J52=I52,"Use suggestion","Custom"))</x:f>
        <x:v>Keep current</x:v>
      </x:c>
      <x:c r="M52" s="71" t="str">
        <x:v>Pending review</x:v>
      </x:c>
      <x:c r="N52" s="71" t="str">
        <x:v>Medium</x:v>
      </x:c>
      <x:c r="O52" s="71" t="str">
        <x:v>app/journey/admin/users/user-support.tsx</x:v>
      </x:c>
      <x:c r="P52" s="71" t="str">
        <x:v>UserSupport:46</x:v>
      </x:c>
      <x:c r="Q52" s="71" t="str">
        <x:v>EN (default / shared)</x:v>
      </x:c>
      <x:c r="R52" s="71" t="str">
        <x:v>Already clear and direct; suggested wording intentionally keeps the current copy.</x:v>
      </x:c>
      <x:c r="S52" s="75" t="str">
        <x:v>Not applied — review required</x:v>
      </x:c>
    </x:row>
    <x:row r="53">
      <x:c r="A53" s="71" t="str">
        <x:v>MRV-59DE0F444E</x:v>
      </x:c>
      <x:c r="B53" s="71" t="str">
        <x:v>Admin</x:v>
      </x:c>
      <x:c r="C53" s="71" t="str">
        <x:v>Admin operations</x:v>
      </x:c>
      <x:c r="D53" s="71" t="str">
        <x:v>/journey/admin/users/user-support</x:v>
      </x:c>
      <x:c r="E53" s="71" t="str">
        <x:v>UserSupport</x:v>
      </x:c>
      <x:c r="F53" s="71" t="str">
        <x:v>Default</x:v>
      </x:c>
      <x:c r="G53" s="71" t="str">
        <x:v>CTA / button</x:v>
      </x:c>
      <x:c r="H53" s="71" t="str">
        <x:v>Delete account</x:v>
      </x:c>
      <x:c r="I53" s="71" t="str">
        <x:v>Delete account</x:v>
      </x:c>
      <x:c r="J53" s="73"/>
      <x:c r="K53" s="74" t="str">
        <x:f>IF(J53="",H53,IF(J53=I53,I53,J53))</x:f>
        <x:v>Delete account</x:v>
      </x:c>
      <x:c r="L53" s="74" t="str">
        <x:f>IF(J53="","Keep current",IF(J53=I53,"Use suggestion","Custom"))</x:f>
        <x:v>Keep current</x:v>
      </x:c>
      <x:c r="M53" s="71" t="str">
        <x:v>Pending review</x:v>
      </x:c>
      <x:c r="N53" s="71" t="str">
        <x:v>High</x:v>
      </x:c>
      <x:c r="O53" s="71" t="str">
        <x:v>app/journey/admin/users/user-support.tsx</x:v>
      </x:c>
      <x:c r="P53" s="71" t="str">
        <x:v>UserSupport:46</x:v>
      </x:c>
      <x:c r="Q53" s="71" t="str">
        <x:v>EN (default / shared)</x:v>
      </x:c>
      <x:c r="R53" s="71" t="str">
        <x:v>Already clear and direct; suggested wording intentionally keeps the current copy.</x:v>
      </x:c>
      <x:c r="S53" s="75" t="str">
        <x:v>Not applied — review required</x:v>
      </x:c>
    </x:row>
    <x:row r="54">
      <x:c r="A54" s="71" t="str">
        <x:v>MRV-843927FFAF</x:v>
      </x:c>
      <x:c r="B54" s="71" t="str">
        <x:v>Admin</x:v>
      </x:c>
      <x:c r="C54" s="71" t="str">
        <x:v>Admin operations</x:v>
      </x:c>
      <x:c r="D54" s="71" t="str">
        <x:v>/journey/admin/users/user-support</x:v>
      </x:c>
      <x:c r="E54" s="71" t="str">
        <x:v>UserSupport</x:v>
      </x:c>
      <x:c r="F54" s="71" t="str">
        <x:v>Default</x:v>
      </x:c>
      <x:c r="G54" s="71" t="str">
        <x:v>Body copy</x:v>
      </x:c>
      <x:c r="H54" s="71" t="str">
        <x:v>No matching Morrovia users yet.</x:v>
      </x:c>
      <x:c r="I54" s="71" t="str">
        <x:v>No matching Morrovia users yet.</x:v>
      </x:c>
      <x:c r="J54" s="73"/>
      <x:c r="K54" s="74" t="str">
        <x:f>IF(J54="",H54,IF(J54=I54,I54,J54))</x:f>
        <x:v>No matching Morrovia users yet.</x:v>
      </x:c>
      <x:c r="L54" s="74" t="str">
        <x:f>IF(J54="","Keep current",IF(J54=I54,"Use suggestion","Custom"))</x:f>
        <x:v>Keep current</x:v>
      </x:c>
      <x:c r="M54" s="71" t="str">
        <x:v>Pending review</x:v>
      </x:c>
      <x:c r="N54" s="71" t="str">
        <x:v>Normal</x:v>
      </x:c>
      <x:c r="O54" s="71" t="str">
        <x:v>app/journey/admin/users/user-support.tsx</x:v>
      </x:c>
      <x:c r="P54" s="71" t="str">
        <x:v>UserSupport:48</x:v>
      </x:c>
      <x:c r="Q54" s="71" t="str">
        <x:v>EN (default / shared)</x:v>
      </x:c>
      <x:c r="R54" s="71" t="str">
        <x:v>Already clear and direct; suggested wording intentionally keeps the current copy.</x:v>
      </x:c>
      <x:c r="S54" s="75" t="str">
        <x:v>Not applied — review required</x:v>
      </x:c>
    </x:row>
    <x:row r="55">
      <x:c r="A55" s="71" t="str">
        <x:v>MRV-4E4FB809BD</x:v>
      </x:c>
      <x:c r="B55" s="71" t="str">
        <x:v>Admin</x:v>
      </x:c>
      <x:c r="C55" s="71" t="str">
        <x:v>Admin operations</x:v>
      </x:c>
      <x:c r="D55" s="71" t="str">
        <x:v>/journey/admin/users/user-support</x:v>
      </x:c>
      <x:c r="E55" s="71" t="str">
        <x:v>UserSupport</x:v>
      </x:c>
      <x:c r="F55" s="71" t="str">
        <x:v>Default</x:v>
      </x:c>
      <x:c r="G55" s="71" t="str">
        <x:v>Label</x:v>
      </x:c>
      <x:c r="H55" s="71" t="str">
        <x:v>Permanent action</x:v>
      </x:c>
      <x:c r="I55" s="71" t="str">
        <x:v>Permanent action</x:v>
      </x:c>
      <x:c r="J55" s="73"/>
      <x:c r="K55" s="74" t="str">
        <x:f>IF(J55="",H55,IF(J55=I55,I55,J55))</x:f>
        <x:v>Permanent action</x:v>
      </x:c>
      <x:c r="L55" s="74" t="str">
        <x:f>IF(J55="","Keep current",IF(J55=I55,"Use suggestion","Custom"))</x:f>
        <x:v>Keep current</x:v>
      </x:c>
      <x:c r="M55" s="71" t="str">
        <x:v>Pending review</x:v>
      </x:c>
      <x:c r="N55" s="71" t="str">
        <x:v>Normal</x:v>
      </x:c>
      <x:c r="O55" s="71" t="str">
        <x:v>app/journey/admin/users/user-support.tsx</x:v>
      </x:c>
      <x:c r="P55" s="71" t="str">
        <x:v>UserSupport:52</x:v>
      </x:c>
      <x:c r="Q55" s="71" t="str">
        <x:v>EN (default / shared)</x:v>
      </x:c>
      <x:c r="R55" s="71" t="str">
        <x:v>Already clear and direct; suggested wording intentionally keeps the current copy.</x:v>
      </x:c>
      <x:c r="S55" s="75" t="str">
        <x:v>Not applied — review required</x:v>
      </x:c>
    </x:row>
    <x:row r="56">
      <x:c r="A56" s="71" t="str">
        <x:v>MRV-978638629F</x:v>
      </x:c>
      <x:c r="B56" s="71" t="str">
        <x:v>Admin</x:v>
      </x:c>
      <x:c r="C56" s="71" t="str">
        <x:v>Admin operations</x:v>
      </x:c>
      <x:c r="D56" s="71" t="str">
        <x:v>/journey/admin/users/user-support</x:v>
      </x:c>
      <x:c r="E56" s="71" t="str">
        <x:v>UserSupport</x:v>
      </x:c>
      <x:c r="F56" s="71" t="str">
        <x:v>Default</x:v>
      </x:c>
      <x:c r="G56" s="71" t="str">
        <x:v>CTA / button</x:v>
      </x:c>
      <x:c r="H56" s="71" t="str">
        <x:v>Delete this account?</x:v>
      </x:c>
      <x:c r="I56" s="71" t="str">
        <x:v>Delete this account?</x:v>
      </x:c>
      <x:c r="J56" s="73"/>
      <x:c r="K56" s="74" t="str">
        <x:f>IF(J56="",H56,IF(J56=I56,I56,J56))</x:f>
        <x:v>Delete this account?</x:v>
      </x:c>
      <x:c r="L56" s="74" t="str">
        <x:f>IF(J56="","Keep current",IF(J56=I56,"Use suggestion","Custom"))</x:f>
        <x:v>Keep current</x:v>
      </x:c>
      <x:c r="M56" s="71" t="str">
        <x:v>Pending review</x:v>
      </x:c>
      <x:c r="N56" s="71" t="str">
        <x:v>High</x:v>
      </x:c>
      <x:c r="O56" s="71" t="str">
        <x:v>app/journey/admin/users/user-support.tsx</x:v>
      </x:c>
      <x:c r="P56" s="71" t="str">
        <x:v>UserSupport:52</x:v>
      </x:c>
      <x:c r="Q56" s="71" t="str">
        <x:v>EN (default / shared)</x:v>
      </x:c>
      <x:c r="R56" s="71" t="str">
        <x:v>Already clear and direct; suggested wording intentionally keeps the current copy.</x:v>
      </x:c>
      <x:c r="S56" s="75" t="str">
        <x:v>Not applied — review required</x:v>
      </x:c>
    </x:row>
    <x:row r="57">
      <x:c r="A57" s="71" t="str">
        <x:v>MRV-E992C0FA6C</x:v>
      </x:c>
      <x:c r="B57" s="71" t="str">
        <x:v>Admin</x:v>
      </x:c>
      <x:c r="C57" s="71" t="str">
        <x:v>Admin operations</x:v>
      </x:c>
      <x:c r="D57" s="71" t="str">
        <x:v>/journey/admin/users/user-support</x:v>
      </x:c>
      <x:c r="E57" s="71" t="str">
        <x:v>UserSupport</x:v>
      </x:c>
      <x:c r="F57" s="71" t="str">
        <x:v>Default</x:v>
      </x:c>
      <x:c r="G57" s="71" t="str">
        <x:v>Label</x:v>
      </x:c>
      <x:c r="H57" s="71" t="str">
        <x:v>This permanently removes</x:v>
      </x:c>
      <x:c r="I57" s="71" t="str">
        <x:v>This permanently removes</x:v>
      </x:c>
      <x:c r="J57" s="73"/>
      <x:c r="K57" s="74" t="str">
        <x:f>IF(J57="",H57,IF(J57=I57,I57,J57))</x:f>
        <x:v>This permanently removes</x:v>
      </x:c>
      <x:c r="L57" s="74" t="str">
        <x:f>IF(J57="","Keep current",IF(J57=I57,"Use suggestion","Custom"))</x:f>
        <x:v>Keep current</x:v>
      </x:c>
      <x:c r="M57" s="71" t="str">
        <x:v>Pending review</x:v>
      </x:c>
      <x:c r="N57" s="71" t="str">
        <x:v>Normal</x:v>
      </x:c>
      <x:c r="O57" s="71" t="str">
        <x:v>app/journey/admin/users/user-support.tsx</x:v>
      </x:c>
      <x:c r="P57" s="71" t="str">
        <x:v>UserSupport:52</x:v>
      </x:c>
      <x:c r="Q57" s="71" t="str">
        <x:v>EN (default / shared)</x:v>
      </x:c>
      <x:c r="R57" s="71" t="str">
        <x:v>Already clear and direct; suggested wording intentionally keeps the current copy.</x:v>
      </x:c>
      <x:c r="S57" s="75" t="str">
        <x:v>Not applied — review required</x:v>
      </x:c>
    </x:row>
    <x:row r="58">
      <x:c r="A58" s="71" t="str">
        <x:v>MRV-77790776C6</x:v>
      </x:c>
      <x:c r="B58" s="71" t="str">
        <x:v>Admin</x:v>
      </x:c>
      <x:c r="C58" s="71" t="str">
        <x:v>Admin operations</x:v>
      </x:c>
      <x:c r="D58" s="71" t="str">
        <x:v>/journey/admin/users/user-support</x:v>
      </x:c>
      <x:c r="E58" s="71" t="str">
        <x:v>UserSupport</x:v>
      </x:c>
      <x:c r="F58" s="71" t="str">
        <x:v>Default</x:v>
      </x:c>
      <x:c r="G58" s="71" t="str">
        <x:v>Body copy</x:v>
      </x:c>
      <x:c r="H58" s="71" t="str">
        <x:v>, their trips and Morrovia data, and revokes access. Type their email address to enable deletion.</x:v>
      </x:c>
      <x:c r="I58" s="71" t="str">
        <x:v>, their trips and Morrovia data, and revokes access. Type their email address to enable deletion.</x:v>
      </x:c>
      <x:c r="J58" s="73"/>
      <x:c r="K58" s="74" t="str">
        <x:f>IF(J58="",H58,IF(J58=I58,I58,J58))</x:f>
        <x:v>, their trips and Morrovia data, and revokes access. Type their email address to enable deletion.</x:v>
      </x:c>
      <x:c r="L58" s="74" t="str">
        <x:f>IF(J58="","Keep current",IF(J58=I58,"Use suggestion","Custom"))</x:f>
        <x:v>Keep current</x:v>
      </x:c>
      <x:c r="M58" s="71" t="str">
        <x:v>Pending review</x:v>
      </x:c>
      <x:c r="N58" s="71" t="str">
        <x:v>Normal</x:v>
      </x:c>
      <x:c r="O58" s="71" t="str">
        <x:v>app/journey/admin/users/user-support.tsx</x:v>
      </x:c>
      <x:c r="P58" s="71" t="str">
        <x:v>UserSupport:52</x:v>
      </x:c>
      <x:c r="Q58" s="71" t="str">
        <x:v>EN (default / shared)</x:v>
      </x:c>
      <x:c r="R58" s="71" t="str">
        <x:v>Already clear and direct; suggested wording intentionally keeps the current copy. Terminology watch: ‘trip’ and ‘journey’ both describe the same plan. Terminology watch: ‘stops’, ‘destinations’ and ‘places’ overlap.</x:v>
      </x:c>
      <x:c r="S58" s="75" t="str">
        <x:v>Not applied — review required</x:v>
      </x:c>
    </x:row>
    <x:row r="59">
      <x:c r="A59" s="71" t="str">
        <x:v>MRV-90BFBF2208</x:v>
      </x:c>
      <x:c r="B59" s="71" t="str">
        <x:v>Admin</x:v>
      </x:c>
      <x:c r="C59" s="71" t="str">
        <x:v>Admin operations</x:v>
      </x:c>
      <x:c r="D59" s="71" t="str">
        <x:v>/journey/admin/users/user-support</x:v>
      </x:c>
      <x:c r="E59" s="71" t="str">
        <x:v>UserSupport</x:v>
      </x:c>
      <x:c r="F59" s="71" t="str">
        <x:v>Default</x:v>
      </x:c>
      <x:c r="G59" s="71" t="str">
        <x:v>Label</x:v>
      </x:c>
      <x:c r="H59" s="71" t="str">
        <x:v>Confirm email</x:v>
      </x:c>
      <x:c r="I59" s="71" t="str">
        <x:v>Confirm email</x:v>
      </x:c>
      <x:c r="J59" s="73"/>
      <x:c r="K59" s="74" t="str">
        <x:f>IF(J59="",H59,IF(J59=I59,I59,J59))</x:f>
        <x:v>Confirm email</x:v>
      </x:c>
      <x:c r="L59" s="74" t="str">
        <x:f>IF(J59="","Keep current",IF(J59=I59,"Use suggestion","Custom"))</x:f>
        <x:v>Keep current</x:v>
      </x:c>
      <x:c r="M59" s="71" t="str">
        <x:v>Pending review</x:v>
      </x:c>
      <x:c r="N59" s="71" t="str">
        <x:v>Normal</x:v>
      </x:c>
      <x:c r="O59" s="71" t="str">
        <x:v>app/journey/admin/users/user-support.tsx</x:v>
      </x:c>
      <x:c r="P59" s="71" t="str">
        <x:v>UserSupport:53</x:v>
      </x:c>
      <x:c r="Q59" s="71" t="str">
        <x:v>EN (default / shared)</x:v>
      </x:c>
      <x:c r="R59" s="71" t="str">
        <x:v>Already clear and direct; suggested wording intentionally keeps the current copy.</x:v>
      </x:c>
      <x:c r="S59" s="75" t="str">
        <x:v>Not applied — review required</x:v>
      </x:c>
    </x:row>
    <x:row r="60">
      <x:c r="A60" s="71" t="str">
        <x:v>MRV-536DAEE3D3</x:v>
      </x:c>
      <x:c r="B60" s="71" t="str">
        <x:v>Admin</x:v>
      </x:c>
      <x:c r="C60" s="71" t="str">
        <x:v>Admin operations</x:v>
      </x:c>
      <x:c r="D60" s="71" t="str">
        <x:v>/journey/admin/users/user-support</x:v>
      </x:c>
      <x:c r="E60" s="71" t="str">
        <x:v>UserSupport</x:v>
      </x:c>
      <x:c r="F60" s="71" t="str">
        <x:v>Default</x:v>
      </x:c>
      <x:c r="G60" s="71" t="str">
        <x:v>CTA / button</x:v>
      </x:c>
      <x:c r="H60" s="71" t="str">
        <x:v>Cancel</x:v>
      </x:c>
      <x:c r="I60" s="71" t="str">
        <x:v>Cancel</x:v>
      </x:c>
      <x:c r="J60" s="73"/>
      <x:c r="K60" s="74" t="str">
        <x:f>IF(J60="",H60,IF(J60=I60,I60,J60))</x:f>
        <x:v>Cancel</x:v>
      </x:c>
      <x:c r="L60" s="74" t="str">
        <x:f>IF(J60="","Keep current",IF(J60=I60,"Use suggestion","Custom"))</x:f>
        <x:v>Keep current</x:v>
      </x:c>
      <x:c r="M60" s="71" t="str">
        <x:v>Pending review</x:v>
      </x:c>
      <x:c r="N60" s="71" t="str">
        <x:v>Medium</x:v>
      </x:c>
      <x:c r="O60" s="71" t="str">
        <x:v>app/journey/admin/users/user-support.tsx</x:v>
      </x:c>
      <x:c r="P60" s="71" t="str">
        <x:v>UserSupport:54</x:v>
      </x:c>
      <x:c r="Q60" s="71" t="str">
        <x:v>EN (default / shared)</x:v>
      </x:c>
      <x:c r="R60" s="71" t="str">
        <x:v>Already clear and direct; suggested wording intentionally keeps the current copy. Duplicate wording: appears 2 times.</x:v>
      </x:c>
      <x:c r="S60" s="75" t="str">
        <x:v>Not applied — review required</x:v>
      </x:c>
    </x:row>
    <x:row r="61">
      <x:c r="A61" s="71" t="str">
        <x:v>MRV-352EDF3A0D</x:v>
      </x:c>
      <x:c r="B61" s="71" t="str">
        <x:v>Admin</x:v>
      </x:c>
      <x:c r="C61" s="71" t="str">
        <x:v>Admin operations</x:v>
      </x:c>
      <x:c r="D61" s="71" t="str">
        <x:v>/journey/admin/users/user-support</x:v>
      </x:c>
      <x:c r="E61" s="71" t="str">
        <x:v>UserSupport</x:v>
      </x:c>
      <x:c r="F61" s="71" t="str">
        <x:v>Default</x:v>
      </x:c>
      <x:c r="G61" s="71" t="str">
        <x:v>Label</x:v>
      </x:c>
      <x:c r="H61" s="71" t="str">
        <x:v>Deleting…</x:v>
      </x:c>
      <x:c r="I61" s="71" t="str">
        <x:v>Deleting…</x:v>
      </x:c>
      <x:c r="J61" s="73"/>
      <x:c r="K61" s="74" t="str">
        <x:f>IF(J61="",H61,IF(J61=I61,I61,J61))</x:f>
        <x:v>Deleting…</x:v>
      </x:c>
      <x:c r="L61" s="74" t="str">
        <x:f>IF(J61="","Keep current",IF(J61=I61,"Use suggestion","Custom"))</x:f>
        <x:v>Keep current</x:v>
      </x:c>
      <x:c r="M61" s="71" t="str">
        <x:v>Pending review</x:v>
      </x:c>
      <x:c r="N61" s="71" t="str">
        <x:v>Normal</x:v>
      </x:c>
      <x:c r="O61" s="71" t="str">
        <x:v>app/journey/admin/users/user-support.tsx</x:v>
      </x:c>
      <x:c r="P61" s="71" t="str">
        <x:v>UserSupport:54</x:v>
      </x:c>
      <x:c r="Q61" s="71" t="str">
        <x:v>EN (default / shared)</x:v>
      </x:c>
      <x:c r="R61" s="71" t="str">
        <x:v>Already clear and direct; suggested wording intentionally keeps the current copy.</x:v>
      </x:c>
      <x:c r="S61" s="75" t="str">
        <x:v>Not applied — review required</x:v>
      </x:c>
    </x:row>
    <x:row r="62">
      <x:c r="A62" s="71" t="str">
        <x:v>MRV-BE87089670</x:v>
      </x:c>
      <x:c r="B62" s="71" t="str">
        <x:v>Admin</x:v>
      </x:c>
      <x:c r="C62" s="71" t="str">
        <x:v>Admin operations</x:v>
      </x:c>
      <x:c r="D62" s="71" t="str">
        <x:v>/journey/admin/users/user-support</x:v>
      </x:c>
      <x:c r="E62" s="71" t="str">
        <x:v>UserSupport</x:v>
      </x:c>
      <x:c r="F62" s="71" t="str">
        <x:v>Default</x:v>
      </x:c>
      <x:c r="G62" s="71" t="str">
        <x:v>CTA / button</x:v>
      </x:c>
      <x:c r="H62" s="71" t="str">
        <x:v>Delete permanently</x:v>
      </x:c>
      <x:c r="I62" s="71" t="str">
        <x:v>Delete permanently</x:v>
      </x:c>
      <x:c r="J62" s="73"/>
      <x:c r="K62" s="74" t="str">
        <x:f>IF(J62="",H62,IF(J62=I62,I62,J62))</x:f>
        <x:v>Delete permanently</x:v>
      </x:c>
      <x:c r="L62" s="74" t="str">
        <x:f>IF(J62="","Keep current",IF(J62=I62,"Use suggestion","Custom"))</x:f>
        <x:v>Keep current</x:v>
      </x:c>
      <x:c r="M62" s="71" t="str">
        <x:v>Pending review</x:v>
      </x:c>
      <x:c r="N62" s="71" t="str">
        <x:v>High</x:v>
      </x:c>
      <x:c r="O62" s="71" t="str">
        <x:v>app/journey/admin/users/user-support.tsx</x:v>
      </x:c>
      <x:c r="P62" s="71" t="str">
        <x:v>UserSupport:54</x:v>
      </x:c>
      <x:c r="Q62" s="71" t="str">
        <x:v>EN (default / shared)</x:v>
      </x:c>
      <x:c r="R62" s="71" t="str">
        <x:v>Already clear and direct; suggested wording intentionally keeps the current copy.</x:v>
      </x:c>
      <x:c r="S62" s="75" t="str">
        <x:v>Not applied — review required</x:v>
      </x:c>
    </x:row>
    <x:row r="63">
      <x:c r="A63" s="71" t="str">
        <x:v>MRV-758570B42B</x:v>
      </x:c>
      <x:c r="B63" s="71" t="str">
        <x:v>Legal</x:v>
      </x:c>
      <x:c r="C63" s="71" t="str">
        <x:v>Affiliate disclosure</x:v>
      </x:c>
      <x:c r="D63" s="71" t="str">
        <x:v>/journey/affiliate-disclosure</x:v>
      </x:c>
      <x:c r="E63" s="71" t="str">
        <x:v>metadata</x:v>
      </x:c>
      <x:c r="F63" s="71" t="str">
        <x:v>Default</x:v>
      </x:c>
      <x:c r="G63" s="71" t="str">
        <x:v>Tooltip</x:v>
      </x:c>
      <x:c r="H63" s="71" t="str">
        <x:v>Affiliate disclosure · Morrovia</x:v>
      </x:c>
      <x:c r="I63" s="71" t="str">
        <x:v>Affiliate disclosure · Morrovia</x:v>
      </x:c>
      <x:c r="J63" s="73"/>
      <x:c r="K63" s="74" t="str">
        <x:f>IF(J63="",H63,IF(J63=I63,I63,J63))</x:f>
        <x:v>Affiliate disclosure · Morrovia</x:v>
      </x:c>
      <x:c r="L63" s="74" t="str">
        <x:f>IF(J63="","Keep current",IF(J63=I63,"Use suggestion","Custom"))</x:f>
        <x:v>Keep current</x:v>
      </x:c>
      <x:c r="M63" s="71" t="str">
        <x:v>Pending review</x:v>
      </x:c>
      <x:c r="N63" s="71" t="str">
        <x:v>Normal</x:v>
      </x:c>
      <x:c r="O63" s="71" t="str">
        <x:v>app/journey/affiliate-disclosure/page.tsx</x:v>
      </x:c>
      <x:c r="P63" s="71" t="str">
        <x:v>metadata:6</x:v>
      </x:c>
      <x:c r="Q63" s="71" t="str">
        <x:v>EN (default / shared)</x:v>
      </x:c>
      <x:c r="R63" s="71" t="str">
        <x:v>Already clear and direct; suggested wording intentionally keeps the current copy.</x:v>
      </x:c>
      <x:c r="S63" s="75" t="str">
        <x:v>Not applied — review required</x:v>
      </x:c>
    </x:row>
    <x:row r="64">
      <x:c r="A64" s="71" t="str">
        <x:v>MRV-09F3BB5873</x:v>
      </x:c>
      <x:c r="B64" s="71" t="str">
        <x:v>Legal</x:v>
      </x:c>
      <x:c r="C64" s="71" t="str">
        <x:v>Affiliate disclosure</x:v>
      </x:c>
      <x:c r="D64" s="71" t="str">
        <x:v>/journey/affiliate-disclosure</x:v>
      </x:c>
      <x:c r="E64" s="71" t="str">
        <x:v>AffiliateDisclosurePage</x:v>
      </x:c>
      <x:c r="F64" s="71" t="str">
        <x:v>Default</x:v>
      </x:c>
      <x:c r="G64" s="71" t="str">
        <x:v>Label</x:v>
      </x:c>
      <x:c r="H64" s="71" t="str">
        <x:v>Affiliate disclosure</x:v>
      </x:c>
      <x:c r="I64" s="71" t="str">
        <x:v>Affiliate disclosure</x:v>
      </x:c>
      <x:c r="J64" s="73"/>
      <x:c r="K64" s="74" t="str">
        <x:f>IF(J64="",H64,IF(J64=I64,I64,J64))</x:f>
        <x:v>Affiliate disclosure</x:v>
      </x:c>
      <x:c r="L64" s="74" t="str">
        <x:f>IF(J64="","Keep current",IF(J64=I64,"Use suggestion","Custom"))</x:f>
        <x:v>Keep current</x:v>
      </x:c>
      <x:c r="M64" s="71" t="str">
        <x:v>Pending review</x:v>
      </x:c>
      <x:c r="N64" s="71" t="str">
        <x:v>Normal</x:v>
      </x:c>
      <x:c r="O64" s="71" t="str">
        <x:v>app/journey/affiliate-disclosure/page.tsx</x:v>
      </x:c>
      <x:c r="P64" s="71" t="str">
        <x:v>AffiliateDisclosurePage:16</x:v>
      </x:c>
      <x:c r="Q64" s="71" t="str">
        <x:v>EN (default / shared)</x:v>
      </x:c>
      <x:c r="R64" s="71" t="str">
        <x:v>Already clear and direct; suggested wording intentionally keeps the current copy.</x:v>
      </x:c>
      <x:c r="S64" s="75" t="str">
        <x:v>Not applied — review required</x:v>
      </x:c>
    </x:row>
    <x:row r="65">
      <x:c r="A65" s="71" t="str">
        <x:v>MRV-C2343860F8</x:v>
      </x:c>
      <x:c r="B65" s="71" t="str">
        <x:v>Legal</x:v>
      </x:c>
      <x:c r="C65" s="71" t="str">
        <x:v>Affiliate disclosure</x:v>
      </x:c>
      <x:c r="D65" s="71" t="str">
        <x:v>/journey/affiliate-disclosure</x:v>
      </x:c>
      <x:c r="E65" s="71" t="str">
        <x:v>AffiliateDisclosurePage</x:v>
      </x:c>
      <x:c r="F65" s="71" t="str">
        <x:v>Default</x:v>
      </x:c>
      <x:c r="G65" s="71" t="str">
        <x:v>Body copy</x:v>
      </x:c>
      <x:c r="H65" s="71" t="str">
        <x:v>How partner links work at Morrovia.</x:v>
      </x:c>
      <x:c r="I65" s="71" t="str">
        <x:v>How partner links work at Morrovia.</x:v>
      </x:c>
      <x:c r="J65" s="73"/>
      <x:c r="K65" s="74" t="str">
        <x:f>IF(J65="",H65,IF(J65=I65,I65,J65))</x:f>
        <x:v>How partner links work at Morrovia.</x:v>
      </x:c>
      <x:c r="L65" s="74" t="str">
        <x:f>IF(J65="","Keep current",IF(J65=I65,"Use suggestion","Custom"))</x:f>
        <x:v>Keep current</x:v>
      </x:c>
      <x:c r="M65" s="71" t="str">
        <x:v>Pending review</x:v>
      </x:c>
      <x:c r="N65" s="71" t="str">
        <x:v>Normal</x:v>
      </x:c>
      <x:c r="O65" s="71" t="str">
        <x:v>app/journey/affiliate-disclosure/page.tsx</x:v>
      </x:c>
      <x:c r="P65" s="71" t="str">
        <x:v>AffiliateDisclosurePage:17</x:v>
      </x:c>
      <x:c r="Q65" s="71" t="str">
        <x:v>EN (default / shared)</x:v>
      </x:c>
      <x:c r="R65" s="71" t="str">
        <x:v>Already clear and direct; suggested wording intentionally keeps the current copy.</x:v>
      </x:c>
      <x:c r="S65" s="75" t="str">
        <x:v>Not applied — review required</x:v>
      </x:c>
    </x:row>
    <x:row r="66">
      <x:c r="A66" s="71" t="str">
        <x:v>MRV-0AA5C0C156</x:v>
      </x:c>
      <x:c r="B66" s="71" t="str">
        <x:v>Legal</x:v>
      </x:c>
      <x:c r="C66" s="71" t="str">
        <x:v>Affiliate disclosure</x:v>
      </x:c>
      <x:c r="D66" s="71" t="str">
        <x:v>/journey/affiliate-disclosure</x:v>
      </x:c>
      <x:c r="E66" s="71" t="str">
        <x:v>AffiliateDisclosurePage</x:v>
      </x:c>
      <x:c r="F66" s="71" t="str">
        <x:v>Default</x:v>
      </x:c>
      <x:c r="G66" s="71" t="str">
        <x:v>Body copy</x:v>
      </x:c>
      <x:c r="H66" s="71" t="str">
        <x:v>We want it to be clear when Morrovia may earn money from a link or booking you choose to make.</x:v>
      </x:c>
      <x:c r="I66" s="71" t="str">
        <x:v>We want it to be clear when Morrovia may earn money from a link or booking you choose to make.</x:v>
      </x:c>
      <x:c r="J66" s="73"/>
      <x:c r="K66" s="74" t="str">
        <x:f>IF(J66="",H66,IF(J66=I66,I66,J66))</x:f>
        <x:v>We want it to be clear when Morrovia may earn money from a link or booking you choose to make.</x:v>
      </x:c>
      <x:c r="L66" s="74" t="str">
        <x:f>IF(J66="","Keep current",IF(J66=I66,"Use suggestion","Custom"))</x:f>
        <x:v>Keep current</x:v>
      </x:c>
      <x:c r="M66" s="71" t="str">
        <x:v>Pending review</x:v>
      </x:c>
      <x:c r="N66" s="71" t="str">
        <x:v>Normal</x:v>
      </x:c>
      <x:c r="O66" s="71" t="str">
        <x:v>app/journey/affiliate-disclosure/page.tsx</x:v>
      </x:c>
      <x:c r="P66" s="71" t="str">
        <x:v>AffiliateDisclosurePage:18</x:v>
      </x:c>
      <x:c r="Q66" s="71" t="str">
        <x:v>EN (default / shared)</x:v>
      </x:c>
      <x:c r="R66" s="71" t="str">
        <x:v>Already clear and direct; suggested wording intentionally keeps the current copy.</x:v>
      </x:c>
      <x:c r="S66" s="75" t="str">
        <x:v>Not applied — review required</x:v>
      </x:c>
    </x:row>
    <x:row r="67">
      <x:c r="A67" s="71" t="str">
        <x:v>MRV-D2AE9B1650</x:v>
      </x:c>
      <x:c r="B67" s="71" t="str">
        <x:v>Legal</x:v>
      </x:c>
      <x:c r="C67" s="71" t="str">
        <x:v>Affiliate disclosure</x:v>
      </x:c>
      <x:c r="D67" s="71" t="str">
        <x:v>/journey/affiliate-disclosure</x:v>
      </x:c>
      <x:c r="E67" s="71" t="str">
        <x:v>AffiliateDisclosurePage</x:v>
      </x:c>
      <x:c r="F67" s="71" t="str">
        <x:v>Default</x:v>
      </x:c>
      <x:c r="G67" s="71" t="str">
        <x:v>Label</x:v>
      </x:c>
      <x:c r="H67" s="71" t="str">
        <x:v>Last updated 17 August 2026</x:v>
      </x:c>
      <x:c r="I67" s="71" t="str">
        <x:v>Last updated 17 August 2026</x:v>
      </x:c>
      <x:c r="J67" s="73"/>
      <x:c r="K67" s="74" t="str">
        <x:f>IF(J67="",H67,IF(J67=I67,I67,J67))</x:f>
        <x:v>Last updated 17 August 2026</x:v>
      </x:c>
      <x:c r="L67" s="74" t="str">
        <x:f>IF(J67="","Keep current",IF(J67=I67,"Use suggestion","Custom"))</x:f>
        <x:v>Keep current</x:v>
      </x:c>
      <x:c r="M67" s="71" t="str">
        <x:v>Pending review</x:v>
      </x:c>
      <x:c r="N67" s="71" t="str">
        <x:v>Normal</x:v>
      </x:c>
      <x:c r="O67" s="71" t="str">
        <x:v>app/journey/affiliate-disclosure/page.tsx</x:v>
      </x:c>
      <x:c r="P67" s="71" t="str">
        <x:v>AffiliateDisclosurePage:19</x:v>
      </x:c>
      <x:c r="Q67" s="71" t="str">
        <x:v>EN (default / shared)</x:v>
      </x:c>
      <x:c r="R67" s="71" t="str">
        <x:v>Already clear and direct; suggested wording intentionally keeps the current copy.</x:v>
      </x:c>
      <x:c r="S67" s="75" t="str">
        <x:v>Not applied — review required</x:v>
      </x:c>
    </x:row>
    <x:row r="68">
      <x:c r="A68" s="71" t="str">
        <x:v>MRV-BA6DA57E7D</x:v>
      </x:c>
      <x:c r="B68" s="71" t="str">
        <x:v>Legal</x:v>
      </x:c>
      <x:c r="C68" s="71" t="str">
        <x:v>Affiliate disclosure</x:v>
      </x:c>
      <x:c r="D68" s="71" t="str">
        <x:v>/journey/affiliate-disclosure</x:v>
      </x:c>
      <x:c r="E68" s="71" t="str">
        <x:v>AffiliateDisclosurePage</x:v>
      </x:c>
      <x:c r="F68" s="71" t="str">
        <x:v>Default</x:v>
      </x:c>
      <x:c r="G68" s="71" t="str">
        <x:v>Label</x:v>
      </x:c>
      <x:c r="H68" s="71" t="str">
        <x:v>Affiliate relationships</x:v>
      </x:c>
      <x:c r="I68" s="71" t="str">
        <x:v>Affiliate relationships</x:v>
      </x:c>
      <x:c r="J68" s="73"/>
      <x:c r="K68" s="74" t="str">
        <x:f>IF(J68="",H68,IF(J68=I68,I68,J68))</x:f>
        <x:v>Affiliate relationships</x:v>
      </x:c>
      <x:c r="L68" s="74" t="str">
        <x:f>IF(J68="","Keep current",IF(J68=I68,"Use suggestion","Custom"))</x:f>
        <x:v>Keep current</x:v>
      </x:c>
      <x:c r="M68" s="71" t="str">
        <x:v>Pending review</x:v>
      </x:c>
      <x:c r="N68" s="71" t="str">
        <x:v>Normal</x:v>
      </x:c>
      <x:c r="O68" s="71" t="str">
        <x:v>app/journey/affiliate-disclosure/page.tsx</x:v>
      </x:c>
      <x:c r="P68" s="71" t="str">
        <x:v>AffiliateDisclosurePage:23</x:v>
      </x:c>
      <x:c r="Q68" s="71" t="str">
        <x:v>EN (default / shared)</x:v>
      </x:c>
      <x:c r="R68" s="71" t="str">
        <x:v>Already clear and direct; suggested wording intentionally keeps the current copy.</x:v>
      </x:c>
      <x:c r="S68" s="75" t="str">
        <x:v>Not applied — review required</x:v>
      </x:c>
    </x:row>
    <x:row r="69">
      <x:c r="A69" s="71" t="str">
        <x:v>MRV-BC5EB55A82</x:v>
      </x:c>
      <x:c r="B69" s="71" t="str">
        <x:v>Legal</x:v>
      </x:c>
      <x:c r="C69" s="71" t="str">
        <x:v>Affiliate disclosure</x:v>
      </x:c>
      <x:c r="D69" s="71" t="str">
        <x:v>/journey/affiliate-disclosure</x:v>
      </x:c>
      <x:c r="E69" s="71" t="str">
        <x:v>AffiliateDisclosurePage</x:v>
      </x:c>
      <x:c r="F69" s="71" t="str">
        <x:v>Default</x:v>
      </x:c>
      <x:c r="G69" s="71" t="str">
        <x:v>Body copy</x:v>
      </x:c>
      <x:c r="H69" s="71" t="str">
        <x:v>Morrovia may work with third-party travel and service providers through affiliate or referral relationships. Some links in Morrovia may be affiliate links. If you follow one of these links and complete an eligible purchase or booking, Morrovia may receive a commission or referral fee.</x:v>
      </x:c>
      <x:c r="I69" s="71" t="str">
        <x:v>Morrovia may work with third-party travel and service providers through affiliate or referral relationships. Some links in Morrovia may be affiliate links. If you follow one of these links and complete an eligible purchase or booking, Morrovia may receive a commission or referral fee.</x:v>
      </x:c>
      <x:c r="J69" s="73"/>
      <x:c r="K69" s="74" t="str">
        <x:f>IF(J69="",H69,IF(J69=I69,I69,J69))</x:f>
        <x:v>Morrovia may work with third-party travel and service providers through affiliate or referral relationships. Some links in Morrovia may be affiliate links. If you follow one of these links and complete an eligible purchase or booking, Morrovia may receive a commission or referral fee.</x:v>
      </x:c>
      <x:c r="L69" s="74" t="str">
        <x:f>IF(J69="","Keep current",IF(J69=I69,"Use suggestion","Custom"))</x:f>
        <x:v>Keep current</x:v>
      </x:c>
      <x:c r="M69" s="71" t="str">
        <x:v>Pending review</x:v>
      </x:c>
      <x:c r="N69" s="71" t="str">
        <x:v>Normal</x:v>
      </x:c>
      <x:c r="O69" s="71" t="str">
        <x:v>app/journey/affiliate-disclosure/page.tsx</x:v>
      </x:c>
      <x:c r="P69" s="71" t="str">
        <x:v>AffiliateDisclosurePage:24</x:v>
      </x:c>
      <x:c r="Q69" s="71" t="str">
        <x:v>EN (default / shared)</x:v>
      </x:c>
      <x:c r="R69" s="71" t="str">
        <x:v>Already clear and direct; suggested wording intentionally keeps the current copy.</x:v>
      </x:c>
      <x:c r="S69" s="75" t="str">
        <x:v>Not applied — review required</x:v>
      </x:c>
    </x:row>
    <x:row r="70">
      <x:c r="A70" s="71" t="str">
        <x:v>MRV-98939A1BD2</x:v>
      </x:c>
      <x:c r="B70" s="71" t="str">
        <x:v>Legal</x:v>
      </x:c>
      <x:c r="C70" s="71" t="str">
        <x:v>Affiliate disclosure</x:v>
      </x:c>
      <x:c r="D70" s="71" t="str">
        <x:v>/journey/affiliate-disclosure</x:v>
      </x:c>
      <x:c r="E70" s="71" t="str">
        <x:v>AffiliateDisclosurePage</x:v>
      </x:c>
      <x:c r="F70" s="71" t="str">
        <x:v>Default</x:v>
      </x:c>
      <x:c r="G70" s="71" t="str">
        <x:v>Label</x:v>
      </x:c>
      <x:c r="H70" s="71" t="str">
        <x:v>What this costs you</x:v>
      </x:c>
      <x:c r="I70" s="71" t="str">
        <x:v>What this costs you</x:v>
      </x:c>
      <x:c r="J70" s="73"/>
      <x:c r="K70" s="74" t="str">
        <x:f>IF(J70="",H70,IF(J70=I70,I70,J70))</x:f>
        <x:v>What this costs you</x:v>
      </x:c>
      <x:c r="L70" s="74" t="str">
        <x:f>IF(J70="","Keep current",IF(J70=I70,"Use suggestion","Custom"))</x:f>
        <x:v>Keep current</x:v>
      </x:c>
      <x:c r="M70" s="71" t="str">
        <x:v>Pending review</x:v>
      </x:c>
      <x:c r="N70" s="71" t="str">
        <x:v>Normal</x:v>
      </x:c>
      <x:c r="O70" s="71" t="str">
        <x:v>app/journey/affiliate-disclosure/page.tsx</x:v>
      </x:c>
      <x:c r="P70" s="71" t="str">
        <x:v>AffiliateDisclosurePage:27</x:v>
      </x:c>
      <x:c r="Q70" s="71" t="str">
        <x:v>EN (default / shared)</x:v>
      </x:c>
      <x:c r="R70" s="71" t="str">
        <x:v>Already clear and direct; suggested wording intentionally keeps the current copy.</x:v>
      </x:c>
      <x:c r="S70" s="75" t="str">
        <x:v>Not applied — review required</x:v>
      </x:c>
    </x:row>
    <x:row r="71">
      <x:c r="A71" s="71" t="str">
        <x:v>MRV-2485AE594D</x:v>
      </x:c>
      <x:c r="B71" s="71" t="str">
        <x:v>Legal</x:v>
      </x:c>
      <x:c r="C71" s="71" t="str">
        <x:v>Affiliate disclosure</x:v>
      </x:c>
      <x:c r="D71" s="71" t="str">
        <x:v>/journey/affiliate-disclosure</x:v>
      </x:c>
      <x:c r="E71" s="71" t="str">
        <x:v>AffiliateDisclosurePage</x:v>
      </x:c>
      <x:c r="F71" s="71" t="str">
        <x:v>Default</x:v>
      </x:c>
      <x:c r="G71" s="71" t="str">
        <x:v>Body copy</x:v>
      </x:c>
      <x:c r="H71" s="71" t="str">
        <x:v>When Morrovia receives a commission, it will not normally increase the price you pay through the partner link. The final price, availability and terms are always set by the relevant provider.</x:v>
      </x:c>
      <x:c r="I71" s="71" t="str">
        <x:v>When Morrovia receives a commission, it will not normally increase the price you pay through the partner link. The final price, availability and terms are always set by the relevant provider.</x:v>
      </x:c>
      <x:c r="J71" s="73"/>
      <x:c r="K71" s="74" t="str">
        <x:f>IF(J71="",H71,IF(J71=I71,I71,J71))</x:f>
        <x:v>When Morrovia receives a commission, it will not normally increase the price you pay through the partner link. The final price, availability and terms are always set by the relevant provider.</x:v>
      </x:c>
      <x:c r="L71" s="74" t="str">
        <x:f>IF(J71="","Keep current",IF(J71=I71,"Use suggestion","Custom"))</x:f>
        <x:v>Keep current</x:v>
      </x:c>
      <x:c r="M71" s="71" t="str">
        <x:v>Pending review</x:v>
      </x:c>
      <x:c r="N71" s="71" t="str">
        <x:v>Normal</x:v>
      </x:c>
      <x:c r="O71" s="71" t="str">
        <x:v>app/journey/affiliate-disclosure/page.tsx</x:v>
      </x:c>
      <x:c r="P71" s="71" t="str">
        <x:v>AffiliateDisclosurePage:28</x:v>
      </x:c>
      <x:c r="Q71" s="71" t="str">
        <x:v>EN (default / shared)</x:v>
      </x:c>
      <x:c r="R71" s="71" t="str">
        <x:v>Already clear and direct; suggested wording intentionally keeps the current copy.</x:v>
      </x:c>
      <x:c r="S71" s="75" t="str">
        <x:v>Not applied — review required</x:v>
      </x:c>
    </x:row>
    <x:row r="72">
      <x:c r="A72" s="71" t="str">
        <x:v>MRV-345DB5222F</x:v>
      </x:c>
      <x:c r="B72" s="71" t="str">
        <x:v>Legal</x:v>
      </x:c>
      <x:c r="C72" s="71" t="str">
        <x:v>Affiliate disclosure</x:v>
      </x:c>
      <x:c r="D72" s="71" t="str">
        <x:v>/journey/affiliate-disclosure</x:v>
      </x:c>
      <x:c r="E72" s="71" t="str">
        <x:v>AffiliateDisclosurePage</x:v>
      </x:c>
      <x:c r="F72" s="71" t="str">
        <x:v>Default</x:v>
      </x:c>
      <x:c r="G72" s="71" t="str">
        <x:v>Body copy</x:v>
      </x:c>
      <x:c r="H72" s="71" t="str">
        <x:v>Recommendations and commercial relationships</x:v>
      </x:c>
      <x:c r="I72" s="71" t="str">
        <x:v>Recommendations and commercial relationships</x:v>
      </x:c>
      <x:c r="J72" s="73"/>
      <x:c r="K72" s="74" t="str">
        <x:f>IF(J72="",H72,IF(J72=I72,I72,J72))</x:f>
        <x:v>Recommendations and commercial relationships</x:v>
      </x:c>
      <x:c r="L72" s="74" t="str">
        <x:f>IF(J72="","Keep current",IF(J72=I72,"Use suggestion","Custom"))</x:f>
        <x:v>Keep current</x:v>
      </x:c>
      <x:c r="M72" s="71" t="str">
        <x:v>Pending review</x:v>
      </x:c>
      <x:c r="N72" s="71" t="str">
        <x:v>Normal</x:v>
      </x:c>
      <x:c r="O72" s="71" t="str">
        <x:v>app/journey/affiliate-disclosure/page.tsx</x:v>
      </x:c>
      <x:c r="P72" s="71" t="str">
        <x:v>AffiliateDisclosurePage:31</x:v>
      </x:c>
      <x:c r="Q72" s="71" t="str">
        <x:v>EN (default / shared)</x:v>
      </x:c>
      <x:c r="R72" s="71" t="str">
        <x:v>Already clear and direct; suggested wording intentionally keeps the current copy.</x:v>
      </x:c>
      <x:c r="S72" s="75" t="str">
        <x:v>Not applied — review required</x:v>
      </x:c>
    </x:row>
    <x:row r="73">
      <x:c r="A73" s="71" t="str">
        <x:v>MRV-FC06E4B532</x:v>
      </x:c>
      <x:c r="B73" s="71" t="str">
        <x:v>Legal</x:v>
      </x:c>
      <x:c r="C73" s="71" t="str">
        <x:v>Affiliate disclosure</x:v>
      </x:c>
      <x:c r="D73" s="71" t="str">
        <x:v>/journey/affiliate-disclosure</x:v>
      </x:c>
      <x:c r="E73" s="71" t="str">
        <x:v>AffiliateDisclosurePage</x:v>
      </x:c>
      <x:c r="F73" s="71" t="str">
        <x:v>Default</x:v>
      </x:c>
      <x:c r="G73" s="71" t="str">
        <x:v>Body copy</x:v>
      </x:c>
      <x:c r="H73" s="71" t="str">
        <x:v>Morrovia may have commercial relationships with some providers. This disclosure is intended to make those relationships clear; it does not make claims about how every recommendation, ranking or presentation is determined.</x:v>
      </x:c>
      <x:c r="I73" s="71" t="str">
        <x:v>Morrovia may have commercial relationships with some providers. This disclosure is intended to make those relationships clear; it does not make claims about how every recommendation, ranking or presentation is determined.</x:v>
      </x:c>
      <x:c r="J73" s="73"/>
      <x:c r="K73" s="74" t="str">
        <x:f>IF(J73="",H73,IF(J73=I73,I73,J73))</x:f>
        <x:v>Morrovia may have commercial relationships with some providers. This disclosure is intended to make those relationships clear; it does not make claims about how every recommendation, ranking or presentation is determined.</x:v>
      </x:c>
      <x:c r="L73" s="74" t="str">
        <x:f>IF(J73="","Keep current",IF(J73=I73,"Use suggestion","Custom"))</x:f>
        <x:v>Keep current</x:v>
      </x:c>
      <x:c r="M73" s="71" t="str">
        <x:v>Pending review</x:v>
      </x:c>
      <x:c r="N73" s="71" t="str">
        <x:v>Normal</x:v>
      </x:c>
      <x:c r="O73" s="71" t="str">
        <x:v>app/journey/affiliate-disclosure/page.tsx</x:v>
      </x:c>
      <x:c r="P73" s="71" t="str">
        <x:v>AffiliateDisclosurePage:32</x:v>
      </x:c>
      <x:c r="Q73" s="71" t="str">
        <x:v>EN (default / shared)</x:v>
      </x:c>
      <x:c r="R73" s="71" t="str">
        <x:v>Already clear and direct; suggested wording intentionally keeps the current copy.</x:v>
      </x:c>
      <x:c r="S73" s="75" t="str">
        <x:v>Not applied — review required</x:v>
      </x:c>
    </x:row>
    <x:row r="74">
      <x:c r="A74" s="71" t="str">
        <x:v>MRV-C3AC139101</x:v>
      </x:c>
      <x:c r="B74" s="71" t="str">
        <x:v>Legal</x:v>
      </x:c>
      <x:c r="C74" s="71" t="str">
        <x:v>Affiliate disclosure</x:v>
      </x:c>
      <x:c r="D74" s="71" t="str">
        <x:v>/journey/affiliate-disclosure</x:v>
      </x:c>
      <x:c r="E74" s="71" t="str">
        <x:v>AffiliateDisclosurePage</x:v>
      </x:c>
      <x:c r="F74" s="71" t="str">
        <x:v>Default</x:v>
      </x:c>
      <x:c r="G74" s="71" t="str">
        <x:v>Label</x:v>
      </x:c>
      <x:c r="H74" s="71" t="str">
        <x:v>Third-party transactions</x:v>
      </x:c>
      <x:c r="I74" s="71" t="str">
        <x:v>Third-party transactions</x:v>
      </x:c>
      <x:c r="J74" s="73"/>
      <x:c r="K74" s="74" t="str">
        <x:f>IF(J74="",H74,IF(J74=I74,I74,J74))</x:f>
        <x:v>Third-party transactions</x:v>
      </x:c>
      <x:c r="L74" s="74" t="str">
        <x:f>IF(J74="","Keep current",IF(J74=I74,"Use suggestion","Custom"))</x:f>
        <x:v>Keep current</x:v>
      </x:c>
      <x:c r="M74" s="71" t="str">
        <x:v>Pending review</x:v>
      </x:c>
      <x:c r="N74" s="71" t="str">
        <x:v>Normal</x:v>
      </x:c>
      <x:c r="O74" s="71" t="str">
        <x:v>app/journey/affiliate-disclosure/page.tsx</x:v>
      </x:c>
      <x:c r="P74" s="71" t="str">
        <x:v>AffiliateDisclosurePage:35</x:v>
      </x:c>
      <x:c r="Q74" s="71" t="str">
        <x:v>EN (default / shared)</x:v>
      </x:c>
      <x:c r="R74" s="71" t="str">
        <x:v>Already clear and direct; suggested wording intentionally keeps the current copy.</x:v>
      </x:c>
      <x:c r="S74" s="75" t="str">
        <x:v>Not applied — review required</x:v>
      </x:c>
    </x:row>
    <x:row r="75">
      <x:c r="A75" s="71" t="str">
        <x:v>MRV-BECCF080C5</x:v>
      </x:c>
      <x:c r="B75" s="71" t="str">
        <x:v>Legal</x:v>
      </x:c>
      <x:c r="C75" s="71" t="str">
        <x:v>Affiliate disclosure</x:v>
      </x:c>
      <x:c r="D75" s="71" t="str">
        <x:v>/journey/affiliate-disclosure</x:v>
      </x:c>
      <x:c r="E75" s="71" t="str">
        <x:v>AffiliateDisclosurePage</x:v>
      </x:c>
      <x:c r="F75" s="71" t="str">
        <x:v>Default</x:v>
      </x:c>
      <x:c r="G75" s="71" t="str">
        <x:v>Body copy</x:v>
      </x:c>
      <x:c r="H75" s="71" t="str">
        <x:v>Bookings and purchases are completed with the relevant third-party provider. Unless we explicitly say otherwise, Morrovia is not the provider of those travel products or services. The provider’s own terms, cancellation and refund policies, and privacy practices may apply.</x:v>
      </x:c>
      <x:c r="I75" s="71" t="str">
        <x:v>Bookings and purchases are completed with the relevant third-party provider. Unless we explicitly say otherwise, Morrovia is not the provider of those travel products or services. The provider’s own terms, cancellation and refund policies, and privacy practices may apply.</x:v>
      </x:c>
      <x:c r="J75" s="73"/>
      <x:c r="K75" s="74" t="str">
        <x:f>IF(J75="",H75,IF(J75=I75,I75,J75))</x:f>
        <x:v>Bookings and purchases are completed with the relevant third-party provider. Unless we explicitly say otherwise, Morrovia is not the provider of those travel products or services. The provider’s own terms, cancellation and refund policies, and privacy practices may apply.</x:v>
      </x:c>
      <x:c r="L75" s="74" t="str">
        <x:f>IF(J75="","Keep current",IF(J75=I75,"Use suggestion","Custom"))</x:f>
        <x:v>Keep current</x:v>
      </x:c>
      <x:c r="M75" s="71" t="str">
        <x:v>Pending review</x:v>
      </x:c>
      <x:c r="N75" s="71" t="str">
        <x:v>High</x:v>
      </x:c>
      <x:c r="O75" s="71" t="str">
        <x:v>app/journey/affiliate-disclosure/page.tsx</x:v>
      </x:c>
      <x:c r="P75" s="71" t="str">
        <x:v>AffiliateDisclosurePage:36</x:v>
      </x:c>
      <x:c r="Q75" s="71" t="str">
        <x:v>EN (default / shared)</x:v>
      </x:c>
      <x:c r="R75" s="71" t="str">
        <x:v>Already clear and direct; suggested wording intentionally keeps the current copy.</x:v>
      </x:c>
      <x:c r="S75" s="75" t="str">
        <x:v>Not applied — review required</x:v>
      </x:c>
    </x:row>
    <x:row r="76">
      <x:c r="A76" s="71" t="str">
        <x:v>MRV-348F9CB0EE</x:v>
      </x:c>
      <x:c r="B76" s="71" t="str">
        <x:v>Legal</x:v>
      </x:c>
      <x:c r="C76" s="71" t="str">
        <x:v>Affiliate disclosure</x:v>
      </x:c>
      <x:c r="D76" s="71" t="str">
        <x:v>/journey/affiliate-disclosure</x:v>
      </x:c>
      <x:c r="E76" s="71" t="str">
        <x:v>AffiliateDisclosurePage</x:v>
      </x:c>
      <x:c r="F76" s="71" t="str">
        <x:v>Default</x:v>
      </x:c>
      <x:c r="G76" s="71" t="str">
        <x:v>Body copy</x:v>
      </x:c>
      <x:c r="H76" s="71" t="str">
        <x:v>Prices and availability can change. Before purchasing, please verify the final price, availability, restrictions and booking details directly with the provider.</x:v>
      </x:c>
      <x:c r="I76" s="71" t="str">
        <x:v>Prices and availability can change. Before purchasing, please verify the final price, availability, restrictions and booking details directly with the provider.</x:v>
      </x:c>
      <x:c r="J76" s="73"/>
      <x:c r="K76" s="74" t="str">
        <x:f>IF(J76="",H76,IF(J76=I76,I76,J76))</x:f>
        <x:v>Prices and availability can change. Before purchasing, please verify the final price, availability, restrictions and booking details directly with the provider.</x:v>
      </x:c>
      <x:c r="L76" s="74" t="str">
        <x:f>IF(J76="","Keep current",IF(J76=I76,"Use suggestion","Custom"))</x:f>
        <x:v>Keep current</x:v>
      </x:c>
      <x:c r="M76" s="71" t="str">
        <x:v>Pending review</x:v>
      </x:c>
      <x:c r="N76" s="71" t="str">
        <x:v>Normal</x:v>
      </x:c>
      <x:c r="O76" s="71" t="str">
        <x:v>app/journey/affiliate-disclosure/page.tsx</x:v>
      </x:c>
      <x:c r="P76" s="71" t="str">
        <x:v>AffiliateDisclosurePage:37</x:v>
      </x:c>
      <x:c r="Q76" s="71" t="str">
        <x:v>EN (default / shared)</x:v>
      </x:c>
      <x:c r="R76" s="71" t="str">
        <x:v>Already clear and direct; suggested wording intentionally keeps the current copy.</x:v>
      </x:c>
      <x:c r="S76" s="75" t="str">
        <x:v>Not applied — review required</x:v>
      </x:c>
    </x:row>
    <x:row r="77">
      <x:c r="A77" s="71" t="str">
        <x:v>MRV-DD095A1D05</x:v>
      </x:c>
      <x:c r="B77" s="71" t="str">
        <x:v>Legal</x:v>
      </x:c>
      <x:c r="C77" s="71" t="str">
        <x:v>Affiliate disclosure</x:v>
      </x:c>
      <x:c r="D77" s="71" t="str">
        <x:v>/journey/affiliate-disclosure</x:v>
      </x:c>
      <x:c r="E77" s="71" t="str">
        <x:v>AffiliateDisclosurePage</x:v>
      </x:c>
      <x:c r="F77" s="71" t="str">
        <x:v>Default</x:v>
      </x:c>
      <x:c r="G77" s="71" t="str">
        <x:v>Body copy</x:v>
      </x:c>
      <x:c r="H77" s="71" t="str">
        <x:v>Disclosure near commercial links</x:v>
      </x:c>
      <x:c r="I77" s="71" t="str">
        <x:v>Disclosure near commercial links</x:v>
      </x:c>
      <x:c r="J77" s="73"/>
      <x:c r="K77" s="74" t="str">
        <x:f>IF(J77="",H77,IF(J77=I77,I77,J77))</x:f>
        <x:v>Disclosure near commercial links</x:v>
      </x:c>
      <x:c r="L77" s="74" t="str">
        <x:f>IF(J77="","Keep current",IF(J77=I77,"Use suggestion","Custom"))</x:f>
        <x:v>Keep current</x:v>
      </x:c>
      <x:c r="M77" s="71" t="str">
        <x:v>Pending review</x:v>
      </x:c>
      <x:c r="N77" s="71" t="str">
        <x:v>Normal</x:v>
      </x:c>
      <x:c r="O77" s="71" t="str">
        <x:v>app/journey/affiliate-disclosure/page.tsx</x:v>
      </x:c>
      <x:c r="P77" s="71" t="str">
        <x:v>AffiliateDisclosurePage:40</x:v>
      </x:c>
      <x:c r="Q77" s="71" t="str">
        <x:v>EN (default / shared)</x:v>
      </x:c>
      <x:c r="R77" s="71" t="str">
        <x:v>Already clear and direct; suggested wording intentionally keeps the current copy.</x:v>
      </x:c>
      <x:c r="S77" s="75" t="str">
        <x:v>Not applied — review required</x:v>
      </x:c>
    </x:row>
    <x:row r="78">
      <x:c r="A78" s="71" t="str">
        <x:v>MRV-0D5908EA6C</x:v>
      </x:c>
      <x:c r="B78" s="71" t="str">
        <x:v>Legal</x:v>
      </x:c>
      <x:c r="C78" s="71" t="str">
        <x:v>Affiliate disclosure</x:v>
      </x:c>
      <x:c r="D78" s="71" t="str">
        <x:v>/journey/affiliate-disclosure</x:v>
      </x:c>
      <x:c r="E78" s="71" t="str">
        <x:v>AffiliateDisclosurePage</x:v>
      </x:c>
      <x:c r="F78" s="71" t="str">
        <x:v>Default</x:v>
      </x:c>
      <x:c r="G78" s="71" t="str">
        <x:v>Body copy</x:v>
      </x:c>
      <x:c r="H78" s="71" t="str">
        <x:v>A dedicated page is not a substitute for clear context. Where a Morrovia link is commercial or affiliate-supported, the product should provide a concise nearby notice, such as: “Morrovia may earn a commission from this link.”</x:v>
      </x:c>
      <x:c r="I78" s="71" t="str">
        <x:v>A dedicated page is not a substitute for clear context. Where a Morrovia link is commercial or affiliate-supported, the product should provide a concise nearby notice, such as: “Morrovia may earn a commission from this link.”</x:v>
      </x:c>
      <x:c r="J78" s="73"/>
      <x:c r="K78" s="74" t="str">
        <x:f>IF(J78="",H78,IF(J78=I78,I78,J78))</x:f>
        <x:v>A dedicated page is not a substitute for clear context. Where a Morrovia link is commercial or affiliate-supported, the product should provide a concise nearby notice, such as: “Morrovia may earn a commission from this link.”</x:v>
      </x:c>
      <x:c r="L78" s="74" t="str">
        <x:f>IF(J78="","Keep current",IF(J78=I78,"Use suggestion","Custom"))</x:f>
        <x:v>Keep current</x:v>
      </x:c>
      <x:c r="M78" s="71" t="str">
        <x:v>Pending review</x:v>
      </x:c>
      <x:c r="N78" s="71" t="str">
        <x:v>Normal</x:v>
      </x:c>
      <x:c r="O78" s="71" t="str">
        <x:v>app/journey/affiliate-disclosure/page.tsx</x:v>
      </x:c>
      <x:c r="P78" s="71" t="str">
        <x:v>AffiliateDisclosurePage:40</x:v>
      </x:c>
      <x:c r="Q78" s="71" t="str">
        <x:v>EN (default / shared)</x:v>
      </x:c>
      <x:c r="R78" s="71" t="str">
        <x:v>Already clear and direct; suggested wording intentionally keeps the current copy.</x:v>
      </x:c>
      <x:c r="S78" s="75" t="str">
        <x:v>Not applied — review required</x:v>
      </x:c>
    </x:row>
    <x:row r="79">
      <x:c r="A79" s="71" t="str">
        <x:v>MRV-CBADADD4DF</x:v>
      </x:c>
      <x:c r="B79" s="71" t="str">
        <x:v>Trips</x:v>
      </x:c>
      <x:c r="C79" s="71" t="str">
        <x:v>Dashboard</x:v>
      </x:c>
      <x:c r="D79" s="71" t="str">
        <x:v>/journey/dashboard/dashboard-client</x:v>
      </x:c>
      <x:c r="E79" s="71" t="str">
        <x:v>formatTripDates</x:v>
      </x:c>
      <x:c r="F79" s="71" t="str">
        <x:v>Default</x:v>
      </x:c>
      <x:c r="G79" s="71" t="str">
        <x:v>Label</x:v>
      </x:c>
      <x:c r="H79" s="71" t="str">
        <x:v>Fechas por confirmar</x:v>
      </x:c>
      <x:c r="I79" s="71" t="str">
        <x:v>Fechas por confirmar</x:v>
      </x:c>
      <x:c r="J79" s="73"/>
      <x:c r="K79" s="74" t="str">
        <x:f>IF(J79="",H79,IF(J79=I79,I79,J79))</x:f>
        <x:v>Fechas por confirmar</x:v>
      </x:c>
      <x:c r="L79" s="74" t="str">
        <x:f>IF(J79="","Keep current",IF(J79=I79,"Use suggestion","Custom"))</x:f>
        <x:v>Keep current</x:v>
      </x:c>
      <x:c r="M79" s="71" t="str">
        <x:v>Pending review</x:v>
      </x:c>
      <x:c r="N79" s="71" t="str">
        <x:v>Normal</x:v>
      </x:c>
      <x:c r="O79" s="71" t="str">
        <x:v>app/journey/dashboard/dashboard-client.tsx</x:v>
      </x:c>
      <x:c r="P79" s="71" t="str">
        <x:v>formatTripDates:75</x:v>
      </x:c>
      <x:c r="Q79" s="71" t="str">
        <x:v>ES</x:v>
      </x:c>
      <x:c r="R79" s="71" t="str">
        <x:v>Already clear and direct; suggested wording intentionally keeps the current copy.</x:v>
      </x:c>
      <x:c r="S79" s="75" t="str">
        <x:v>Not applied — review required</x:v>
      </x:c>
    </x:row>
    <x:row r="80">
      <x:c r="A80" s="71" t="str">
        <x:v>MRV-9B9F5DBA8F</x:v>
      </x:c>
      <x:c r="B80" s="71" t="str">
        <x:v>Trips</x:v>
      </x:c>
      <x:c r="C80" s="71" t="str">
        <x:v>Dashboard</x:v>
      </x:c>
      <x:c r="D80" s="71" t="str">
        <x:v>/journey/dashboard/dashboard-client</x:v>
      </x:c>
      <x:c r="E80" s="71" t="str">
        <x:v>formatTripDates</x:v>
      </x:c>
      <x:c r="F80" s="71" t="str">
        <x:v>Default</x:v>
      </x:c>
      <x:c r="G80" s="71" t="str">
        <x:v>Label</x:v>
      </x:c>
      <x:c r="H80" s="71" t="str">
        <x:v>Dates to confirm</x:v>
      </x:c>
      <x:c r="I80" s="71" t="str">
        <x:v>Dates to confirm</x:v>
      </x:c>
      <x:c r="J80" s="73"/>
      <x:c r="K80" s="74" t="str">
        <x:f>IF(J80="",H80,IF(J80=I80,I80,J80))</x:f>
        <x:v>Dates to confirm</x:v>
      </x:c>
      <x:c r="L80" s="74" t="str">
        <x:f>IF(J80="","Keep current",IF(J80=I80,"Use suggestion","Custom"))</x:f>
        <x:v>Keep current</x:v>
      </x:c>
      <x:c r="M80" s="71" t="str">
        <x:v>Pending review</x:v>
      </x:c>
      <x:c r="N80" s="71" t="str">
        <x:v>Normal</x:v>
      </x:c>
      <x:c r="O80" s="71" t="str">
        <x:v>app/journey/dashboard/dashboard-client.tsx</x:v>
      </x:c>
      <x:c r="P80" s="71" t="str">
        <x:v>formatTripDates:75</x:v>
      </x:c>
      <x:c r="Q80" s="71" t="str">
        <x:v>EN</x:v>
      </x:c>
      <x:c r="R80" s="71" t="str">
        <x:v>Already clear and direct; suggested wording intentionally keeps the current copy. Duplicate wording: appears 5 times.</x:v>
      </x:c>
      <x:c r="S80" s="75" t="str">
        <x:v>Not applied — review required</x:v>
      </x:c>
    </x:row>
    <x:row r="81">
      <x:c r="A81" s="71" t="str">
        <x:v>MRV-EF464DBD9A</x:v>
      </x:c>
      <x:c r="B81" s="71" t="str">
        <x:v>Trips</x:v>
      </x:c>
      <x:c r="C81" s="71" t="str">
        <x:v>Dashboard</x:v>
      </x:c>
      <x:c r="D81" s="71" t="str">
        <x:v>/journey/dashboard/dashboard-client</x:v>
      </x:c>
      <x:c r="E81" s="71" t="str">
        <x:v>locale</x:v>
      </x:c>
      <x:c r="F81" s="71" t="str">
        <x:v>Default</x:v>
      </x:c>
      <x:c r="G81" s="71" t="str">
        <x:v>Label</x:v>
      </x:c>
      <x:c r="H81" s="71" t="str">
        <x:v>en-GB</x:v>
      </x:c>
      <x:c r="I81" s="71" t="str">
        <x:v>en-GB</x:v>
      </x:c>
      <x:c r="J81" s="73"/>
      <x:c r="K81" s="74" t="str">
        <x:f>IF(J81="",H81,IF(J81=I81,I81,J81))</x:f>
        <x:v>en-GB</x:v>
      </x:c>
      <x:c r="L81" s="74" t="str">
        <x:f>IF(J81="","Keep current",IF(J81=I81,"Use suggestion","Custom"))</x:f>
        <x:v>Keep current</x:v>
      </x:c>
      <x:c r="M81" s="71" t="str">
        <x:v>Pending review</x:v>
      </x:c>
      <x:c r="N81" s="71" t="str">
        <x:v>Normal</x:v>
      </x:c>
      <x:c r="O81" s="71" t="str">
        <x:v>app/journey/dashboard/dashboard-client.tsx</x:v>
      </x:c>
      <x:c r="P81" s="71" t="str">
        <x:v>locale:76</x:v>
      </x:c>
      <x:c r="Q81" s="71" t="str">
        <x:v>EN</x:v>
      </x:c>
      <x:c r="R81" s="71" t="str">
        <x:v>Already clear and direct; suggested wording intentionally keeps the current copy. Duplicate wording: appears 2 times.</x:v>
      </x:c>
      <x:c r="S81" s="75" t="str">
        <x:v>Not applied — review required</x:v>
      </x:c>
    </x:row>
    <x:row r="82">
      <x:c r="A82" s="71" t="str">
        <x:v>MRV-05DD3164F3</x:v>
      </x:c>
      <x:c r="B82" s="71" t="str">
        <x:v>Trips</x:v>
      </x:c>
      <x:c r="C82" s="71" t="str">
        <x:v>Dashboard</x:v>
      </x:c>
      <x:c r="D82" s="71" t="str">
        <x:v>/journey/dashboard/dashboard-client</x:v>
      </x:c>
      <x:c r="E82" s="71" t="str">
        <x:v>formatTripDates</x:v>
      </x:c>
      <x:c r="F82" s="71" t="str">
        <x:v>Default</x:v>
      </x:c>
      <x:c r="G82" s="71" t="str">
        <x:v>Label</x:v>
      </x:c>
      <x:c r="H82" s="71" t="str">
        <x:v>{startText} – {endText}</x:v>
      </x:c>
      <x:c r="I82" s="71" t="str">
        <x:v>{startText} – {endText}</x:v>
      </x:c>
      <x:c r="J82" s="73"/>
      <x:c r="K82" s="74" t="str">
        <x:f>IF(J82="",H82,IF(J82=I82,I82,J82))</x:f>
        <x:v>{startText} – {endText}</x:v>
      </x:c>
      <x:c r="L82" s="74" t="str">
        <x:f>IF(J82="","Keep current",IF(J82=I82,"Use suggestion","Custom"))</x:f>
        <x:v>Keep current</x:v>
      </x:c>
      <x:c r="M82" s="71" t="str">
        <x:v>Pending review</x:v>
      </x:c>
      <x:c r="N82" s="71" t="str">
        <x:v>Normal</x:v>
      </x:c>
      <x:c r="O82" s="71" t="str">
        <x:v>app/journey/dashboard/dashboard-client.tsx</x:v>
      </x:c>
      <x:c r="P82" s="71" t="str">
        <x:v>formatTripDates:79</x:v>
      </x:c>
      <x:c r="Q82" s="71" t="str">
        <x:v>EN (default / shared)</x:v>
      </x:c>
      <x:c r="R82" s="71" t="str">
        <x:v>Already clear and direct; suggested wording intentionally keeps the current copy. Dynamic traveller or trip value is represented as a token; user-generated values are excluded.</x:v>
      </x:c>
      <x:c r="S82" s="75" t="str">
        <x:v>Not applied — review required</x:v>
      </x:c>
    </x:row>
    <x:row r="83">
      <x:c r="A83" s="71" t="str">
        <x:v>MRV-6BA015AC1E</x:v>
      </x:c>
      <x:c r="B83" s="71" t="str">
        <x:v>Trips</x:v>
      </x:c>
      <x:c r="C83" s="71" t="str">
        <x:v>Dashboard</x:v>
      </x:c>
      <x:c r="D83" s="71" t="str">
        <x:v>/journey/dashboard/dashboard-client</x:v>
      </x:c>
      <x:c r="E83" s="71" t="str">
        <x:v>statusLabel</x:v>
      </x:c>
      <x:c r="F83" s="71" t="str">
        <x:v>Default</x:v>
      </x:c>
      <x:c r="G83" s="71" t="str">
        <x:v>Label</x:v>
      </x:c>
      <x:c r="H83" s="71" t="str">
        <x:v>Activo</x:v>
      </x:c>
      <x:c r="I83" s="71" t="str">
        <x:v>Activo</x:v>
      </x:c>
      <x:c r="J83" s="73"/>
      <x:c r="K83" s="74" t="str">
        <x:f>IF(J83="",H83,IF(J83=I83,I83,J83))</x:f>
        <x:v>Activo</x:v>
      </x:c>
      <x:c r="L83" s="74" t="str">
        <x:f>IF(J83="","Keep current",IF(J83=I83,"Use suggestion","Custom"))</x:f>
        <x:v>Keep current</x:v>
      </x:c>
      <x:c r="M83" s="71" t="str">
        <x:v>Pending review</x:v>
      </x:c>
      <x:c r="N83" s="71" t="str">
        <x:v>Normal</x:v>
      </x:c>
      <x:c r="O83" s="71" t="str">
        <x:v>app/journey/dashboard/dashboard-client.tsx</x:v>
      </x:c>
      <x:c r="P83" s="71" t="str">
        <x:v>statusLabel:87</x:v>
      </x:c>
      <x:c r="Q83" s="71" t="str">
        <x:v>EN (default / shared)</x:v>
      </x:c>
      <x:c r="R83" s="71" t="str">
        <x:v>Already clear and direct; suggested wording intentionally keeps the current copy.</x:v>
      </x:c>
      <x:c r="S83" s="75" t="str">
        <x:v>Not applied — review required</x:v>
      </x:c>
    </x:row>
    <x:row r="84">
      <x:c r="A84" s="71" t="str">
        <x:v>MRV-B66EFDEE58</x:v>
      </x:c>
      <x:c r="B84" s="71" t="str">
        <x:v>Trips</x:v>
      </x:c>
      <x:c r="C84" s="71" t="str">
        <x:v>Dashboard</x:v>
      </x:c>
      <x:c r="D84" s="71" t="str">
        <x:v>/journey/dashboard/dashboard-client</x:v>
      </x:c>
      <x:c r="E84" s="71" t="str">
        <x:v>statusLabel</x:v>
      </x:c>
      <x:c r="F84" s="71" t="str">
        <x:v>Default</x:v>
      </x:c>
      <x:c r="G84" s="71" t="str">
        <x:v>CTA / button</x:v>
      </x:c>
      <x:c r="H84" s="71" t="str">
        <x:v>Planificado</x:v>
      </x:c>
      <x:c r="I84" s="71" t="str">
        <x:v>Planificado</x:v>
      </x:c>
      <x:c r="J84" s="73"/>
      <x:c r="K84" s="74" t="str">
        <x:f>IF(J84="",H84,IF(J84=I84,I84,J84))</x:f>
        <x:v>Planificado</x:v>
      </x:c>
      <x:c r="L84" s="74" t="str">
        <x:f>IF(J84="","Keep current",IF(J84=I84,"Use suggestion","Custom"))</x:f>
        <x:v>Keep current</x:v>
      </x:c>
      <x:c r="M84" s="71" t="str">
        <x:v>Pending review</x:v>
      </x:c>
      <x:c r="N84" s="71" t="str">
        <x:v>Medium</x:v>
      </x:c>
      <x:c r="O84" s="71" t="str">
        <x:v>app/journey/dashboard/dashboard-client.tsx</x:v>
      </x:c>
      <x:c r="P84" s="71" t="str">
        <x:v>statusLabel:87</x:v>
      </x:c>
      <x:c r="Q84" s="71" t="str">
        <x:v>EN (default / shared)</x:v>
      </x:c>
      <x:c r="R84" s="71" t="str">
        <x:v>Already clear and direct; suggested wording intentionally keeps the current copy.</x:v>
      </x:c>
      <x:c r="S84" s="75" t="str">
        <x:v>Not applied — review required</x:v>
      </x:c>
    </x:row>
    <x:row r="85">
      <x:c r="A85" s="71" t="str">
        <x:v>MRV-3CC11B0B69</x:v>
      </x:c>
      <x:c r="B85" s="71" t="str">
        <x:v>Trips</x:v>
      </x:c>
      <x:c r="C85" s="71" t="str">
        <x:v>Dashboard</x:v>
      </x:c>
      <x:c r="D85" s="71" t="str">
        <x:v>/journey/dashboard/dashboard-client</x:v>
      </x:c>
      <x:c r="E85" s="71" t="str">
        <x:v>statusLabel</x:v>
      </x:c>
      <x:c r="F85" s="71" t="str">
        <x:v>Default</x:v>
      </x:c>
      <x:c r="G85" s="71" t="str">
        <x:v>Label</x:v>
      </x:c>
      <x:c r="H85" s="71" t="str">
        <x:v>Archivado</x:v>
      </x:c>
      <x:c r="I85" s="71" t="str">
        <x:v>Archivado</x:v>
      </x:c>
      <x:c r="J85" s="73"/>
      <x:c r="K85" s="74" t="str">
        <x:f>IF(J85="",H85,IF(J85=I85,I85,J85))</x:f>
        <x:v>Archivado</x:v>
      </x:c>
      <x:c r="L85" s="74" t="str">
        <x:f>IF(J85="","Keep current",IF(J85=I85,"Use suggestion","Custom"))</x:f>
        <x:v>Keep current</x:v>
      </x:c>
      <x:c r="M85" s="71" t="str">
        <x:v>Pending review</x:v>
      </x:c>
      <x:c r="N85" s="71" t="str">
        <x:v>Normal</x:v>
      </x:c>
      <x:c r="O85" s="71" t="str">
        <x:v>app/journey/dashboard/dashboard-client.tsx</x:v>
      </x:c>
      <x:c r="P85" s="71" t="str">
        <x:v>statusLabel:87</x:v>
      </x:c>
      <x:c r="Q85" s="71" t="str">
        <x:v>EN (default / shared)</x:v>
      </x:c>
      <x:c r="R85" s="71" t="str">
        <x:v>Already clear and direct; suggested wording intentionally keeps the current copy.</x:v>
      </x:c>
      <x:c r="S85" s="75" t="str">
        <x:v>Not applied — review required</x:v>
      </x:c>
    </x:row>
    <x:row r="86">
      <x:c r="A86" s="71" t="str">
        <x:v>MRV-C3D81058BC</x:v>
      </x:c>
      <x:c r="B86" s="71" t="str">
        <x:v>Trips</x:v>
      </x:c>
      <x:c r="C86" s="71" t="str">
        <x:v>Dashboard</x:v>
      </x:c>
      <x:c r="D86" s="71" t="str">
        <x:v>/journey/dashboard/dashboard-client</x:v>
      </x:c>
      <x:c r="E86" s="71" t="str">
        <x:v>statusLabel</x:v>
      </x:c>
      <x:c r="F86" s="71" t="str">
        <x:v>Default</x:v>
      </x:c>
      <x:c r="G86" s="71" t="str">
        <x:v>Label</x:v>
      </x:c>
      <x:c r="H86" s="71" t="str">
        <x:v>Active</x:v>
      </x:c>
      <x:c r="I86" s="71" t="str">
        <x:v>Active</x:v>
      </x:c>
      <x:c r="J86" s="73"/>
      <x:c r="K86" s="74" t="str">
        <x:f>IF(J86="",H86,IF(J86=I86,I86,J86))</x:f>
        <x:v>Active</x:v>
      </x:c>
      <x:c r="L86" s="74" t="str">
        <x:f>IF(J86="","Keep current",IF(J86=I86,"Use suggestion","Custom"))</x:f>
        <x:v>Keep current</x:v>
      </x:c>
      <x:c r="M86" s="71" t="str">
        <x:v>Pending review</x:v>
      </x:c>
      <x:c r="N86" s="71" t="str">
        <x:v>Normal</x:v>
      </x:c>
      <x:c r="O86" s="71" t="str">
        <x:v>app/journey/dashboard/dashboard-client.tsx</x:v>
      </x:c>
      <x:c r="P86" s="71" t="str">
        <x:v>statusLabel:88</x:v>
      </x:c>
      <x:c r="Q86" s="71" t="str">
        <x:v>EN (default / shared)</x:v>
      </x:c>
      <x:c r="R86" s="71" t="str">
        <x:v>Already clear and direct; suggested wording intentionally keeps the current copy.</x:v>
      </x:c>
      <x:c r="S86" s="75" t="str">
        <x:v>Not applied — review required</x:v>
      </x:c>
    </x:row>
    <x:row r="87">
      <x:c r="A87" s="71" t="str">
        <x:v>MRV-89B5F43394</x:v>
      </x:c>
      <x:c r="B87" s="71" t="str">
        <x:v>Trips</x:v>
      </x:c>
      <x:c r="C87" s="71" t="str">
        <x:v>Dashboard</x:v>
      </x:c>
      <x:c r="D87" s="71" t="str">
        <x:v>/journey/dashboard/dashboard-client</x:v>
      </x:c>
      <x:c r="E87" s="71" t="str">
        <x:v>statusLabel</x:v>
      </x:c>
      <x:c r="F87" s="71" t="str">
        <x:v>Default</x:v>
      </x:c>
      <x:c r="G87" s="71" t="str">
        <x:v>CTA / button</x:v>
      </x:c>
      <x:c r="H87" s="71" t="str">
        <x:v>Planned</x:v>
      </x:c>
      <x:c r="I87" s="71" t="str">
        <x:v>Planned</x:v>
      </x:c>
      <x:c r="J87" s="73"/>
      <x:c r="K87" s="74" t="str">
        <x:f>IF(J87="",H87,IF(J87=I87,I87,J87))</x:f>
        <x:v>Planned</x:v>
      </x:c>
      <x:c r="L87" s="74" t="str">
        <x:f>IF(J87="","Keep current",IF(J87=I87,"Use suggestion","Custom"))</x:f>
        <x:v>Keep current</x:v>
      </x:c>
      <x:c r="M87" s="71" t="str">
        <x:v>Pending review</x:v>
      </x:c>
      <x:c r="N87" s="71" t="str">
        <x:v>Medium</x:v>
      </x:c>
      <x:c r="O87" s="71" t="str">
        <x:v>app/journey/dashboard/dashboard-client.tsx</x:v>
      </x:c>
      <x:c r="P87" s="71" t="str">
        <x:v>statusLabel:88</x:v>
      </x:c>
      <x:c r="Q87" s="71" t="str">
        <x:v>EN (default / shared)</x:v>
      </x:c>
      <x:c r="R87" s="71" t="str">
        <x:v>Already clear and direct; suggested wording intentionally keeps the current copy. Duplicate wording: appears 2 times.</x:v>
      </x:c>
      <x:c r="S87" s="75" t="str">
        <x:v>Not applied — review required</x:v>
      </x:c>
    </x:row>
    <x:row r="88">
      <x:c r="A88" s="71" t="str">
        <x:v>MRV-6D78B63E0C</x:v>
      </x:c>
      <x:c r="B88" s="71" t="str">
        <x:v>Trips</x:v>
      </x:c>
      <x:c r="C88" s="71" t="str">
        <x:v>Dashboard</x:v>
      </x:c>
      <x:c r="D88" s="71" t="str">
        <x:v>/journey/dashboard/dashboard-client</x:v>
      </x:c>
      <x:c r="E88" s="71" t="str">
        <x:v>statusLabel</x:v>
      </x:c>
      <x:c r="F88" s="71" t="str">
        <x:v>Default</x:v>
      </x:c>
      <x:c r="G88" s="71" t="str">
        <x:v>CTA / button</x:v>
      </x:c>
      <x:c r="H88" s="71" t="str">
        <x:v>Archived</x:v>
      </x:c>
      <x:c r="I88" s="71" t="str">
        <x:v>Archived</x:v>
      </x:c>
      <x:c r="J88" s="73"/>
      <x:c r="K88" s="74" t="str">
        <x:f>IF(J88="",H88,IF(J88=I88,I88,J88))</x:f>
        <x:v>Archived</x:v>
      </x:c>
      <x:c r="L88" s="74" t="str">
        <x:f>IF(J88="","Keep current",IF(J88=I88,"Use suggestion","Custom"))</x:f>
        <x:v>Keep current</x:v>
      </x:c>
      <x:c r="M88" s="71" t="str">
        <x:v>Pending review</x:v>
      </x:c>
      <x:c r="N88" s="71" t="str">
        <x:v>Medium</x:v>
      </x:c>
      <x:c r="O88" s="71" t="str">
        <x:v>app/journey/dashboard/dashboard-client.tsx</x:v>
      </x:c>
      <x:c r="P88" s="71" t="str">
        <x:v>statusLabel:88</x:v>
      </x:c>
      <x:c r="Q88" s="71" t="str">
        <x:v>EN (default / shared)</x:v>
      </x:c>
      <x:c r="R88" s="71" t="str">
        <x:v>Already clear and direct; suggested wording intentionally keeps the current copy. Duplicate wording: appears 2 times.</x:v>
      </x:c>
      <x:c r="S88" s="75" t="str">
        <x:v>Not applied — review required</x:v>
      </x:c>
    </x:row>
    <x:row r="89">
      <x:c r="A89" s="71" t="str">
        <x:v>MRV-600E643D74</x:v>
      </x:c>
      <x:c r="B89" s="71" t="str">
        <x:v>Trips</x:v>
      </x:c>
      <x:c r="C89" s="71" t="str">
        <x:v>Dashboard</x:v>
      </x:c>
      <x:c r="D89" s="71" t="str">
        <x:v>/journey/dashboard/dashboard-client</x:v>
      </x:c>
      <x:c r="E89" s="71" t="str">
        <x:v>result</x:v>
      </x:c>
      <x:c r="F89" s="71" t="str">
        <x:v>Default</x:v>
      </x:c>
      <x:c r="G89" s="71" t="str">
        <x:v>Body copy</x:v>
      </x:c>
      <x:c r="H89" s="71" t="str">
        <x:v>{tripDisplayTitle(trip)} {routeLabel(trip, "")}</x:v>
      </x:c>
      <x:c r="I89" s="71" t="str">
        <x:v>{tripDisplayTitle(trip)} {routeLabel(trip, "")}</x:v>
      </x:c>
      <x:c r="J89" s="73"/>
      <x:c r="K89" s="74" t="str">
        <x:f>IF(J89="",H89,IF(J89=I89,I89,J89))</x:f>
        <x:v>{tripDisplayTitle(trip)} {routeLabel(trip, "")}</x:v>
      </x:c>
      <x:c r="L89" s="74" t="str">
        <x:f>IF(J89="","Keep current",IF(J89=I89,"Use suggestion","Custom"))</x:f>
        <x:v>Keep current</x:v>
      </x:c>
      <x:c r="M89" s="71" t="str">
        <x:v>Pending review</x:v>
      </x:c>
      <x:c r="N89" s="71" t="str">
        <x:v>Normal</x:v>
      </x:c>
      <x:c r="O89" s="71" t="str">
        <x:v>app/journey/dashboard/dashboard-client.tsx</x:v>
      </x:c>
      <x:c r="P89" s="71" t="str">
        <x:v>result:257</x:v>
      </x:c>
      <x:c r="Q89" s="71" t="str">
        <x:v>EN (default / shared)</x:v>
      </x:c>
      <x:c r="R8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89" s="75" t="str">
        <x:v>Not applied — review required</x:v>
      </x:c>
    </x:row>
    <x:row r="90">
      <x:c r="A90" s="71" t="str">
        <x:v>MRV-1369DF7788</x:v>
      </x:c>
      <x:c r="B90" s="71" t="str">
        <x:v>Trips</x:v>
      </x:c>
      <x:c r="C90" s="71" t="str">
        <x:v>Dashboard</x:v>
      </x:c>
      <x:c r="D90" s="71" t="str">
        <x:v>/journey/dashboard/dashboard-client</x:v>
      </x:c>
      <x:c r="E90" s="71" t="str">
        <x:v>runAction</x:v>
      </x:c>
      <x:c r="F90" s="71" t="str">
        <x:v>Offline / network failure</x:v>
      </x:c>
      <x:c r="G90" s="71" t="str">
        <x:v>Body copy</x:v>
      </x:c>
      <x:c r="H90" s="71" t="str">
        <x:v>This trip could not be updated. Check your connection and try again.</x:v>
      </x:c>
      <x:c r="I90" s="71" t="str">
        <x:v>This trip could not be updated. Check your connection and try again.</x:v>
      </x:c>
      <x:c r="J90" s="73"/>
      <x:c r="K90" s="74" t="str">
        <x:f>IF(J90="",H90,IF(J90=I90,I90,J90))</x:f>
        <x:v>This trip could not be updated. Check your connection and try again.</x:v>
      </x:c>
      <x:c r="L90" s="74" t="str">
        <x:f>IF(J90="","Keep current",IF(J90=I90,"Use suggestion","Custom"))</x:f>
        <x:v>Keep current</x:v>
      </x:c>
      <x:c r="M90" s="71" t="str">
        <x:v>Pending review</x:v>
      </x:c>
      <x:c r="N90" s="71" t="str">
        <x:v>High</x:v>
      </x:c>
      <x:c r="O90" s="71" t="str">
        <x:v>app/journey/dashboard/dashboard-client.tsx</x:v>
      </x:c>
      <x:c r="P90" s="71" t="str">
        <x:v>runAction:277</x:v>
      </x:c>
      <x:c r="Q90" s="71" t="str">
        <x:v>EN (default / shared)</x:v>
      </x:c>
      <x:c r="R90" s="71" t="str">
        <x:v>Already clear and direct; suggested wording intentionally keeps the current copy. Duplicate wording: appears 2 times. Terminology watch: ‘trip’ and ‘journey’ both describe the same plan. Terminology watch: ‘stops’, ‘destinations’ and ‘places’ overlap.</x:v>
      </x:c>
      <x:c r="S90" s="75" t="str">
        <x:v>Not applied — review required</x:v>
      </x:c>
    </x:row>
    <x:row r="91">
      <x:c r="A91" s="71" t="str">
        <x:v>MRV-C3D47CB44A</x:v>
      </x:c>
      <x:c r="B91" s="71" t="str">
        <x:v>Trips</x:v>
      </x:c>
      <x:c r="C91" s="71" t="str">
        <x:v>Dashboard</x:v>
      </x:c>
      <x:c r="D91" s="71" t="str">
        <x:v>/journey/dashboard/dashboard-client</x:v>
      </x:c>
      <x:c r="E91" s="71" t="str">
        <x:v>runAction</x:v>
      </x:c>
      <x:c r="F91" s="71" t="str">
        <x:v>Session expired</x:v>
      </x:c>
      <x:c r="G91" s="71" t="str">
        <x:v>Body copy</x:v>
      </x:c>
      <x:c r="H91" s="71" t="str">
        <x:v>Your session ended. Sign in again before changing this trip.</x:v>
      </x:c>
      <x:c r="I91" s="71" t="str">
        <x:v>Your session ended. Sign in again before changing this trip.</x:v>
      </x:c>
      <x:c r="J91" s="73"/>
      <x:c r="K91" s="74" t="str">
        <x:f>IF(J91="",H91,IF(J91=I91,I91,J91))</x:f>
        <x:v>Your session ended. Sign in again before changing this trip.</x:v>
      </x:c>
      <x:c r="L91" s="74" t="str">
        <x:f>IF(J91="","Keep current",IF(J91=I91,"Use suggestion","Custom"))</x:f>
        <x:v>Keep current</x:v>
      </x:c>
      <x:c r="M91" s="71" t="str">
        <x:v>Pending review</x:v>
      </x:c>
      <x:c r="N91" s="71" t="str">
        <x:v>High</x:v>
      </x:c>
      <x:c r="O91" s="71" t="str">
        <x:v>app/journey/dashboard/dashboard-client.tsx</x:v>
      </x:c>
      <x:c r="P91" s="71" t="str">
        <x:v>runAction:290</x:v>
      </x:c>
      <x:c r="Q91" s="71" t="str">
        <x:v>EN (default / shared)</x:v>
      </x:c>
      <x:c r="R91" s="71" t="str">
        <x:v>Already clear and direct; suggested wording intentionally keeps the current copy. Terminology watch: ‘trip’ and ‘journey’ both describe the same plan. Terminology watch: ‘stops’, ‘destinations’ and ‘places’ overlap.</x:v>
      </x:c>
      <x:c r="S91" s="75" t="str">
        <x:v>Not applied — review required</x:v>
      </x:c>
    </x:row>
    <x:row r="92">
      <x:c r="A92" s="71" t="str">
        <x:v>MRV-C6F068C1D2</x:v>
      </x:c>
      <x:c r="B92" s="71" t="str">
        <x:v>Trips</x:v>
      </x:c>
      <x:c r="C92" s="71" t="str">
        <x:v>Dashboard</x:v>
      </x:c>
      <x:c r="D92" s="71" t="str">
        <x:v>/journey/dashboard/dashboard-client</x:v>
      </x:c>
      <x:c r="E92" s="71" t="str">
        <x:v>runAction</x:v>
      </x:c>
      <x:c r="F92" s="71" t="str">
        <x:v>Session expired</x:v>
      </x:c>
      <x:c r="G92" s="71" t="str">
        <x:v>Body copy</x:v>
      </x:c>
      <x:c r="H92" s="71" t="str">
        <x:v>This trip could not be updated. Please try again.</x:v>
      </x:c>
      <x:c r="I92" s="71" t="str">
        <x:v>This trip could not be updated. Try again.</x:v>
      </x:c>
      <x:c r="J92" s="73"/>
      <x:c r="K92" s="74" t="str">
        <x:f>IF(J92="",H92,IF(J92=I92,I92,J92))</x:f>
        <x:v>This trip could not be updated. Please try again.</x:v>
      </x:c>
      <x:c r="L92" s="74" t="str">
        <x:f>IF(J92="","Keep current",IF(J92=I92,"Use suggestion","Custom"))</x:f>
        <x:v>Keep current</x:v>
      </x:c>
      <x:c r="M92" s="71" t="str">
        <x:v>Pending review</x:v>
      </x:c>
      <x:c r="N92" s="71" t="str">
        <x:v>High</x:v>
      </x:c>
      <x:c r="O92" s="71" t="str">
        <x:v>app/journey/dashboard/dashboard-client.tsx</x:v>
      </x:c>
      <x:c r="P92" s="71" t="str">
        <x:v>runAction:290</x:v>
      </x:c>
      <x:c r="Q92" s="71" t="str">
        <x:v>EN (default / shared)</x:v>
      </x:c>
      <x:c r="R92" s="71" t="str">
        <x:v>Simplified for a warmer, more direct action or recovery message. Terminology watch: ‘trip’ and ‘journey’ both describe the same plan. Terminology watch: ‘stops’, ‘destinations’ and ‘places’ overlap.</x:v>
      </x:c>
      <x:c r="S92" s="75" t="str">
        <x:v>Not applied — review required</x:v>
      </x:c>
    </x:row>
    <x:row r="93">
      <x:c r="A93" s="71" t="str">
        <x:v>MRV-E3A31FDAC7</x:v>
      </x:c>
      <x:c r="B93" s="71" t="str">
        <x:v>Trips</x:v>
      </x:c>
      <x:c r="C93" s="71" t="str">
        <x:v>Dashboard</x:v>
      </x:c>
      <x:c r="D93" s="71" t="str">
        <x:v>/journey/dashboard/dashboard-client</x:v>
      </x:c>
      <x:c r="E93" s="71" t="str">
        <x:v>runAction</x:v>
      </x:c>
      <x:c r="F93" s="71" t="str">
        <x:v>Offline / network failure</x:v>
      </x:c>
      <x:c r="G93" s="71" t="str">
        <x:v>Body copy</x:v>
      </x:c>
      <x:c r="H93" s="71" t="str">
        <x:v>This trip could not be updated. Check your connection and try again.</x:v>
      </x:c>
      <x:c r="I93" s="71" t="str">
        <x:v>This trip could not be updated. Check your connection and try again.</x:v>
      </x:c>
      <x:c r="J93" s="73"/>
      <x:c r="K93" s="74" t="str">
        <x:f>IF(J93="",H93,IF(J93=I93,I93,J93))</x:f>
        <x:v>This trip could not be updated. Check your connection and try again.</x:v>
      </x:c>
      <x:c r="L93" s="74" t="str">
        <x:f>IF(J93="","Keep current",IF(J93=I93,"Use suggestion","Custom"))</x:f>
        <x:v>Keep current</x:v>
      </x:c>
      <x:c r="M93" s="71" t="str">
        <x:v>Pending review</x:v>
      </x:c>
      <x:c r="N93" s="71" t="str">
        <x:v>High</x:v>
      </x:c>
      <x:c r="O93" s="71" t="str">
        <x:v>app/journey/dashboard/dashboard-client.tsx</x:v>
      </x:c>
      <x:c r="P93" s="71" t="str">
        <x:v>runAction:294</x:v>
      </x:c>
      <x:c r="Q93" s="71" t="str">
        <x:v>EN (default / shared)</x:v>
      </x:c>
      <x:c r="R93" s="71" t="str">
        <x:v>Already clear and direct; suggested wording intentionally keeps the current copy. Duplicate wording: appears 2 times. Terminology watch: ‘trip’ and ‘journey’ both describe the same plan. Terminology watch: ‘stops’, ‘destinations’ and ‘places’ overlap.</x:v>
      </x:c>
      <x:c r="S93" s="75" t="str">
        <x:v>Not applied — review required</x:v>
      </x:c>
    </x:row>
    <x:row r="94">
      <x:c r="A94" s="71" t="str">
        <x:v>MRV-ABAC2E6699</x:v>
      </x:c>
      <x:c r="B94" s="71" t="str">
        <x:v>Trips</x:v>
      </x:c>
      <x:c r="C94" s="71" t="str">
        <x:v>Dashboard</x:v>
      </x:c>
      <x:c r="D94" s="71" t="str">
        <x:v>/journey/dashboard/dashboard-client</x:v>
      </x:c>
      <x:c r="E94" s="71" t="str">
        <x:v>remove</x:v>
      </x:c>
      <x:c r="F94" s="71" t="str">
        <x:v>Default</x:v>
      </x:c>
      <x:c r="G94" s="71" t="str">
        <x:v>Prompt / question</x:v>
      </x:c>
      <x:c r="H94" s="71" t="str">
        <x:v>¿Eliminar este viaje guardado?</x:v>
      </x:c>
      <x:c r="I94" s="71" t="str">
        <x:v>¿Eliminar este viaje guardado?</x:v>
      </x:c>
      <x:c r="J94" s="73"/>
      <x:c r="K94" s="74" t="str">
        <x:f>IF(J94="",H94,IF(J94=I94,I94,J94))</x:f>
        <x:v>¿Eliminar este viaje guardado?</x:v>
      </x:c>
      <x:c r="L94" s="74" t="str">
        <x:f>IF(J94="","Keep current",IF(J94=I94,"Use suggestion","Custom"))</x:f>
        <x:v>Keep current</x:v>
      </x:c>
      <x:c r="M94" s="71" t="str">
        <x:v>Pending review</x:v>
      </x:c>
      <x:c r="N94" s="71" t="str">
        <x:v>Normal</x:v>
      </x:c>
      <x:c r="O94" s="71" t="str">
        <x:v>app/journey/dashboard/dashboard-client.tsx</x:v>
      </x:c>
      <x:c r="P94" s="71" t="str">
        <x:v>remove:302</x:v>
      </x:c>
      <x:c r="Q94" s="71" t="str">
        <x:v>ES</x:v>
      </x:c>
      <x:c r="R94" s="71" t="str">
        <x:v>Already clear and direct; suggested wording intentionally keeps the current copy.</x:v>
      </x:c>
      <x:c r="S94" s="75" t="str">
        <x:v>Not applied — review required</x:v>
      </x:c>
    </x:row>
    <x:row r="95">
      <x:c r="A95" s="71" t="str">
        <x:v>MRV-85EEE656D3</x:v>
      </x:c>
      <x:c r="B95" s="71" t="str">
        <x:v>Trips</x:v>
      </x:c>
      <x:c r="C95" s="71" t="str">
        <x:v>Dashboard</x:v>
      </x:c>
      <x:c r="D95" s="71" t="str">
        <x:v>/journey/dashboard/dashboard-client</x:v>
      </x:c>
      <x:c r="E95" s="71" t="str">
        <x:v>remove</x:v>
      </x:c>
      <x:c r="F95" s="71" t="str">
        <x:v>Default</x:v>
      </x:c>
      <x:c r="G95" s="71" t="str">
        <x:v>CTA / button</x:v>
      </x:c>
      <x:c r="H95" s="71" t="str">
        <x:v>Remove this saved trip?</x:v>
      </x:c>
      <x:c r="I95" s="71" t="str">
        <x:v>Remove this saved trip?</x:v>
      </x:c>
      <x:c r="J95" s="73"/>
      <x:c r="K95" s="74" t="str">
        <x:f>IF(J95="",H95,IF(J95=I95,I95,J95))</x:f>
        <x:v>Remove this saved trip?</x:v>
      </x:c>
      <x:c r="L95" s="74" t="str">
        <x:f>IF(J95="","Keep current",IF(J95=I95,"Use suggestion","Custom"))</x:f>
        <x:v>Keep current</x:v>
      </x:c>
      <x:c r="M95" s="71" t="str">
        <x:v>Pending review</x:v>
      </x:c>
      <x:c r="N95" s="71" t="str">
        <x:v>Medium</x:v>
      </x:c>
      <x:c r="O95" s="71" t="str">
        <x:v>app/journey/dashboard/dashboard-client.tsx</x:v>
      </x:c>
      <x:c r="P95" s="71" t="str">
        <x:v>remove:302</x:v>
      </x:c>
      <x:c r="Q95" s="71" t="str">
        <x:v>EN</x:v>
      </x:c>
      <x:c r="R95" s="71" t="str">
        <x:v>Already clear and direct; suggested wording intentionally keeps the current copy. Terminology watch: ‘trip’ and ‘journey’ both describe the same plan. Terminology watch: ‘stops’, ‘destinations’ and ‘places’ overlap.</x:v>
      </x:c>
      <x:c r="S95" s="75" t="str">
        <x:v>Not applied — review required</x:v>
      </x:c>
    </x:row>
    <x:row r="96">
      <x:c r="A96" s="71" t="str">
        <x:v>MRV-03BF57C174</x:v>
      </x:c>
      <x:c r="B96" s="71" t="str">
        <x:v>Trips</x:v>
      </x:c>
      <x:c r="C96" s="71" t="str">
        <x:v>Dashboard</x:v>
      </x:c>
      <x:c r="D96" s="71" t="str">
        <x:v>/journey/dashboard/dashboard-client</x:v>
      </x:c>
      <x:c r="E96" s="71" t="str">
        <x:v>remove</x:v>
      </x:c>
      <x:c r="F96" s="71" t="str">
        <x:v>Session expired</x:v>
      </x:c>
      <x:c r="G96" s="71" t="str">
        <x:v>Body copy</x:v>
      </x:c>
      <x:c r="H96" s="71" t="str">
        <x:v>Your session ended. Sign in again before removing this trip.</x:v>
      </x:c>
      <x:c r="I96" s="71" t="str">
        <x:v>Your session ended. Sign in again before removing this trip.</x:v>
      </x:c>
      <x:c r="J96" s="73"/>
      <x:c r="K96" s="74" t="str">
        <x:f>IF(J96="",H96,IF(J96=I96,I96,J96))</x:f>
        <x:v>Your session ended. Sign in again before removing this trip.</x:v>
      </x:c>
      <x:c r="L96" s="74" t="str">
        <x:f>IF(J96="","Keep current",IF(J96=I96,"Use suggestion","Custom"))</x:f>
        <x:v>Keep current</x:v>
      </x:c>
      <x:c r="M96" s="71" t="str">
        <x:v>Pending review</x:v>
      </x:c>
      <x:c r="N96" s="71" t="str">
        <x:v>High</x:v>
      </x:c>
      <x:c r="O96" s="71" t="str">
        <x:v>app/journey/dashboard/dashboard-client.tsx</x:v>
      </x:c>
      <x:c r="P96" s="71" t="str">
        <x:v>remove:311</x:v>
      </x:c>
      <x:c r="Q96" s="71" t="str">
        <x:v>EN (default / shared)</x:v>
      </x:c>
      <x:c r="R96" s="71" t="str">
        <x:v>Already clear and direct; suggested wording intentionally keeps the current copy. Terminology watch: ‘trip’ and ‘journey’ both describe the same plan. Terminology watch: ‘stops’, ‘destinations’ and ‘places’ overlap.</x:v>
      </x:c>
      <x:c r="S96" s="75" t="str">
        <x:v>Not applied — review required</x:v>
      </x:c>
    </x:row>
    <x:row r="97">
      <x:c r="A97" s="71" t="str">
        <x:v>MRV-4C09E87F73</x:v>
      </x:c>
      <x:c r="B97" s="71" t="str">
        <x:v>Trips</x:v>
      </x:c>
      <x:c r="C97" s="71" t="str">
        <x:v>Dashboard</x:v>
      </x:c>
      <x:c r="D97" s="71" t="str">
        <x:v>/journey/dashboard/dashboard-client</x:v>
      </x:c>
      <x:c r="E97" s="71" t="str">
        <x:v>remove</x:v>
      </x:c>
      <x:c r="F97" s="71" t="str">
        <x:v>Session expired</x:v>
      </x:c>
      <x:c r="G97" s="71" t="str">
        <x:v>Body copy</x:v>
      </x:c>
      <x:c r="H97" s="71" t="str">
        <x:v>This trip could not be removed. Please try again.</x:v>
      </x:c>
      <x:c r="I97" s="71" t="str">
        <x:v>This trip could not be removed. Try again.</x:v>
      </x:c>
      <x:c r="J97" s="73"/>
      <x:c r="K97" s="74" t="str">
        <x:f>IF(J97="",H97,IF(J97=I97,I97,J97))</x:f>
        <x:v>This trip could not be removed. Please try again.</x:v>
      </x:c>
      <x:c r="L97" s="74" t="str">
        <x:f>IF(J97="","Keep current",IF(J97=I97,"Use suggestion","Custom"))</x:f>
        <x:v>Keep current</x:v>
      </x:c>
      <x:c r="M97" s="71" t="str">
        <x:v>Pending review</x:v>
      </x:c>
      <x:c r="N97" s="71" t="str">
        <x:v>High</x:v>
      </x:c>
      <x:c r="O97" s="71" t="str">
        <x:v>app/journey/dashboard/dashboard-client.tsx</x:v>
      </x:c>
      <x:c r="P97" s="71" t="str">
        <x:v>remove:311</x:v>
      </x:c>
      <x:c r="Q97" s="71" t="str">
        <x:v>EN (default / shared)</x:v>
      </x:c>
      <x:c r="R97" s="71" t="str">
        <x:v>Simplified for a warmer, more direct action or recovery message. Terminology watch: ‘trip’ and ‘journey’ both describe the same plan. Terminology watch: ‘stops’, ‘destinations’ and ‘places’ overlap.</x:v>
      </x:c>
      <x:c r="S97" s="75" t="str">
        <x:v>Not applied — review required</x:v>
      </x:c>
    </x:row>
    <x:row r="98">
      <x:c r="A98" s="71" t="str">
        <x:v>MRV-E209B87C44</x:v>
      </x:c>
      <x:c r="B98" s="71" t="str">
        <x:v>Trips</x:v>
      </x:c>
      <x:c r="C98" s="71" t="str">
        <x:v>Dashboard</x:v>
      </x:c>
      <x:c r="D98" s="71" t="str">
        <x:v>/journey/dashboard/dashboard-client</x:v>
      </x:c>
      <x:c r="E98" s="71" t="str">
        <x:v>remove</x:v>
      </x:c>
      <x:c r="F98" s="71" t="str">
        <x:v>Offline / network failure</x:v>
      </x:c>
      <x:c r="G98" s="71" t="str">
        <x:v>Body copy</x:v>
      </x:c>
      <x:c r="H98" s="71" t="str">
        <x:v>This trip could not be removed. Check your connection and try again.</x:v>
      </x:c>
      <x:c r="I98" s="71" t="str">
        <x:v>This trip could not be removed. Check your connection and try again.</x:v>
      </x:c>
      <x:c r="J98" s="73"/>
      <x:c r="K98" s="74" t="str">
        <x:f>IF(J98="",H98,IF(J98=I98,I98,J98))</x:f>
        <x:v>This trip could not be removed. Check your connection and try again.</x:v>
      </x:c>
      <x:c r="L98" s="74" t="str">
        <x:f>IF(J98="","Keep current",IF(J98=I98,"Use suggestion","Custom"))</x:f>
        <x:v>Keep current</x:v>
      </x:c>
      <x:c r="M98" s="71" t="str">
        <x:v>Pending review</x:v>
      </x:c>
      <x:c r="N98" s="71" t="str">
        <x:v>High</x:v>
      </x:c>
      <x:c r="O98" s="71" t="str">
        <x:v>app/journey/dashboard/dashboard-client.tsx</x:v>
      </x:c>
      <x:c r="P98" s="71" t="str">
        <x:v>remove:313</x:v>
      </x:c>
      <x:c r="Q98" s="71" t="str">
        <x:v>EN (default / shared)</x:v>
      </x:c>
      <x:c r="R98" s="71" t="str">
        <x:v>Already clear and direct; suggested wording intentionally keeps the current copy. Terminology watch: ‘trip’ and ‘journey’ both describe the same plan. Terminology watch: ‘stops’, ‘destinations’ and ‘places’ overlap.</x:v>
      </x:c>
      <x:c r="S98" s="75" t="str">
        <x:v>Not applied — review required</x:v>
      </x:c>
    </x:row>
    <x:row r="99">
      <x:c r="A99" s="71" t="str">
        <x:v>MRV-9587A66C7E</x:v>
      </x:c>
      <x:c r="B99" s="71" t="str">
        <x:v>Trips</x:v>
      </x:c>
      <x:c r="C99" s="71" t="str">
        <x:v>Dashboard</x:v>
      </x:c>
      <x:c r="D99" s="71" t="str">
        <x:v>/journey/dashboard/dashboard-client</x:v>
      </x:c>
      <x:c r="E99" s="71" t="str">
        <x:v>sendGift</x:v>
      </x:c>
      <x:c r="F99" s="71" t="str">
        <x:v>Session expired</x:v>
      </x:c>
      <x:c r="G99" s="71" t="str">
        <x:v>Body copy</x:v>
      </x:c>
      <x:c r="H99" s="71" t="str">
        <x:v>Your session ended. Sign in again before sharing this trip.</x:v>
      </x:c>
      <x:c r="I99" s="71" t="str">
        <x:v>Your session ended. Sign in again before sharing this trip.</x:v>
      </x:c>
      <x:c r="J99" s="73"/>
      <x:c r="K99" s="74" t="str">
        <x:f>IF(J99="",H99,IF(J99=I99,I99,J99))</x:f>
        <x:v>Your session ended. Sign in again before sharing this trip.</x:v>
      </x:c>
      <x:c r="L99" s="74" t="str">
        <x:f>IF(J99="","Keep current",IF(J99=I99,"Use suggestion","Custom"))</x:f>
        <x:v>Keep current</x:v>
      </x:c>
      <x:c r="M99" s="71" t="str">
        <x:v>Pending review</x:v>
      </x:c>
      <x:c r="N99" s="71" t="str">
        <x:v>High</x:v>
      </x:c>
      <x:c r="O99" s="71" t="str">
        <x:v>app/journey/dashboard/dashboard-client.tsx</x:v>
      </x:c>
      <x:c r="P99" s="71" t="str">
        <x:v>sendGift:340</x:v>
      </x:c>
      <x:c r="Q99" s="71" t="str">
        <x:v>EN (default / shared)</x:v>
      </x:c>
      <x:c r="R99" s="71" t="str">
        <x:v>Already clear and direct; suggested wording intentionally keeps the current copy. Terminology watch: ‘trip’ and ‘journey’ both describe the same plan. Terminology watch: ‘stops’, ‘destinations’ and ‘places’ overlap.</x:v>
      </x:c>
      <x:c r="S99" s="75" t="str">
        <x:v>Not applied — review required</x:v>
      </x:c>
    </x:row>
    <x:row r="100">
      <x:c r="A100" s="71" t="str">
        <x:v>MRV-F818CE89D1</x:v>
      </x:c>
      <x:c r="B100" s="71" t="str">
        <x:v>Trips</x:v>
      </x:c>
      <x:c r="C100" s="71" t="str">
        <x:v>Dashboard</x:v>
      </x:c>
      <x:c r="D100" s="71" t="str">
        <x:v>/journey/dashboard/dashboard-client</x:v>
      </x:c>
      <x:c r="E100" s="71" t="str">
        <x:v>sendGift</x:v>
      </x:c>
      <x:c r="F100" s="71" t="str">
        <x:v>Failure / recovery</x:v>
      </x:c>
      <x:c r="G100" s="71" t="str">
        <x:v>Body copy</x:v>
      </x:c>
      <x:c r="H100" s="71" t="str">
        <x:v>No se pudo crear la invitación.</x:v>
      </x:c>
      <x:c r="I100" s="71" t="str">
        <x:v>No pudimos crear la invitación.</x:v>
      </x:c>
      <x:c r="J100" s="73"/>
      <x:c r="K100" s="74" t="str">
        <x:f>IF(J100="",H100,IF(J100=I100,I100,J100))</x:f>
        <x:v>No se pudo crear la invitación.</x:v>
      </x:c>
      <x:c r="L100" s="74" t="str">
        <x:f>IF(J100="","Keep current",IF(J100=I100,"Use suggestion","Custom"))</x:f>
        <x:v>Keep current</x:v>
      </x:c>
      <x:c r="M100" s="71" t="str">
        <x:v>Pending review</x:v>
      </x:c>
      <x:c r="N100" s="71" t="str">
        <x:v>High</x:v>
      </x:c>
      <x:c r="O100" s="71" t="str">
        <x:v>app/journey/dashboard/dashboard-client.tsx</x:v>
      </x:c>
      <x:c r="P100" s="71" t="str">
        <x:v>sendGift:340</x:v>
      </x:c>
      <x:c r="Q100" s="71" t="str">
        <x:v>ES</x:v>
      </x:c>
      <x:c r="R100" s="71" t="str">
        <x:v>Simplified for a warmer, more direct action or recovery message.</x:v>
      </x:c>
      <x:c r="S100" s="75" t="str">
        <x:v>Not applied — review required</x:v>
      </x:c>
    </x:row>
    <x:row r="101">
      <x:c r="A101" s="71" t="str">
        <x:v>MRV-A05395E847</x:v>
      </x:c>
      <x:c r="B101" s="71" t="str">
        <x:v>Trips</x:v>
      </x:c>
      <x:c r="C101" s="71" t="str">
        <x:v>Dashboard</x:v>
      </x:c>
      <x:c r="D101" s="71" t="str">
        <x:v>/journey/dashboard/dashboard-client</x:v>
      </x:c>
      <x:c r="E101" s="71" t="str">
        <x:v>sendGift</x:v>
      </x:c>
      <x:c r="F101" s="71" t="str">
        <x:v>Failure / recovery</x:v>
      </x:c>
      <x:c r="G101" s="71" t="str">
        <x:v>Body copy</x:v>
      </x:c>
      <x:c r="H101" s="71" t="str">
        <x:v>Unable to create invitation.</x:v>
      </x:c>
      <x:c r="I101" s="71" t="str">
        <x:v>Couldn't create invitation.</x:v>
      </x:c>
      <x:c r="J101" s="73"/>
      <x:c r="K101" s="74" t="str">
        <x:f>IF(J101="",H101,IF(J101=I101,I101,J101))</x:f>
        <x:v>Unable to create invitation.</x:v>
      </x:c>
      <x:c r="L101" s="74" t="str">
        <x:f>IF(J101="","Keep current",IF(J101=I101,"Use suggestion","Custom"))</x:f>
        <x:v>Keep current</x:v>
      </x:c>
      <x:c r="M101" s="71" t="str">
        <x:v>Pending review</x:v>
      </x:c>
      <x:c r="N101" s="71" t="str">
        <x:v>High</x:v>
      </x:c>
      <x:c r="O101" s="71" t="str">
        <x:v>app/journey/dashboard/dashboard-client.tsx</x:v>
      </x:c>
      <x:c r="P101" s="71" t="str">
        <x:v>sendGift:340</x:v>
      </x:c>
      <x:c r="Q101" s="71" t="str">
        <x:v>EN</x:v>
      </x:c>
      <x:c r="R101" s="71" t="str">
        <x:v>Simplified for a warmer, more direct action or recovery message.</x:v>
      </x:c>
      <x:c r="S101" s="75" t="str">
        <x:v>Not applied — review required</x:v>
      </x:c>
    </x:row>
    <x:row r="102">
      <x:c r="A102" s="71" t="str">
        <x:v>MRV-C41449C7F5</x:v>
      </x:c>
      <x:c r="B102" s="71" t="str">
        <x:v>Trips</x:v>
      </x:c>
      <x:c r="C102" s="71" t="str">
        <x:v>Dashboard</x:v>
      </x:c>
      <x:c r="D102" s="71" t="str">
        <x:v>/journey/dashboard/dashboard-client</x:v>
      </x:c>
      <x:c r="E102" s="71" t="str">
        <x:v>sendGift</x:v>
      </x:c>
      <x:c r="F102" s="71" t="str">
        <x:v>Offline / network failure</x:v>
      </x:c>
      <x:c r="G102" s="71" t="str">
        <x:v>Body copy</x:v>
      </x:c>
      <x:c r="H102" s="71" t="str">
        <x:v>Revisa tu conexión e inténtalo de nuevo.</x:v>
      </x:c>
      <x:c r="I102" s="71" t="str">
        <x:v>Revisa tu conexión e inténtalo de nuevo.</x:v>
      </x:c>
      <x:c r="J102" s="73"/>
      <x:c r="K102" s="74" t="str">
        <x:f>IF(J102="",H102,IF(J102=I102,I102,J102))</x:f>
        <x:v>Revisa tu conexión e inténtalo de nuevo.</x:v>
      </x:c>
      <x:c r="L102" s="74" t="str">
        <x:f>IF(J102="","Keep current",IF(J102=I102,"Use suggestion","Custom"))</x:f>
        <x:v>Keep current</x:v>
      </x:c>
      <x:c r="M102" s="71" t="str">
        <x:v>Pending review</x:v>
      </x:c>
      <x:c r="N102" s="71" t="str">
        <x:v>High</x:v>
      </x:c>
      <x:c r="O102" s="71" t="str">
        <x:v>app/journey/dashboard/dashboard-client.tsx</x:v>
      </x:c>
      <x:c r="P102" s="71" t="str">
        <x:v>sendGift:347</x:v>
      </x:c>
      <x:c r="Q102" s="71" t="str">
        <x:v>ES</x:v>
      </x:c>
      <x:c r="R102" s="71" t="str">
        <x:v>Already clear and direct; suggested wording intentionally keeps the current copy.</x:v>
      </x:c>
      <x:c r="S102" s="75" t="str">
        <x:v>Not applied — review required</x:v>
      </x:c>
    </x:row>
    <x:row r="103">
      <x:c r="A103" s="71" t="str">
        <x:v>MRV-97AD9F4756</x:v>
      </x:c>
      <x:c r="B103" s="71" t="str">
        <x:v>Trips</x:v>
      </x:c>
      <x:c r="C103" s="71" t="str">
        <x:v>Dashboard</x:v>
      </x:c>
      <x:c r="D103" s="71" t="str">
        <x:v>/journey/dashboard/dashboard-client</x:v>
      </x:c>
      <x:c r="E103" s="71" t="str">
        <x:v>sendGift</x:v>
      </x:c>
      <x:c r="F103" s="71" t="str">
        <x:v>Offline / network failure</x:v>
      </x:c>
      <x:c r="G103" s="71" t="str">
        <x:v>CTA / button</x:v>
      </x:c>
      <x:c r="H103" s="71" t="str">
        <x:v>Check your connection and try again.</x:v>
      </x:c>
      <x:c r="I103" s="71" t="str">
        <x:v>Check your connection and try again.</x:v>
      </x:c>
      <x:c r="J103" s="73"/>
      <x:c r="K103" s="74" t="str">
        <x:f>IF(J103="",H103,IF(J103=I103,I103,J103))</x:f>
        <x:v>Check your connection and try again.</x:v>
      </x:c>
      <x:c r="L103" s="74" t="str">
        <x:f>IF(J103="","Keep current",IF(J103=I103,"Use suggestion","Custom"))</x:f>
        <x:v>Keep current</x:v>
      </x:c>
      <x:c r="M103" s="71" t="str">
        <x:v>Pending review</x:v>
      </x:c>
      <x:c r="N103" s="71" t="str">
        <x:v>High</x:v>
      </x:c>
      <x:c r="O103" s="71" t="str">
        <x:v>app/journey/dashboard/dashboard-client.tsx</x:v>
      </x:c>
      <x:c r="P103" s="71" t="str">
        <x:v>sendGift:347</x:v>
      </x:c>
      <x:c r="Q103" s="71" t="str">
        <x:v>EN</x:v>
      </x:c>
      <x:c r="R103" s="71" t="str">
        <x:v>Already clear and direct; suggested wording intentionally keeps the current copy.</x:v>
      </x:c>
      <x:c r="S103" s="75" t="str">
        <x:v>Not applied — review required</x:v>
      </x:c>
    </x:row>
    <x:row r="104">
      <x:c r="A104" s="71" t="str">
        <x:v>MRV-2D0AC4AAD2</x:v>
      </x:c>
      <x:c r="B104" s="71" t="str">
        <x:v>Trips</x:v>
      </x:c>
      <x:c r="C104" s="71" t="str">
        <x:v>Dashboard</x:v>
      </x:c>
      <x:c r="D104" s="71" t="str">
        <x:v>/journey/dashboard/dashboard-client</x:v>
      </x:c>
      <x:c r="E104" s="71" t="str">
        <x:v>DashboardClient</x:v>
      </x:c>
      <x:c r="F104" s="71" t="str">
        <x:v>Session expired</x:v>
      </x:c>
      <x:c r="G104" s="71" t="str">
        <x:v>Label</x:v>
      </x:c>
      <x:c r="H104" s="71" t="str">
        <x:v>Your session ended</x:v>
      </x:c>
      <x:c r="I104" s="71" t="str">
        <x:v>Your session ended</x:v>
      </x:c>
      <x:c r="J104" s="73"/>
      <x:c r="K104" s="74" t="str">
        <x:f>IF(J104="",H104,IF(J104=I104,I104,J104))</x:f>
        <x:v>Your session ended</x:v>
      </x:c>
      <x:c r="L104" s="74" t="str">
        <x:f>IF(J104="","Keep current",IF(J104=I104,"Use suggestion","Custom"))</x:f>
        <x:v>Keep current</x:v>
      </x:c>
      <x:c r="M104" s="71" t="str">
        <x:v>Pending review</x:v>
      </x:c>
      <x:c r="N104" s="71" t="str">
        <x:v>High</x:v>
      </x:c>
      <x:c r="O104" s="71" t="str">
        <x:v>app/journey/dashboard/dashboard-client.tsx</x:v>
      </x:c>
      <x:c r="P104" s="71" t="str">
        <x:v>DashboardClient:361</x:v>
      </x:c>
      <x:c r="Q104" s="71" t="str">
        <x:v>EN (default / shared)</x:v>
      </x:c>
      <x:c r="R104" s="71" t="str">
        <x:v>Already clear and direct; suggested wording intentionally keeps the current copy. Duplicate wording: appears 4 times.</x:v>
      </x:c>
      <x:c r="S104" s="75" t="str">
        <x:v>Not applied — review required</x:v>
      </x:c>
    </x:row>
    <x:row r="105">
      <x:c r="A105" s="71" t="str">
        <x:v>MRV-0D4167AA92</x:v>
      </x:c>
      <x:c r="B105" s="71" t="str">
        <x:v>Trips</x:v>
      </x:c>
      <x:c r="C105" s="71" t="str">
        <x:v>Dashboard</x:v>
      </x:c>
      <x:c r="D105" s="71" t="str">
        <x:v>/journey/dashboard/dashboard-client</x:v>
      </x:c>
      <x:c r="E105" s="71" t="str">
        <x:v>DashboardClient</x:v>
      </x:c>
      <x:c r="F105" s="71" t="str">
        <x:v>Session expired</x:v>
      </x:c>
      <x:c r="G105" s="71" t="str">
        <x:v>Body copy</x:v>
      </x:c>
      <x:c r="H105" s="71" t="str">
        <x:v>Your saved trips are hidden until you sign in again.</x:v>
      </x:c>
      <x:c r="I105" s="71" t="str">
        <x:v>Your saved trips are hidden until you sign in again.</x:v>
      </x:c>
      <x:c r="J105" s="73"/>
      <x:c r="K105" s="74" t="str">
        <x:f>IF(J105="",H105,IF(J105=I105,I105,J105))</x:f>
        <x:v>Your saved trips are hidden until you sign in again.</x:v>
      </x:c>
      <x:c r="L105" s="74" t="str">
        <x:f>IF(J105="","Keep current",IF(J105=I105,"Use suggestion","Custom"))</x:f>
        <x:v>Keep current</x:v>
      </x:c>
      <x:c r="M105" s="71" t="str">
        <x:v>Pending review</x:v>
      </x:c>
      <x:c r="N105" s="71" t="str">
        <x:v>High</x:v>
      </x:c>
      <x:c r="O105" s="71" t="str">
        <x:v>app/journey/dashboard/dashboard-client.tsx</x:v>
      </x:c>
      <x:c r="P105" s="71" t="str">
        <x:v>DashboardClient:361</x:v>
      </x:c>
      <x:c r="Q105" s="71" t="str">
        <x:v>EN (default / shared)</x:v>
      </x:c>
      <x:c r="R105" s="71" t="str">
        <x:v>Already clear and direct; suggested wording intentionally keeps the current copy. Terminology watch: ‘trip’ and ‘journey’ both describe the same plan. Terminology watch: ‘stops’, ‘destinations’ and ‘places’ overlap.</x:v>
      </x:c>
      <x:c r="S105" s="75" t="str">
        <x:v>Not applied — review required</x:v>
      </x:c>
    </x:row>
    <x:row r="106">
      <x:c r="A106" s="71" t="str">
        <x:v>MRV-5EF1CD8265</x:v>
      </x:c>
      <x:c r="B106" s="71" t="str">
        <x:v>Trips</x:v>
      </x:c>
      <x:c r="C106" s="71" t="str">
        <x:v>Dashboard</x:v>
      </x:c>
      <x:c r="D106" s="71" t="str">
        <x:v>/journey/dashboard/dashboard-client</x:v>
      </x:c>
      <x:c r="E106" s="71" t="str">
        <x:v>DashboardClient</x:v>
      </x:c>
      <x:c r="F106" s="71" t="str">
        <x:v>Session expired</x:v>
      </x:c>
      <x:c r="G106" s="71" t="str">
        <x:v>CTA / button</x:v>
      </x:c>
      <x:c r="H106" s="71" t="str">
        <x:v>Sign in again</x:v>
      </x:c>
      <x:c r="I106" s="71" t="str">
        <x:v>Sign in again</x:v>
      </x:c>
      <x:c r="J106" s="73"/>
      <x:c r="K106" s="74" t="str">
        <x:f>IF(J106="",H106,IF(J106=I106,I106,J106))</x:f>
        <x:v>Sign in again</x:v>
      </x:c>
      <x:c r="L106" s="74" t="str">
        <x:f>IF(J106="","Keep current",IF(J106=I106,"Use suggestion","Custom"))</x:f>
        <x:v>Keep current</x:v>
      </x:c>
      <x:c r="M106" s="71" t="str">
        <x:v>Pending review</x:v>
      </x:c>
      <x:c r="N106" s="71" t="str">
        <x:v>High</x:v>
      </x:c>
      <x:c r="O106" s="71" t="str">
        <x:v>app/journey/dashboard/dashboard-client.tsx</x:v>
      </x:c>
      <x:c r="P106" s="71" t="str">
        <x:v>DashboardClient:361</x:v>
      </x:c>
      <x:c r="Q106" s="71" t="str">
        <x:v>EN (default / shared)</x:v>
      </x:c>
      <x:c r="R106" s="71" t="str">
        <x:v>Already clear and direct; suggested wording intentionally keeps the current copy. Duplicate wording: appears 8 times.</x:v>
      </x:c>
      <x:c r="S106" s="75" t="str">
        <x:v>Not applied — review required</x:v>
      </x:c>
    </x:row>
    <x:row r="107">
      <x:c r="A107" s="71" t="str">
        <x:v>MRV-AE321B93DE</x:v>
      </x:c>
      <x:c r="B107" s="71" t="str">
        <x:v>Trips</x:v>
      </x:c>
      <x:c r="C107" s="71" t="str">
        <x:v>Dashboard</x:v>
      </x:c>
      <x:c r="D107" s="71" t="str">
        <x:v>/journey/dashboard/dashboard-client</x:v>
      </x:c>
      <x:c r="E107" s="71" t="str">
        <x:v>DashboardClient</x:v>
      </x:c>
      <x:c r="F107" s="71" t="str">
        <x:v>Session expired</x:v>
      </x:c>
      <x:c r="G107" s="71" t="str">
        <x:v>CTA / button</x:v>
      </x:c>
      <x:c r="H107" s="71" t="str">
        <x:v>Sign in again</x:v>
      </x:c>
      <x:c r="I107" s="71" t="str">
        <x:v>Sign in again</x:v>
      </x:c>
      <x:c r="J107" s="73"/>
      <x:c r="K107" s="74" t="str">
        <x:f>IF(J107="",H107,IF(J107=I107,I107,J107))</x:f>
        <x:v>Sign in again</x:v>
      </x:c>
      <x:c r="L107" s="74" t="str">
        <x:f>IF(J107="","Keep current",IF(J107=I107,"Use suggestion","Custom"))</x:f>
        <x:v>Keep current</x:v>
      </x:c>
      <x:c r="M107" s="71" t="str">
        <x:v>Pending review</x:v>
      </x:c>
      <x:c r="N107" s="71" t="str">
        <x:v>High</x:v>
      </x:c>
      <x:c r="O107" s="71" t="str">
        <x:v>app/journey/dashboard/dashboard-client.tsx</x:v>
      </x:c>
      <x:c r="P107" s="71" t="str">
        <x:v>DashboardClient:365</x:v>
      </x:c>
      <x:c r="Q107" s="71" t="str">
        <x:v>EN (default / shared)</x:v>
      </x:c>
      <x:c r="R107" s="71" t="str">
        <x:v>Already clear and direct; suggested wording intentionally keeps the current copy. Duplicate wording: appears 8 times.</x:v>
      </x:c>
      <x:c r="S107" s="75" t="str">
        <x:v>Not applied — review required</x:v>
      </x:c>
    </x:row>
    <x:row r="108">
      <x:c r="A108" s="71" t="str">
        <x:v>MRV-BD4A8B3031</x:v>
      </x:c>
      <x:c r="B108" s="71" t="str">
        <x:v>Trips</x:v>
      </x:c>
      <x:c r="C108" s="71" t="str">
        <x:v>Dashboard</x:v>
      </x:c>
      <x:c r="D108" s="71" t="str">
        <x:v>/journey/dashboard/dashboard-client</x:v>
      </x:c>
      <x:c r="E108" s="71" t="str">
        <x:v>DashboardClient</x:v>
      </x:c>
      <x:c r="F108" s="71" t="str">
        <x:v>Failure / recovery</x:v>
      </x:c>
      <x:c r="G108" s="71" t="str">
        <x:v>Label</x:v>
      </x:c>
      <x:c r="H108" s="71" t="str">
        <x:v>Reintentar</x:v>
      </x:c>
      <x:c r="I108" s="71" t="str">
        <x:v>Reintentar</x:v>
      </x:c>
      <x:c r="J108" s="73"/>
      <x:c r="K108" s="74" t="str">
        <x:f>IF(J108="",H108,IF(J108=I108,I108,J108))</x:f>
        <x:v>Reintentar</x:v>
      </x:c>
      <x:c r="L108" s="74" t="str">
        <x:f>IF(J108="","Keep current",IF(J108=I108,"Use suggestion","Custom"))</x:f>
        <x:v>Keep current</x:v>
      </x:c>
      <x:c r="M108" s="71" t="str">
        <x:v>Pending review</x:v>
      </x:c>
      <x:c r="N108" s="71" t="str">
        <x:v>High</x:v>
      </x:c>
      <x:c r="O108" s="71" t="str">
        <x:v>app/journey/dashboard/dashboard-client.tsx</x:v>
      </x:c>
      <x:c r="P108" s="71" t="str">
        <x:v>DashboardClient:365</x:v>
      </x:c>
      <x:c r="Q108" s="71" t="str">
        <x:v>ES</x:v>
      </x:c>
      <x:c r="R108" s="71" t="str">
        <x:v>Already clear and direct; suggested wording intentionally keeps the current copy. Duplicate wording: appears 4 times.</x:v>
      </x:c>
      <x:c r="S108" s="75" t="str">
        <x:v>Not applied — review required</x:v>
      </x:c>
    </x:row>
    <x:row r="109">
      <x:c r="A109" s="71" t="str">
        <x:v>MRV-26F373A2FB</x:v>
      </x:c>
      <x:c r="B109" s="71" t="str">
        <x:v>Trips</x:v>
      </x:c>
      <x:c r="C109" s="71" t="str">
        <x:v>Dashboard</x:v>
      </x:c>
      <x:c r="D109" s="71" t="str">
        <x:v>/journey/dashboard/dashboard-client</x:v>
      </x:c>
      <x:c r="E109" s="71" t="str">
        <x:v>DashboardClient</x:v>
      </x:c>
      <x:c r="F109" s="71" t="str">
        <x:v>Failure / recovery</x:v>
      </x:c>
      <x:c r="G109" s="71" t="str">
        <x:v>CTA / button</x:v>
      </x:c>
      <x:c r="H109" s="71" t="str">
        <x:v>Try again</x:v>
      </x:c>
      <x:c r="I109" s="71" t="str">
        <x:v>Try again</x:v>
      </x:c>
      <x:c r="J109" s="73"/>
      <x:c r="K109" s="74" t="str">
        <x:f>IF(J109="",H109,IF(J109=I109,I109,J109))</x:f>
        <x:v>Try again</x:v>
      </x:c>
      <x:c r="L109" s="74" t="str">
        <x:f>IF(J109="","Keep current",IF(J109=I109,"Use suggestion","Custom"))</x:f>
        <x:v>Keep current</x:v>
      </x:c>
      <x:c r="M109" s="71" t="str">
        <x:v>Pending review</x:v>
      </x:c>
      <x:c r="N109" s="71" t="str">
        <x:v>High</x:v>
      </x:c>
      <x:c r="O109" s="71" t="str">
        <x:v>app/journey/dashboard/dashboard-client.tsx</x:v>
      </x:c>
      <x:c r="P109" s="71" t="str">
        <x:v>DashboardClient:365</x:v>
      </x:c>
      <x:c r="Q109" s="71" t="str">
        <x:v>EN</x:v>
      </x:c>
      <x:c r="R109" s="71" t="str">
        <x:v>Already clear and direct; suggested wording intentionally keeps the current copy. Duplicate wording: appears 7 times.</x:v>
      </x:c>
      <x:c r="S109" s="75" t="str">
        <x:v>Not applied — review required</x:v>
      </x:c>
    </x:row>
    <x:row r="110">
      <x:c r="A110" s="71" t="str">
        <x:v>MRV-2DAB97C41E</x:v>
      </x:c>
      <x:c r="B110" s="71" t="str">
        <x:v>Trips</x:v>
      </x:c>
      <x:c r="C110" s="71" t="str">
        <x:v>Dashboard</x:v>
      </x:c>
      <x:c r="D110" s="71" t="str">
        <x:v>/journey/dashboard/dashboard-client</x:v>
      </x:c>
      <x:c r="E110" s="71" t="str">
        <x:v>DashboardClient</x:v>
      </x:c>
      <x:c r="F110" s="71" t="str">
        <x:v>Default</x:v>
      </x:c>
      <x:c r="G110" s="71" t="str">
        <x:v>Body copy</x:v>
      </x:c>
      <x:c r="H110" s="71" t="str">
        <x:v>Inicia sesión para sincronizar</x:v>
      </x:c>
      <x:c r="I110" s="71" t="str">
        <x:v>Inicia sesión para sincronizar</x:v>
      </x:c>
      <x:c r="J110" s="73"/>
      <x:c r="K110" s="74" t="str">
        <x:f>IF(J110="",H110,IF(J110=I110,I110,J110))</x:f>
        <x:v>Inicia sesión para sincronizar</x:v>
      </x:c>
      <x:c r="L110" s="74" t="str">
        <x:f>IF(J110="","Keep current",IF(J110=I110,"Use suggestion","Custom"))</x:f>
        <x:v>Keep current</x:v>
      </x:c>
      <x:c r="M110" s="71" t="str">
        <x:v>Pending review</x:v>
      </x:c>
      <x:c r="N110" s="71" t="str">
        <x:v>Normal</x:v>
      </x:c>
      <x:c r="O110" s="71" t="str">
        <x:v>app/journey/dashboard/dashboard-client.tsx</x:v>
      </x:c>
      <x:c r="P110" s="71" t="str">
        <x:v>DashboardClient:369</x:v>
      </x:c>
      <x:c r="Q110" s="71" t="str">
        <x:v>ES</x:v>
      </x:c>
      <x:c r="R110" s="71" t="str">
        <x:v>Already clear and direct; suggested wording intentionally keeps the current copy.</x:v>
      </x:c>
      <x:c r="S110" s="75" t="str">
        <x:v>Not applied — review required</x:v>
      </x:c>
    </x:row>
    <x:row r="111">
      <x:c r="A111" s="71" t="str">
        <x:v>MRV-3E657F99F3</x:v>
      </x:c>
      <x:c r="B111" s="71" t="str">
        <x:v>Trips</x:v>
      </x:c>
      <x:c r="C111" s="71" t="str">
        <x:v>Dashboard</x:v>
      </x:c>
      <x:c r="D111" s="71" t="str">
        <x:v>/journey/dashboard/dashboard-client</x:v>
      </x:c>
      <x:c r="E111" s="71" t="str">
        <x:v>DashboardClient</x:v>
      </x:c>
      <x:c r="F111" s="71" t="str">
        <x:v>Default</x:v>
      </x:c>
      <x:c r="G111" s="71" t="str">
        <x:v>CTA / button</x:v>
      </x:c>
      <x:c r="H111" s="71" t="str">
        <x:v>Sign in to finish syncing</x:v>
      </x:c>
      <x:c r="I111" s="71" t="str">
        <x:v>Sign in to finish syncing</x:v>
      </x:c>
      <x:c r="J111" s="73"/>
      <x:c r="K111" s="74" t="str">
        <x:f>IF(J111="",H111,IF(J111=I111,I111,J111))</x:f>
        <x:v>Sign in to finish syncing</x:v>
      </x:c>
      <x:c r="L111" s="74" t="str">
        <x:f>IF(J111="","Keep current",IF(J111=I111,"Use suggestion","Custom"))</x:f>
        <x:v>Keep current</x:v>
      </x:c>
      <x:c r="M111" s="71" t="str">
        <x:v>Pending review</x:v>
      </x:c>
      <x:c r="N111" s="71" t="str">
        <x:v>Medium</x:v>
      </x:c>
      <x:c r="O111" s="71" t="str">
        <x:v>app/journey/dashboard/dashboard-client.tsx</x:v>
      </x:c>
      <x:c r="P111" s="71" t="str">
        <x:v>DashboardClient:369</x:v>
      </x:c>
      <x:c r="Q111" s="71" t="str">
        <x:v>EN</x:v>
      </x:c>
      <x:c r="R111" s="71" t="str">
        <x:v>Already clear and direct; suggested wording intentionally keeps the current copy. Duplicate wording: appears 2 times.</x:v>
      </x:c>
      <x:c r="S111" s="75" t="str">
        <x:v>Not applied — review required</x:v>
      </x:c>
    </x:row>
    <x:row r="112">
      <x:c r="A112" s="71" t="str">
        <x:v>MRV-399D6D3FA2</x:v>
      </x:c>
      <x:c r="B112" s="71" t="str">
        <x:v>Trips</x:v>
      </x:c>
      <x:c r="C112" s="71" t="str">
        <x:v>Dashboard</x:v>
      </x:c>
      <x:c r="D112" s="71" t="str">
        <x:v>/journey/dashboard/dashboard-client</x:v>
      </x:c>
      <x:c r="E112" s="71" t="str">
        <x:v>DashboardClient</x:v>
      </x:c>
      <x:c r="F112" s="71" t="str">
        <x:v>Default</x:v>
      </x:c>
      <x:c r="G112" s="71" t="str">
        <x:v>Body copy</x:v>
      </x:c>
      <x:c r="H112" s="71" t="str">
        <x:v>La copia pertenece a otra cuenta</x:v>
      </x:c>
      <x:c r="I112" s="71" t="str">
        <x:v>La copia pertenece a otra cuenta</x:v>
      </x:c>
      <x:c r="J112" s="73"/>
      <x:c r="K112" s="74" t="str">
        <x:f>IF(J112="",H112,IF(J112=I112,I112,J112))</x:f>
        <x:v>La copia pertenece a otra cuenta</x:v>
      </x:c>
      <x:c r="L112" s="74" t="str">
        <x:f>IF(J112="","Keep current",IF(J112=I112,"Use suggestion","Custom"))</x:f>
        <x:v>Keep current</x:v>
      </x:c>
      <x:c r="M112" s="71" t="str">
        <x:v>Pending review</x:v>
      </x:c>
      <x:c r="N112" s="71" t="str">
        <x:v>Normal</x:v>
      </x:c>
      <x:c r="O112" s="71" t="str">
        <x:v>app/journey/dashboard/dashboard-client.tsx</x:v>
      </x:c>
      <x:c r="P112" s="71" t="str">
        <x:v>DashboardClient:369</x:v>
      </x:c>
      <x:c r="Q112" s="71" t="str">
        <x:v>ES</x:v>
      </x:c>
      <x:c r="R112" s="71" t="str">
        <x:v>Already clear and direct; suggested wording intentionally keeps the current copy.</x:v>
      </x:c>
      <x:c r="S112" s="75" t="str">
        <x:v>Not applied — review required</x:v>
      </x:c>
    </x:row>
    <x:row r="113">
      <x:c r="A113" s="71" t="str">
        <x:v>MRV-145FB6EB95</x:v>
      </x:c>
      <x:c r="B113" s="71" t="str">
        <x:v>Trips</x:v>
      </x:c>
      <x:c r="C113" s="71" t="str">
        <x:v>Dashboard</x:v>
      </x:c>
      <x:c r="D113" s="71" t="str">
        <x:v>/journey/dashboard/dashboard-client</x:v>
      </x:c>
      <x:c r="E113" s="71" t="str">
        <x:v>DashboardClient</x:v>
      </x:c>
      <x:c r="F113" s="71" t="str">
        <x:v>Default</x:v>
      </x:c>
      <x:c r="G113" s="71" t="str">
        <x:v>Body copy</x:v>
      </x:c>
      <x:c r="H113" s="71" t="str">
        <x:v>Device copy belongs to another account</x:v>
      </x:c>
      <x:c r="I113" s="71" t="str">
        <x:v>Device copy belongs to another account</x:v>
      </x:c>
      <x:c r="J113" s="73"/>
      <x:c r="K113" s="74" t="str">
        <x:f>IF(J113="",H113,IF(J113=I113,I113,J113))</x:f>
        <x:v>Device copy belongs to another account</x:v>
      </x:c>
      <x:c r="L113" s="74" t="str">
        <x:f>IF(J113="","Keep current",IF(J113=I113,"Use suggestion","Custom"))</x:f>
        <x:v>Keep current</x:v>
      </x:c>
      <x:c r="M113" s="71" t="str">
        <x:v>Pending review</x:v>
      </x:c>
      <x:c r="N113" s="71" t="str">
        <x:v>Normal</x:v>
      </x:c>
      <x:c r="O113" s="71" t="str">
        <x:v>app/journey/dashboard/dashboard-client.tsx</x:v>
      </x:c>
      <x:c r="P113" s="71" t="str">
        <x:v>DashboardClient:369</x:v>
      </x:c>
      <x:c r="Q113" s="71" t="str">
        <x:v>EN</x:v>
      </x:c>
      <x:c r="R113" s="71" t="str">
        <x:v>Already clear and direct; suggested wording intentionally keeps the current copy.</x:v>
      </x:c>
      <x:c r="S113" s="75" t="str">
        <x:v>Not applied — review required</x:v>
      </x:c>
    </x:row>
    <x:row r="114">
      <x:c r="A114" s="71" t="str">
        <x:v>MRV-141A286EB1</x:v>
      </x:c>
      <x:c r="B114" s="71" t="str">
        <x:v>Trips</x:v>
      </x:c>
      <x:c r="C114" s="71" t="str">
        <x:v>Dashboard</x:v>
      </x:c>
      <x:c r="D114" s="71" t="str">
        <x:v>/journey/dashboard/dashboard-client</x:v>
      </x:c>
      <x:c r="E114" s="71" t="str">
        <x:v>DashboardClient</x:v>
      </x:c>
      <x:c r="F114" s="71" t="str">
        <x:v>Default</x:v>
      </x:c>
      <x:c r="G114" s="71" t="str">
        <x:v>Body copy</x:v>
      </x:c>
      <x:c r="H114" s="71" t="str">
        <x:v>El viaje fue eliminado de la nube</x:v>
      </x:c>
      <x:c r="I114" s="71" t="str">
        <x:v>El viaje fue eliminado de la nube</x:v>
      </x:c>
      <x:c r="J114" s="73"/>
      <x:c r="K114" s="74" t="str">
        <x:f>IF(J114="",H114,IF(J114=I114,I114,J114))</x:f>
        <x:v>El viaje fue eliminado de la nube</x:v>
      </x:c>
      <x:c r="L114" s="74" t="str">
        <x:f>IF(J114="","Keep current",IF(J114=I114,"Use suggestion","Custom"))</x:f>
        <x:v>Keep current</x:v>
      </x:c>
      <x:c r="M114" s="71" t="str">
        <x:v>Pending review</x:v>
      </x:c>
      <x:c r="N114" s="71" t="str">
        <x:v>Normal</x:v>
      </x:c>
      <x:c r="O114" s="71" t="str">
        <x:v>app/journey/dashboard/dashboard-client.tsx</x:v>
      </x:c>
      <x:c r="P114" s="71" t="str">
        <x:v>DashboardClient:369</x:v>
      </x:c>
      <x:c r="Q114" s="71" t="str">
        <x:v>ES</x:v>
      </x:c>
      <x:c r="R114" s="71" t="str">
        <x:v>Already clear and direct; suggested wording intentionally keeps the current copy.</x:v>
      </x:c>
      <x:c r="S114" s="75" t="str">
        <x:v>Not applied — review required</x:v>
      </x:c>
    </x:row>
    <x:row r="115">
      <x:c r="A115" s="71" t="str">
        <x:v>MRV-8D798F4319</x:v>
      </x:c>
      <x:c r="B115" s="71" t="str">
        <x:v>Trips</x:v>
      </x:c>
      <x:c r="C115" s="71" t="str">
        <x:v>Dashboard</x:v>
      </x:c>
      <x:c r="D115" s="71" t="str">
        <x:v>/journey/dashboard/dashboard-client</x:v>
      </x:c>
      <x:c r="E115" s="71" t="str">
        <x:v>DashboardClient</x:v>
      </x:c>
      <x:c r="F115" s="71" t="str">
        <x:v>Default</x:v>
      </x:c>
      <x:c r="G115" s="71" t="str">
        <x:v>Label</x:v>
      </x:c>
      <x:c r="H115" s="71" t="str">
        <x:v>Trip removed from the cloud</x:v>
      </x:c>
      <x:c r="I115" s="71" t="str">
        <x:v>Trip removed from the cloud</x:v>
      </x:c>
      <x:c r="J115" s="73"/>
      <x:c r="K115" s="74" t="str">
        <x:f>IF(J115="",H115,IF(J115=I115,I115,J115))</x:f>
        <x:v>Trip removed from the cloud</x:v>
      </x:c>
      <x:c r="L115" s="74" t="str">
        <x:f>IF(J115="","Keep current",IF(J115=I115,"Use suggestion","Custom"))</x:f>
        <x:v>Keep current</x:v>
      </x:c>
      <x:c r="M115" s="71" t="str">
        <x:v>Pending review</x:v>
      </x:c>
      <x:c r="N115" s="71" t="str">
        <x:v>Normal</x:v>
      </x:c>
      <x:c r="O115" s="71" t="str">
        <x:v>app/journey/dashboard/dashboard-client.tsx</x:v>
      </x:c>
      <x:c r="P115" s="71" t="str">
        <x:v>DashboardClient:369</x:v>
      </x:c>
      <x:c r="Q115" s="71" t="str">
        <x:v>EN</x:v>
      </x:c>
      <x:c r="R115" s="71" t="str">
        <x:v>Already clear and direct; suggested wording intentionally keeps the current copy. Terminology watch: ‘trip’ and ‘journey’ both describe the same plan. Terminology watch: ‘stops’, ‘destinations’ and ‘places’ overlap.</x:v>
      </x:c>
      <x:c r="S115" s="75" t="str">
        <x:v>Not applied — review required</x:v>
      </x:c>
    </x:row>
    <x:row r="116">
      <x:c r="A116" s="71" t="str">
        <x:v>MRV-A70084B6B2</x:v>
      </x:c>
      <x:c r="B116" s="71" t="str">
        <x:v>Trips</x:v>
      </x:c>
      <x:c r="C116" s="71" t="str">
        <x:v>Dashboard</x:v>
      </x:c>
      <x:c r="D116" s="71" t="str">
        <x:v>/journey/dashboard/dashboard-client</x:v>
      </x:c>
      <x:c r="E116" s="71" t="str">
        <x:v>DashboardClient</x:v>
      </x:c>
      <x:c r="F116" s="71" t="str">
        <x:v>Default</x:v>
      </x:c>
      <x:c r="G116" s="71" t="str">
        <x:v>Body copy</x:v>
      </x:c>
      <x:c r="H116" s="71" t="str">
        <x:v>Se conservó la copia en la nube</x:v>
      </x:c>
      <x:c r="I116" s="71" t="str">
        <x:v>Se conservó la copia en la nube</x:v>
      </x:c>
      <x:c r="J116" s="73"/>
      <x:c r="K116" s="74" t="str">
        <x:f>IF(J116="",H116,IF(J116=I116,I116,J116))</x:f>
        <x:v>Se conservó la copia en la nube</x:v>
      </x:c>
      <x:c r="L116" s="74" t="str">
        <x:f>IF(J116="","Keep current",IF(J116=I116,"Use suggestion","Custom"))</x:f>
        <x:v>Keep current</x:v>
      </x:c>
      <x:c r="M116" s="71" t="str">
        <x:v>Pending review</x:v>
      </x:c>
      <x:c r="N116" s="71" t="str">
        <x:v>Normal</x:v>
      </x:c>
      <x:c r="O116" s="71" t="str">
        <x:v>app/journey/dashboard/dashboard-client.tsx</x:v>
      </x:c>
      <x:c r="P116" s="71" t="str">
        <x:v>DashboardClient:369</x:v>
      </x:c>
      <x:c r="Q116" s="71" t="str">
        <x:v>ES</x:v>
      </x:c>
      <x:c r="R116" s="71" t="str">
        <x:v>Already clear and direct; suggested wording intentionally keeps the current copy.</x:v>
      </x:c>
      <x:c r="S116" s="75" t="str">
        <x:v>Not applied — review required</x:v>
      </x:c>
    </x:row>
    <x:row r="117">
      <x:c r="A117" s="71" t="str">
        <x:v>MRV-EF99C5F886</x:v>
      </x:c>
      <x:c r="B117" s="71" t="str">
        <x:v>Trips</x:v>
      </x:c>
      <x:c r="C117" s="71" t="str">
        <x:v>Dashboard</x:v>
      </x:c>
      <x:c r="D117" s="71" t="str">
        <x:v>/journey/dashboard/dashboard-client</x:v>
      </x:c>
      <x:c r="E117" s="71" t="str">
        <x:v>DashboardClient</x:v>
      </x:c>
      <x:c r="F117" s="71" t="str">
        <x:v>Default</x:v>
      </x:c>
      <x:c r="G117" s="71" t="str">
        <x:v>Label</x:v>
      </x:c>
      <x:c r="H117" s="71" t="str">
        <x:v>Cloud copy kept safe</x:v>
      </x:c>
      <x:c r="I117" s="71" t="str">
        <x:v>Cloud copy kept safe</x:v>
      </x:c>
      <x:c r="J117" s="73"/>
      <x:c r="K117" s="74" t="str">
        <x:f>IF(J117="",H117,IF(J117=I117,I117,J117))</x:f>
        <x:v>Cloud copy kept safe</x:v>
      </x:c>
      <x:c r="L117" s="74" t="str">
        <x:f>IF(J117="","Keep current",IF(J117=I117,"Use suggestion","Custom"))</x:f>
        <x:v>Keep current</x:v>
      </x:c>
      <x:c r="M117" s="71" t="str">
        <x:v>Pending review</x:v>
      </x:c>
      <x:c r="N117" s="71" t="str">
        <x:v>Normal</x:v>
      </x:c>
      <x:c r="O117" s="71" t="str">
        <x:v>app/journey/dashboard/dashboard-client.tsx</x:v>
      </x:c>
      <x:c r="P117" s="71" t="str">
        <x:v>DashboardClient:369</x:v>
      </x:c>
      <x:c r="Q117" s="71" t="str">
        <x:v>EN</x:v>
      </x:c>
      <x:c r="R117" s="71" t="str">
        <x:v>Already clear and direct; suggested wording intentionally keeps the current copy. Duplicate wording: appears 2 times.</x:v>
      </x:c>
      <x:c r="S117" s="75" t="str">
        <x:v>Not applied — review required</x:v>
      </x:c>
    </x:row>
    <x:row r="118">
      <x:c r="A118" s="71" t="str">
        <x:v>MRV-C8D8E0D051</x:v>
      </x:c>
      <x:c r="B118" s="71" t="str">
        <x:v>Trips</x:v>
      </x:c>
      <x:c r="C118" s="71" t="str">
        <x:v>Dashboard</x:v>
      </x:c>
      <x:c r="D118" s="71" t="str">
        <x:v>/journey/dashboard/dashboard-client</x:v>
      </x:c>
      <x:c r="E118" s="71" t="str">
        <x:v>DashboardClient</x:v>
      </x:c>
      <x:c r="F118" s="71" t="str">
        <x:v>Default</x:v>
      </x:c>
      <x:c r="G118" s="71" t="str">
        <x:v>Body copy</x:v>
      </x:c>
      <x:c r="H118" s="71" t="str">
        <x:v>El viaje aún no está sincronizado</x:v>
      </x:c>
      <x:c r="I118" s="71" t="str">
        <x:v>El viaje aún no está sincronizado</x:v>
      </x:c>
      <x:c r="J118" s="73"/>
      <x:c r="K118" s="74" t="str">
        <x:f>IF(J118="",H118,IF(J118=I118,I118,J118))</x:f>
        <x:v>El viaje aún no está sincronizado</x:v>
      </x:c>
      <x:c r="L118" s="74" t="str">
        <x:f>IF(J118="","Keep current",IF(J118=I118,"Use suggestion","Custom"))</x:f>
        <x:v>Keep current</x:v>
      </x:c>
      <x:c r="M118" s="71" t="str">
        <x:v>Pending review</x:v>
      </x:c>
      <x:c r="N118" s="71" t="str">
        <x:v>Normal</x:v>
      </x:c>
      <x:c r="O118" s="71" t="str">
        <x:v>app/journey/dashboard/dashboard-client.tsx</x:v>
      </x:c>
      <x:c r="P118" s="71" t="str">
        <x:v>DashboardClient:369</x:v>
      </x:c>
      <x:c r="Q118" s="71" t="str">
        <x:v>ES</x:v>
      </x:c>
      <x:c r="R118" s="71" t="str">
        <x:v>Already clear and direct; suggested wording intentionally keeps the current copy.</x:v>
      </x:c>
      <x:c r="S118" s="75" t="str">
        <x:v>Not applied — review required</x:v>
      </x:c>
    </x:row>
    <x:row r="119">
      <x:c r="A119" s="71" t="str">
        <x:v>MRV-1A2A227917</x:v>
      </x:c>
      <x:c r="B119" s="71" t="str">
        <x:v>Trips</x:v>
      </x:c>
      <x:c r="C119" s="71" t="str">
        <x:v>Dashboard</x:v>
      </x:c>
      <x:c r="D119" s="71" t="str">
        <x:v>/journey/dashboard/dashboard-client</x:v>
      </x:c>
      <x:c r="E119" s="71" t="str">
        <x:v>DashboardClient</x:v>
      </x:c>
      <x:c r="F119" s="71" t="str">
        <x:v>Default</x:v>
      </x:c>
      <x:c r="G119" s="71" t="str">
        <x:v>Label</x:v>
      </x:c>
      <x:c r="H119" s="71" t="str">
        <x:v>Trip not synced yet</x:v>
      </x:c>
      <x:c r="I119" s="71" t="str">
        <x:v>Trip not synced yet</x:v>
      </x:c>
      <x:c r="J119" s="73"/>
      <x:c r="K119" s="74" t="str">
        <x:f>IF(J119="",H119,IF(J119=I119,I119,J119))</x:f>
        <x:v>Trip not synced yet</x:v>
      </x:c>
      <x:c r="L119" s="74" t="str">
        <x:f>IF(J119="","Keep current",IF(J119=I119,"Use suggestion","Custom"))</x:f>
        <x:v>Keep current</x:v>
      </x:c>
      <x:c r="M119" s="71" t="str">
        <x:v>Pending review</x:v>
      </x:c>
      <x:c r="N119" s="71" t="str">
        <x:v>Normal</x:v>
      </x:c>
      <x:c r="O119" s="71" t="str">
        <x:v>app/journey/dashboard/dashboard-client.tsx</x:v>
      </x:c>
      <x:c r="P119" s="71" t="str">
        <x:v>DashboardClient:369</x:v>
      </x:c>
      <x:c r="Q119" s="71" t="str">
        <x:v>EN</x:v>
      </x:c>
      <x:c r="R119" s="71" t="str">
        <x:v>Already clear and direct; suggested wording intentionally keeps the current copy. Duplicate wording: appears 2 times. Terminology watch: ‘trip’ and ‘journey’ both describe the same plan. Terminology watch: ‘stops’, ‘destinations’ and ‘places’ overlap.</x:v>
      </x:c>
      <x:c r="S119" s="75" t="str">
        <x:v>Not applied — review required</x:v>
      </x:c>
    </x:row>
    <x:row r="120">
      <x:c r="A120" s="71" t="str">
        <x:v>MRV-5C8E32F737</x:v>
      </x:c>
      <x:c r="B120" s="71" t="str">
        <x:v>Trips</x:v>
      </x:c>
      <x:c r="C120" s="71" t="str">
        <x:v>Dashboard</x:v>
      </x:c>
      <x:c r="D120" s="71" t="str">
        <x:v>/journey/dashboard/dashboard-client</x:v>
      </x:c>
      <x:c r="E120" s="71" t="str">
        <x:v>DashboardClient</x:v>
      </x:c>
      <x:c r="F120" s="71" t="str">
        <x:v>Default</x:v>
      </x:c>
      <x:c r="G120" s="71" t="str">
        <x:v>Body copy</x:v>
      </x:c>
      <x:c r="H120" s="71" t="str">
        <x:v>La copia de este dispositivo no se ha eliminado.</x:v>
      </x:c>
      <x:c r="I120" s="71" t="str">
        <x:v>La copia de este dispositivo no se ha eliminado.</x:v>
      </x:c>
      <x:c r="J120" s="73"/>
      <x:c r="K120" s="74" t="str">
        <x:f>IF(J120="",H120,IF(J120=I120,I120,J120))</x:f>
        <x:v>La copia de este dispositivo no se ha eliminado.</x:v>
      </x:c>
      <x:c r="L120" s="74" t="str">
        <x:f>IF(J120="","Keep current",IF(J120=I120,"Use suggestion","Custom"))</x:f>
        <x:v>Keep current</x:v>
      </x:c>
      <x:c r="M120" s="71" t="str">
        <x:v>Pending review</x:v>
      </x:c>
      <x:c r="N120" s="71" t="str">
        <x:v>Normal</x:v>
      </x:c>
      <x:c r="O120" s="71" t="str">
        <x:v>app/journey/dashboard/dashboard-client.tsx</x:v>
      </x:c>
      <x:c r="P120" s="71" t="str">
        <x:v>DashboardClient:370</x:v>
      </x:c>
      <x:c r="Q120" s="71" t="str">
        <x:v>ES</x:v>
      </x:c>
      <x:c r="R120" s="71" t="str">
        <x:v>Already clear and direct; suggested wording intentionally keeps the current copy.</x:v>
      </x:c>
      <x:c r="S120" s="75" t="str">
        <x:v>Not applied — review required</x:v>
      </x:c>
    </x:row>
    <x:row r="121">
      <x:c r="A121" s="71" t="str">
        <x:v>MRV-A3A0EAF13D</x:v>
      </x:c>
      <x:c r="B121" s="71" t="str">
        <x:v>Trips</x:v>
      </x:c>
      <x:c r="C121" s="71" t="str">
        <x:v>Dashboard</x:v>
      </x:c>
      <x:c r="D121" s="71" t="str">
        <x:v>/journey/dashboard/dashboard-client</x:v>
      </x:c>
      <x:c r="E121" s="71" t="str">
        <x:v>DashboardClient</x:v>
      </x:c>
      <x:c r="F121" s="71" t="str">
        <x:v>Default</x:v>
      </x:c>
      <x:c r="G121" s="71" t="str">
        <x:v>Body copy</x:v>
      </x:c>
      <x:c r="H121" s="71" t="str">
        <x:v>The copy on this device has not been removed.</x:v>
      </x:c>
      <x:c r="I121" s="71" t="str">
        <x:v>The copy on this device has not been removed.</x:v>
      </x:c>
      <x:c r="J121" s="73"/>
      <x:c r="K121" s="74" t="str">
        <x:f>IF(J121="",H121,IF(J121=I121,I121,J121))</x:f>
        <x:v>The copy on this device has not been removed.</x:v>
      </x:c>
      <x:c r="L121" s="74" t="str">
        <x:f>IF(J121="","Keep current",IF(J121=I121,"Use suggestion","Custom"))</x:f>
        <x:v>Keep current</x:v>
      </x:c>
      <x:c r="M121" s="71" t="str">
        <x:v>Pending review</x:v>
      </x:c>
      <x:c r="N121" s="71" t="str">
        <x:v>Normal</x:v>
      </x:c>
      <x:c r="O121" s="71" t="str">
        <x:v>app/journey/dashboard/dashboard-client.tsx</x:v>
      </x:c>
      <x:c r="P121" s="71" t="str">
        <x:v>DashboardClient:370</x:v>
      </x:c>
      <x:c r="Q121" s="71" t="str">
        <x:v>EN</x:v>
      </x:c>
      <x:c r="R121" s="71" t="str">
        <x:v>Already clear and direct; suggested wording intentionally keeps the current copy.</x:v>
      </x:c>
      <x:c r="S121" s="75" t="str">
        <x:v>Not applied — review required</x:v>
      </x:c>
    </x:row>
    <x:row r="122">
      <x:c r="A122" s="71" t="str">
        <x:v>MRV-6D37B21E06</x:v>
      </x:c>
      <x:c r="B122" s="71" t="str">
        <x:v>Trips</x:v>
      </x:c>
      <x:c r="C122" s="71" t="str">
        <x:v>Dashboard</x:v>
      </x:c>
      <x:c r="D122" s="71" t="str">
        <x:v>/journey/dashboard/dashboard-client</x:v>
      </x:c>
      <x:c r="E122" s="71" t="str">
        <x:v>DashboardClient</x:v>
      </x:c>
      <x:c r="F122" s="71" t="str">
        <x:v>Failure / recovery</x:v>
      </x:c>
      <x:c r="G122" s="71" t="str">
        <x:v>Label</x:v>
      </x:c>
      <x:c r="H122" s="71" t="str">
        <x:v>Reintentar</x:v>
      </x:c>
      <x:c r="I122" s="71" t="str">
        <x:v>Reintentar</x:v>
      </x:c>
      <x:c r="J122" s="73"/>
      <x:c r="K122" s="74" t="str">
        <x:f>IF(J122="",H122,IF(J122=I122,I122,J122))</x:f>
        <x:v>Reintentar</x:v>
      </x:c>
      <x:c r="L122" s="74" t="str">
        <x:f>IF(J122="","Keep current",IF(J122=I122,"Use suggestion","Custom"))</x:f>
        <x:v>Keep current</x:v>
      </x:c>
      <x:c r="M122" s="71" t="str">
        <x:v>Pending review</x:v>
      </x:c>
      <x:c r="N122" s="71" t="str">
        <x:v>High</x:v>
      </x:c>
      <x:c r="O122" s="71" t="str">
        <x:v>app/journey/dashboard/dashboard-client.tsx</x:v>
      </x:c>
      <x:c r="P122" s="71" t="str">
        <x:v>DashboardClient:373</x:v>
      </x:c>
      <x:c r="Q122" s="71" t="str">
        <x:v>ES</x:v>
      </x:c>
      <x:c r="R122" s="71" t="str">
        <x:v>Already clear and direct; suggested wording intentionally keeps the current copy. Duplicate wording: appears 4 times.</x:v>
      </x:c>
      <x:c r="S122" s="75" t="str">
        <x:v>Not applied — review required</x:v>
      </x:c>
    </x:row>
    <x:row r="123">
      <x:c r="A123" s="71" t="str">
        <x:v>MRV-B5D3E7C994</x:v>
      </x:c>
      <x:c r="B123" s="71" t="str">
        <x:v>Trips</x:v>
      </x:c>
      <x:c r="C123" s="71" t="str">
        <x:v>Dashboard</x:v>
      </x:c>
      <x:c r="D123" s="71" t="str">
        <x:v>/journey/dashboard/dashboard-client</x:v>
      </x:c>
      <x:c r="E123" s="71" t="str">
        <x:v>DashboardClient</x:v>
      </x:c>
      <x:c r="F123" s="71" t="str">
        <x:v>Failure / recovery</x:v>
      </x:c>
      <x:c r="G123" s="71" t="str">
        <x:v>CTA / button</x:v>
      </x:c>
      <x:c r="H123" s="71" t="str">
        <x:v>Try again</x:v>
      </x:c>
      <x:c r="I123" s="71" t="str">
        <x:v>Try again</x:v>
      </x:c>
      <x:c r="J123" s="73"/>
      <x:c r="K123" s="74" t="str">
        <x:f>IF(J123="",H123,IF(J123=I123,I123,J123))</x:f>
        <x:v>Try again</x:v>
      </x:c>
      <x:c r="L123" s="74" t="str">
        <x:f>IF(J123="","Keep current",IF(J123=I123,"Use suggestion","Custom"))</x:f>
        <x:v>Keep current</x:v>
      </x:c>
      <x:c r="M123" s="71" t="str">
        <x:v>Pending review</x:v>
      </x:c>
      <x:c r="N123" s="71" t="str">
        <x:v>High</x:v>
      </x:c>
      <x:c r="O123" s="71" t="str">
        <x:v>app/journey/dashboard/dashboard-client.tsx</x:v>
      </x:c>
      <x:c r="P123" s="71" t="str">
        <x:v>DashboardClient:373</x:v>
      </x:c>
      <x:c r="Q123" s="71" t="str">
        <x:v>EN</x:v>
      </x:c>
      <x:c r="R123" s="71" t="str">
        <x:v>Already clear and direct; suggested wording intentionally keeps the current copy. Duplicate wording: appears 7 times.</x:v>
      </x:c>
      <x:c r="S123" s="75" t="str">
        <x:v>Not applied — review required</x:v>
      </x:c>
    </x:row>
    <x:row r="124">
      <x:c r="A124" s="71" t="str">
        <x:v>MRV-B4298F4E98</x:v>
      </x:c>
      <x:c r="B124" s="71" t="str">
        <x:v>Trips</x:v>
      </x:c>
      <x:c r="C124" s="71" t="str">
        <x:v>Dashboard</x:v>
      </x:c>
      <x:c r="D124" s="71" t="str">
        <x:v>/journey/dashboard/dashboard-client</x:v>
      </x:c>
      <x:c r="E124" s="71" t="str">
        <x:v>DashboardClient</x:v>
      </x:c>
      <x:c r="F124" s="71" t="str">
        <x:v>Default</x:v>
      </x:c>
      <x:c r="G124" s="71" t="str">
        <x:v>Label</x:v>
      </x:c>
      <x:c r="H124" s="71" t="str">
        <x:v>Cambiar de cuenta</x:v>
      </x:c>
      <x:c r="I124" s="71" t="str">
        <x:v>Cambiar de cuenta</x:v>
      </x:c>
      <x:c r="J124" s="73"/>
      <x:c r="K124" s="74" t="str">
        <x:f>IF(J124="",H124,IF(J124=I124,I124,J124))</x:f>
        <x:v>Cambiar de cuenta</x:v>
      </x:c>
      <x:c r="L124" s="74" t="str">
        <x:f>IF(J124="","Keep current",IF(J124=I124,"Use suggestion","Custom"))</x:f>
        <x:v>Keep current</x:v>
      </x:c>
      <x:c r="M124" s="71" t="str">
        <x:v>Pending review</x:v>
      </x:c>
      <x:c r="N124" s="71" t="str">
        <x:v>Normal</x:v>
      </x:c>
      <x:c r="O124" s="71" t="str">
        <x:v>app/journey/dashboard/dashboard-client.tsx</x:v>
      </x:c>
      <x:c r="P124" s="71" t="str">
        <x:v>DashboardClient:374</x:v>
      </x:c>
      <x:c r="Q124" s="71" t="str">
        <x:v>ES</x:v>
      </x:c>
      <x:c r="R124" s="71" t="str">
        <x:v>Already clear and direct; suggested wording intentionally keeps the current copy.</x:v>
      </x:c>
      <x:c r="S124" s="75" t="str">
        <x:v>Not applied — review required</x:v>
      </x:c>
    </x:row>
    <x:row r="125">
      <x:c r="A125" s="71" t="str">
        <x:v>MRV-2C9AEB1873</x:v>
      </x:c>
      <x:c r="B125" s="71" t="str">
        <x:v>Trips</x:v>
      </x:c>
      <x:c r="C125" s="71" t="str">
        <x:v>Dashboard</x:v>
      </x:c>
      <x:c r="D125" s="71" t="str">
        <x:v>/journey/dashboard/dashboard-client</x:v>
      </x:c>
      <x:c r="E125" s="71" t="str">
        <x:v>DashboardClient</x:v>
      </x:c>
      <x:c r="F125" s="71" t="str">
        <x:v>Default</x:v>
      </x:c>
      <x:c r="G125" s="71" t="str">
        <x:v>Label</x:v>
      </x:c>
      <x:c r="H125" s="71" t="str">
        <x:v>Switch account</x:v>
      </x:c>
      <x:c r="I125" s="71" t="str">
        <x:v>Switch account</x:v>
      </x:c>
      <x:c r="J125" s="73"/>
      <x:c r="K125" s="74" t="str">
        <x:f>IF(J125="",H125,IF(J125=I125,I125,J125))</x:f>
        <x:v>Switch account</x:v>
      </x:c>
      <x:c r="L125" s="74" t="str">
        <x:f>IF(J125="","Keep current",IF(J125=I125,"Use suggestion","Custom"))</x:f>
        <x:v>Keep current</x:v>
      </x:c>
      <x:c r="M125" s="71" t="str">
        <x:v>Pending review</x:v>
      </x:c>
      <x:c r="N125" s="71" t="str">
        <x:v>Normal</x:v>
      </x:c>
      <x:c r="O125" s="71" t="str">
        <x:v>app/journey/dashboard/dashboard-client.tsx</x:v>
      </x:c>
      <x:c r="P125" s="71" t="str">
        <x:v>DashboardClient:374</x:v>
      </x:c>
      <x:c r="Q125" s="71" t="str">
        <x:v>EN</x:v>
      </x:c>
      <x:c r="R125" s="71" t="str">
        <x:v>Already clear and direct; suggested wording intentionally keeps the current copy.</x:v>
      </x:c>
      <x:c r="S125" s="75" t="str">
        <x:v>Not applied — review required</x:v>
      </x:c>
    </x:row>
    <x:row r="126">
      <x:c r="A126" s="71" t="str">
        <x:v>MRV-DC0C44CDC0</x:v>
      </x:c>
      <x:c r="B126" s="71" t="str">
        <x:v>Trips</x:v>
      </x:c>
      <x:c r="C126" s="71" t="str">
        <x:v>Dashboard</x:v>
      </x:c>
      <x:c r="D126" s="71" t="str">
        <x:v>/journey/dashboard/dashboard-client</x:v>
      </x:c>
      <x:c r="E126" s="71" t="str">
        <x:v>DashboardClient</x:v>
      </x:c>
      <x:c r="F126" s="71" t="str">
        <x:v>Default</x:v>
      </x:c>
      <x:c r="G126" s="71" t="str">
        <x:v>Label</x:v>
      </x:c>
      <x:c r="H126" s="71" t="str">
        <x:v>Abrir copia en la nube</x:v>
      </x:c>
      <x:c r="I126" s="71" t="str">
        <x:v>Abrir copia en la nube</x:v>
      </x:c>
      <x:c r="J126" s="73"/>
      <x:c r="K126" s="74" t="str">
        <x:f>IF(J126="",H126,IF(J126=I126,I126,J126))</x:f>
        <x:v>Abrir copia en la nube</x:v>
      </x:c>
      <x:c r="L126" s="74" t="str">
        <x:f>IF(J126="","Keep current",IF(J126=I126,"Use suggestion","Custom"))</x:f>
        <x:v>Keep current</x:v>
      </x:c>
      <x:c r="M126" s="71" t="str">
        <x:v>Pending review</x:v>
      </x:c>
      <x:c r="N126" s="71" t="str">
        <x:v>Normal</x:v>
      </x:c>
      <x:c r="O126" s="71" t="str">
        <x:v>app/journey/dashboard/dashboard-client.tsx</x:v>
      </x:c>
      <x:c r="P126" s="71" t="str">
        <x:v>DashboardClient:374</x:v>
      </x:c>
      <x:c r="Q126" s="71" t="str">
        <x:v>ES</x:v>
      </x:c>
      <x:c r="R126" s="71" t="str">
        <x:v>Already clear and direct; suggested wording intentionally keeps the current copy. Duplicate wording: appears 2 times.</x:v>
      </x:c>
      <x:c r="S126" s="75" t="str">
        <x:v>Not applied — review required</x:v>
      </x:c>
    </x:row>
    <x:row r="127">
      <x:c r="A127" s="71" t="str">
        <x:v>MRV-8F9F1C3D2B</x:v>
      </x:c>
      <x:c r="B127" s="71" t="str">
        <x:v>Trips</x:v>
      </x:c>
      <x:c r="C127" s="71" t="str">
        <x:v>Dashboard</x:v>
      </x:c>
      <x:c r="D127" s="71" t="str">
        <x:v>/journey/dashboard/dashboard-client</x:v>
      </x:c>
      <x:c r="E127" s="71" t="str">
        <x:v>DashboardClient</x:v>
      </x:c>
      <x:c r="F127" s="71" t="str">
        <x:v>Default</x:v>
      </x:c>
      <x:c r="G127" s="71" t="str">
        <x:v>Label</x:v>
      </x:c>
      <x:c r="H127" s="71" t="str">
        <x:v>Abrir copia del dispositivo</x:v>
      </x:c>
      <x:c r="I127" s="71" t="str">
        <x:v>Abrir copia del dispositivo</x:v>
      </x:c>
      <x:c r="J127" s="73"/>
      <x:c r="K127" s="74" t="str">
        <x:f>IF(J127="",H127,IF(J127=I127,I127,J127))</x:f>
        <x:v>Abrir copia del dispositivo</x:v>
      </x:c>
      <x:c r="L127" s="74" t="str">
        <x:f>IF(J127="","Keep current",IF(J127=I127,"Use suggestion","Custom"))</x:f>
        <x:v>Keep current</x:v>
      </x:c>
      <x:c r="M127" s="71" t="str">
        <x:v>Pending review</x:v>
      </x:c>
      <x:c r="N127" s="71" t="str">
        <x:v>Normal</x:v>
      </x:c>
      <x:c r="O127" s="71" t="str">
        <x:v>app/journey/dashboard/dashboard-client.tsx</x:v>
      </x:c>
      <x:c r="P127" s="71" t="str">
        <x:v>DashboardClient:374</x:v>
      </x:c>
      <x:c r="Q127" s="71" t="str">
        <x:v>ES</x:v>
      </x:c>
      <x:c r="R127" s="71" t="str">
        <x:v>Already clear and direct; suggested wording intentionally keeps the current copy. Duplicate wording: appears 3 times.</x:v>
      </x:c>
      <x:c r="S127" s="75" t="str">
        <x:v>Not applied — review required</x:v>
      </x:c>
    </x:row>
    <x:row r="128">
      <x:c r="A128" s="71" t="str">
        <x:v>MRV-A8961AC470</x:v>
      </x:c>
      <x:c r="B128" s="71" t="str">
        <x:v>Trips</x:v>
      </x:c>
      <x:c r="C128" s="71" t="str">
        <x:v>Dashboard</x:v>
      </x:c>
      <x:c r="D128" s="71" t="str">
        <x:v>/journey/dashboard/dashboard-client</x:v>
      </x:c>
      <x:c r="E128" s="71" t="str">
        <x:v>DashboardClient</x:v>
      </x:c>
      <x:c r="F128" s="71" t="str">
        <x:v>Default</x:v>
      </x:c>
      <x:c r="G128" s="71" t="str">
        <x:v>Label</x:v>
      </x:c>
      <x:c r="H128" s="71" t="str">
        <x:v>Continúa este viaje</x:v>
      </x:c>
      <x:c r="I128" s="71" t="str">
        <x:v>Continúa este viaje</x:v>
      </x:c>
      <x:c r="J128" s="73"/>
      <x:c r="K128" s="74" t="str">
        <x:f>IF(J128="",H128,IF(J128=I128,I128,J128))</x:f>
        <x:v>Continúa este viaje</x:v>
      </x:c>
      <x:c r="L128" s="74" t="str">
        <x:f>IF(J128="","Keep current",IF(J128=I128,"Use suggestion","Custom"))</x:f>
        <x:v>Keep current</x:v>
      </x:c>
      <x:c r="M128" s="71" t="str">
        <x:v>Pending review</x:v>
      </x:c>
      <x:c r="N128" s="71" t="str">
        <x:v>Normal</x:v>
      </x:c>
      <x:c r="O128" s="71" t="str">
        <x:v>app/journey/dashboard/dashboard-client.tsx</x:v>
      </x:c>
      <x:c r="P128" s="71" t="str">
        <x:v>DashboardClient:381</x:v>
      </x:c>
      <x:c r="Q128" s="71" t="str">
        <x:v>ES</x:v>
      </x:c>
      <x:c r="R128" s="71" t="str">
        <x:v>Already clear and direct; suggested wording intentionally keeps the current copy.</x:v>
      </x:c>
      <x:c r="S128" s="75" t="str">
        <x:v>Not applied — review required</x:v>
      </x:c>
    </x:row>
    <x:row r="129">
      <x:c r="A129" s="71" t="str">
        <x:v>MRV-B41A3FA713</x:v>
      </x:c>
      <x:c r="B129" s="71" t="str">
        <x:v>Trips</x:v>
      </x:c>
      <x:c r="C129" s="71" t="str">
        <x:v>Dashboard</x:v>
      </x:c>
      <x:c r="D129" s="71" t="str">
        <x:v>/journey/dashboard/dashboard-client</x:v>
      </x:c>
      <x:c r="E129" s="71" t="str">
        <x:v>DashboardClient</x:v>
      </x:c>
      <x:c r="F129" s="71" t="str">
        <x:v>Default</x:v>
      </x:c>
      <x:c r="G129" s="71" t="str">
        <x:v>CTA / button</x:v>
      </x:c>
      <x:c r="H129" s="71" t="str">
        <x:v>Continue this trip</x:v>
      </x:c>
      <x:c r="I129" s="71" t="str">
        <x:v>Continue this trip</x:v>
      </x:c>
      <x:c r="J129" s="73"/>
      <x:c r="K129" s="74" t="str">
        <x:f>IF(J129="",H129,IF(J129=I129,I129,J129))</x:f>
        <x:v>Continue this trip</x:v>
      </x:c>
      <x:c r="L129" s="74" t="str">
        <x:f>IF(J129="","Keep current",IF(J129=I129,"Use suggestion","Custom"))</x:f>
        <x:v>Keep current</x:v>
      </x:c>
      <x:c r="M129" s="71" t="str">
        <x:v>Pending review</x:v>
      </x:c>
      <x:c r="N129" s="71" t="str">
        <x:v>Medium</x:v>
      </x:c>
      <x:c r="O129" s="71" t="str">
        <x:v>app/journey/dashboard/dashboard-client.tsx</x:v>
      </x:c>
      <x:c r="P129" s="71" t="str">
        <x:v>DashboardClient:381</x:v>
      </x:c>
      <x:c r="Q129" s="71" t="str">
        <x:v>EN</x:v>
      </x:c>
      <x:c r="R129" s="71" t="str">
        <x:v>Already clear and direct; suggested wording intentionally keeps the current copy. Terminology watch: ‘trip’ and ‘journey’ both describe the same plan. Terminology watch: ‘stops’, ‘destinations’ and ‘places’ overlap.</x:v>
      </x:c>
      <x:c r="S129" s="75" t="str">
        <x:v>Not applied — review required</x:v>
      </x:c>
    </x:row>
    <x:row r="130">
      <x:c r="A130" s="71" t="str">
        <x:v>MRV-8EF8B9F296</x:v>
      </x:c>
      <x:c r="B130" s="71" t="str">
        <x:v>Trips</x:v>
      </x:c>
      <x:c r="C130" s="71" t="str">
        <x:v>Dashboard</x:v>
      </x:c>
      <x:c r="D130" s="71" t="str">
        <x:v>/journey/dashboard/dashboard-client</x:v>
      </x:c>
      <x:c r="E130" s="71" t="str">
        <x:v>DashboardClient</x:v>
      </x:c>
      <x:c r="F130" s="71" t="str">
        <x:v>Default</x:v>
      </x:c>
      <x:c r="G130" s="71" t="str">
        <x:v>Body copy</x:v>
      </x:c>
      <x:c r="H130" s="71" t="str">
        <x:v>Vuelve al plan y continúa desde donde lo dejaste.</x:v>
      </x:c>
      <x:c r="I130" s="71" t="str">
        <x:v>Vuelve al plan y continúa desde donde lo dejaste.</x:v>
      </x:c>
      <x:c r="J130" s="73"/>
      <x:c r="K130" s="74" t="str">
        <x:f>IF(J130="",H130,IF(J130=I130,I130,J130))</x:f>
        <x:v>Vuelve al plan y continúa desde donde lo dejaste.</x:v>
      </x:c>
      <x:c r="L130" s="74" t="str">
        <x:f>IF(J130="","Keep current",IF(J130=I130,"Use suggestion","Custom"))</x:f>
        <x:v>Keep current</x:v>
      </x:c>
      <x:c r="M130" s="71" t="str">
        <x:v>Pending review</x:v>
      </x:c>
      <x:c r="N130" s="71" t="str">
        <x:v>Normal</x:v>
      </x:c>
      <x:c r="O130" s="71" t="str">
        <x:v>app/journey/dashboard/dashboard-client.tsx</x:v>
      </x:c>
      <x:c r="P130" s="71" t="str">
        <x:v>DashboardClient:384</x:v>
      </x:c>
      <x:c r="Q130" s="71" t="str">
        <x:v>ES</x:v>
      </x:c>
      <x:c r="R130" s="71" t="str">
        <x:v>Already clear and direct; suggested wording intentionally keeps the current copy.</x:v>
      </x:c>
      <x:c r="S130" s="75" t="str">
        <x:v>Not applied — review required</x:v>
      </x:c>
    </x:row>
    <x:row r="131">
      <x:c r="A131" s="71" t="str">
        <x:v>MRV-C4B7ED4AF7</x:v>
      </x:c>
      <x:c r="B131" s="71" t="str">
        <x:v>Trips</x:v>
      </x:c>
      <x:c r="C131" s="71" t="str">
        <x:v>Dashboard</x:v>
      </x:c>
      <x:c r="D131" s="71" t="str">
        <x:v>/journey/dashboard/dashboard-client</x:v>
      </x:c>
      <x:c r="E131" s="71" t="str">
        <x:v>DashboardClient</x:v>
      </x:c>
      <x:c r="F131" s="71" t="str">
        <x:v>Default</x:v>
      </x:c>
      <x:c r="G131" s="71" t="str">
        <x:v>Body copy</x:v>
      </x:c>
      <x:c r="H131" s="71" t="str">
        <x:v>Pick up the plan where you left it and keep shaping the details.</x:v>
      </x:c>
      <x:c r="I131" s="71" t="str">
        <x:v>Pick up the plan where you left it and keep shaping the details.</x:v>
      </x:c>
      <x:c r="J131" s="73"/>
      <x:c r="K131" s="74" t="str">
        <x:f>IF(J131="",H131,IF(J131=I131,I131,J131))</x:f>
        <x:v>Pick up the plan where you left it and keep shaping the details.</x:v>
      </x:c>
      <x:c r="L131" s="74" t="str">
        <x:f>IF(J131="","Keep current",IF(J131=I131,"Use suggestion","Custom"))</x:f>
        <x:v>Keep current</x:v>
      </x:c>
      <x:c r="M131" s="71" t="str">
        <x:v>Pending review</x:v>
      </x:c>
      <x:c r="N131" s="71" t="str">
        <x:v>Normal</x:v>
      </x:c>
      <x:c r="O131" s="71" t="str">
        <x:v>app/journey/dashboard/dashboard-client.tsx</x:v>
      </x:c>
      <x:c r="P131" s="71" t="str">
        <x:v>DashboardClient:384</x:v>
      </x:c>
      <x:c r="Q131" s="71" t="str">
        <x:v>EN</x:v>
      </x:c>
      <x:c r="R131" s="71" t="str">
        <x:v>Already clear and direct; suggested wording intentionally keeps the current copy.</x:v>
      </x:c>
      <x:c r="S131" s="75" t="str">
        <x:v>Not applied — review required</x:v>
      </x:c>
    </x:row>
    <x:row r="132">
      <x:c r="A132" s="71" t="str">
        <x:v>MRV-DB6052CCB8</x:v>
      </x:c>
      <x:c r="B132" s="71" t="str">
        <x:v>Trips</x:v>
      </x:c>
      <x:c r="C132" s="71" t="str">
        <x:v>Dashboard</x:v>
      </x:c>
      <x:c r="D132" s="71" t="str">
        <x:v>/journey/dashboard/dashboard-client</x:v>
      </x:c>
      <x:c r="E132" s="71" t="str">
        <x:v>DashboardClient</x:v>
      </x:c>
      <x:c r="F132" s="71" t="str">
        <x:v>Default</x:v>
      </x:c>
      <x:c r="G132" s="71" t="str">
        <x:v>Label</x:v>
      </x:c>
      <x:c r="H132" s="71" t="str">
        <x:v>Continuar planeando</x:v>
      </x:c>
      <x:c r="I132" s="71" t="str">
        <x:v>Continuar planeando</x:v>
      </x:c>
      <x:c r="J132" s="73"/>
      <x:c r="K132" s="74" t="str">
        <x:f>IF(J132="",H132,IF(J132=I132,I132,J132))</x:f>
        <x:v>Continuar planeando</x:v>
      </x:c>
      <x:c r="L132" s="74" t="str">
        <x:f>IF(J132="","Keep current",IF(J132=I132,"Use suggestion","Custom"))</x:f>
        <x:v>Keep current</x:v>
      </x:c>
      <x:c r="M132" s="71" t="str">
        <x:v>Pending review</x:v>
      </x:c>
      <x:c r="N132" s="71" t="str">
        <x:v>Normal</x:v>
      </x:c>
      <x:c r="O132" s="71" t="str">
        <x:v>app/journey/dashboard/dashboard-client.tsx</x:v>
      </x:c>
      <x:c r="P132" s="71" t="str">
        <x:v>DashboardClient:387</x:v>
      </x:c>
      <x:c r="Q132" s="71" t="str">
        <x:v>ES</x:v>
      </x:c>
      <x:c r="R132" s="71" t="str">
        <x:v>Already clear and direct; suggested wording intentionally keeps the current copy.</x:v>
      </x:c>
      <x:c r="S132" s="75" t="str">
        <x:v>Not applied — review required</x:v>
      </x:c>
    </x:row>
    <x:row r="133">
      <x:c r="A133" s="71" t="str">
        <x:v>MRV-8E2AC68B31</x:v>
      </x:c>
      <x:c r="B133" s="71" t="str">
        <x:v>Trips</x:v>
      </x:c>
      <x:c r="C133" s="71" t="str">
        <x:v>Dashboard</x:v>
      </x:c>
      <x:c r="D133" s="71" t="str">
        <x:v>/journey/dashboard/dashboard-client</x:v>
      </x:c>
      <x:c r="E133" s="71" t="str">
        <x:v>DashboardClient</x:v>
      </x:c>
      <x:c r="F133" s="71" t="str">
        <x:v>Default</x:v>
      </x:c>
      <x:c r="G133" s="71" t="str">
        <x:v>CTA / button</x:v>
      </x:c>
      <x:c r="H133" s="71" t="str">
        <x:v>Continue planning</x:v>
      </x:c>
      <x:c r="I133" s="71" t="str">
        <x:v>Continue planning</x:v>
      </x:c>
      <x:c r="J133" s="73"/>
      <x:c r="K133" s="74" t="str">
        <x:f>IF(J133="",H133,IF(J133=I133,I133,J133))</x:f>
        <x:v>Continue planning</x:v>
      </x:c>
      <x:c r="L133" s="74" t="str">
        <x:f>IF(J133="","Keep current",IF(J133=I133,"Use suggestion","Custom"))</x:f>
        <x:v>Keep current</x:v>
      </x:c>
      <x:c r="M133" s="71" t="str">
        <x:v>Pending review</x:v>
      </x:c>
      <x:c r="N133" s="71" t="str">
        <x:v>Medium</x:v>
      </x:c>
      <x:c r="O133" s="71" t="str">
        <x:v>app/journey/dashboard/dashboard-client.tsx</x:v>
      </x:c>
      <x:c r="P133" s="71" t="str">
        <x:v>DashboardClient:387</x:v>
      </x:c>
      <x:c r="Q133" s="71" t="str">
        <x:v>EN</x:v>
      </x:c>
      <x:c r="R133" s="71" t="str">
        <x:v>Already clear and direct; suggested wording intentionally keeps the current copy.</x:v>
      </x:c>
      <x:c r="S133" s="75" t="str">
        <x:v>Not applied — review required</x:v>
      </x:c>
    </x:row>
    <x:row r="134">
      <x:c r="A134" s="71" t="str">
        <x:v>MRV-85BAD4ABDD</x:v>
      </x:c>
      <x:c r="B134" s="71" t="str">
        <x:v>Trips</x:v>
      </x:c>
      <x:c r="C134" s="71" t="str">
        <x:v>Dashboard</x:v>
      </x:c>
      <x:c r="D134" s="71" t="str">
        <x:v>/journey/dashboard/dashboard-client</x:v>
      </x:c>
      <x:c r="E134" s="71" t="str">
        <x:v>DashboardClient</x:v>
      </x:c>
      <x:c r="F134" s="71" t="str">
        <x:v>Default</x:v>
      </x:c>
      <x:c r="G134" s="71" t="str">
        <x:v>Label</x:v>
      </x:c>
      <x:c r="H134" s="71" t="str">
        <x:v>Ver detalles</x:v>
      </x:c>
      <x:c r="I134" s="71" t="str">
        <x:v>Ver detalles</x:v>
      </x:c>
      <x:c r="J134" s="73"/>
      <x:c r="K134" s="74" t="str">
        <x:f>IF(J134="",H134,IF(J134=I134,I134,J134))</x:f>
        <x:v>Ver detalles</x:v>
      </x:c>
      <x:c r="L134" s="74" t="str">
        <x:f>IF(J134="","Keep current",IF(J134=I134,"Use suggestion","Custom"))</x:f>
        <x:v>Keep current</x:v>
      </x:c>
      <x:c r="M134" s="71" t="str">
        <x:v>Pending review</x:v>
      </x:c>
      <x:c r="N134" s="71" t="str">
        <x:v>Normal</x:v>
      </x:c>
      <x:c r="O134" s="71" t="str">
        <x:v>app/journey/dashboard/dashboard-client.tsx</x:v>
      </x:c>
      <x:c r="P134" s="71" t="str">
        <x:v>DashboardClient:390</x:v>
      </x:c>
      <x:c r="Q134" s="71" t="str">
        <x:v>ES</x:v>
      </x:c>
      <x:c r="R134" s="71" t="str">
        <x:v>Already clear and direct; suggested wording intentionally keeps the current copy. Duplicate wording: appears 2 times.</x:v>
      </x:c>
      <x:c r="S134" s="75" t="str">
        <x:v>Not applied — review required</x:v>
      </x:c>
    </x:row>
    <x:row r="135">
      <x:c r="A135" s="71" t="str">
        <x:v>MRV-BE8E9DC85C</x:v>
      </x:c>
      <x:c r="B135" s="71" t="str">
        <x:v>Trips</x:v>
      </x:c>
      <x:c r="C135" s="71" t="str">
        <x:v>Dashboard</x:v>
      </x:c>
      <x:c r="D135" s="71" t="str">
        <x:v>/journey/dashboard/dashboard-client</x:v>
      </x:c>
      <x:c r="E135" s="71" t="str">
        <x:v>DashboardClient</x:v>
      </x:c>
      <x:c r="F135" s="71" t="str">
        <x:v>Default</x:v>
      </x:c>
      <x:c r="G135" s="71" t="str">
        <x:v>CTA / button</x:v>
      </x:c>
      <x:c r="H135" s="71" t="str">
        <x:v>View trip details</x:v>
      </x:c>
      <x:c r="I135" s="71" t="str">
        <x:v>View trip details</x:v>
      </x:c>
      <x:c r="J135" s="73"/>
      <x:c r="K135" s="74" t="str">
        <x:f>IF(J135="",H135,IF(J135=I135,I135,J135))</x:f>
        <x:v>View trip details</x:v>
      </x:c>
      <x:c r="L135" s="74" t="str">
        <x:f>IF(J135="","Keep current",IF(J135=I135,"Use suggestion","Custom"))</x:f>
        <x:v>Keep current</x:v>
      </x:c>
      <x:c r="M135" s="71" t="str">
        <x:v>Pending review</x:v>
      </x:c>
      <x:c r="N135" s="71" t="str">
        <x:v>Medium</x:v>
      </x:c>
      <x:c r="O135" s="71" t="str">
        <x:v>app/journey/dashboard/dashboard-client.tsx</x:v>
      </x:c>
      <x:c r="P135" s="71" t="str">
        <x:v>DashboardClient:390</x:v>
      </x:c>
      <x:c r="Q135" s="71" t="str">
        <x:v>EN</x:v>
      </x:c>
      <x:c r="R135" s="71" t="str">
        <x:v>Already clear and direct; suggested wording intentionally keeps the current copy. Terminology watch: ‘trip’ and ‘journey’ both describe the same plan. Terminology watch: ‘stops’, ‘destinations’ and ‘places’ overlap.</x:v>
      </x:c>
      <x:c r="S135" s="75" t="str">
        <x:v>Not applied — review required</x:v>
      </x:c>
    </x:row>
    <x:row r="136">
      <x:c r="A136" s="71" t="str">
        <x:v>MRV-F24115C222</x:v>
      </x:c>
      <x:c r="B136" s="71" t="str">
        <x:v>Trips</x:v>
      </x:c>
      <x:c r="C136" s="71" t="str">
        <x:v>Dashboard</x:v>
      </x:c>
      <x:c r="D136" s="71" t="str">
        <x:v>/journey/dashboard/dashboard-client</x:v>
      </x:c>
      <x:c r="E136" s="71" t="str">
        <x:v>DashboardClient</x:v>
      </x:c>
      <x:c r="F136" s="71" t="str">
        <x:v>Default</x:v>
      </x:c>
      <x:c r="G136" s="71" t="str">
        <x:v>Label</x:v>
      </x:c>
      <x:c r="H136" s="71" t="str">
        <x:v>Recuperación</x:v>
      </x:c>
      <x:c r="I136" s="71" t="str">
        <x:v>Recuperación</x:v>
      </x:c>
      <x:c r="J136" s="73"/>
      <x:c r="K136" s="74" t="str">
        <x:f>IF(J136="",H136,IF(J136=I136,I136,J136))</x:f>
        <x:v>Recuperación</x:v>
      </x:c>
      <x:c r="L136" s="74" t="str">
        <x:f>IF(J136="","Keep current",IF(J136=I136,"Use suggestion","Custom"))</x:f>
        <x:v>Keep current</x:v>
      </x:c>
      <x:c r="M136" s="71" t="str">
        <x:v>Pending review</x:v>
      </x:c>
      <x:c r="N136" s="71" t="str">
        <x:v>Normal</x:v>
      </x:c>
      <x:c r="O136" s="71" t="str">
        <x:v>app/journey/dashboard/dashboard-client.tsx</x:v>
      </x:c>
      <x:c r="P136" s="71" t="str">
        <x:v>DashboardClient:407</x:v>
      </x:c>
      <x:c r="Q136" s="71" t="str">
        <x:v>ES</x:v>
      </x:c>
      <x:c r="R136" s="71" t="str">
        <x:v>Already clear and direct; suggested wording intentionally keeps the current copy.</x:v>
      </x:c>
      <x:c r="S136" s="75" t="str">
        <x:v>Not applied — review required</x:v>
      </x:c>
    </x:row>
    <x:row r="137">
      <x:c r="A137" s="71" t="str">
        <x:v>MRV-D395D96D81</x:v>
      </x:c>
      <x:c r="B137" s="71" t="str">
        <x:v>Trips</x:v>
      </x:c>
      <x:c r="C137" s="71" t="str">
        <x:v>Dashboard</x:v>
      </x:c>
      <x:c r="D137" s="71" t="str">
        <x:v>/journey/dashboard/dashboard-client</x:v>
      </x:c>
      <x:c r="E137" s="71" t="str">
        <x:v>DashboardClient</x:v>
      </x:c>
      <x:c r="F137" s="71" t="str">
        <x:v>Default</x:v>
      </x:c>
      <x:c r="G137" s="71" t="str">
        <x:v>Label</x:v>
      </x:c>
      <x:c r="H137" s="71" t="str">
        <x:v>Recovery</x:v>
      </x:c>
      <x:c r="I137" s="71" t="str">
        <x:v>Recovery</x:v>
      </x:c>
      <x:c r="J137" s="73"/>
      <x:c r="K137" s="74" t="str">
        <x:f>IF(J137="",H137,IF(J137=I137,I137,J137))</x:f>
        <x:v>Recovery</x:v>
      </x:c>
      <x:c r="L137" s="74" t="str">
        <x:f>IF(J137="","Keep current",IF(J137=I137,"Use suggestion","Custom"))</x:f>
        <x:v>Keep current</x:v>
      </x:c>
      <x:c r="M137" s="71" t="str">
        <x:v>Pending review</x:v>
      </x:c>
      <x:c r="N137" s="71" t="str">
        <x:v>Normal</x:v>
      </x:c>
      <x:c r="O137" s="71" t="str">
        <x:v>app/journey/dashboard/dashboard-client.tsx</x:v>
      </x:c>
      <x:c r="P137" s="71" t="str">
        <x:v>DashboardClient:407</x:v>
      </x:c>
      <x:c r="Q137" s="71" t="str">
        <x:v>EN</x:v>
      </x:c>
      <x:c r="R137" s="71" t="str">
        <x:v>Already clear and direct; suggested wording intentionally keeps the current copy.</x:v>
      </x:c>
      <x:c r="S137" s="75" t="str">
        <x:v>Not applied — review required</x:v>
      </x:c>
    </x:row>
    <x:row r="138">
      <x:c r="A138" s="71" t="str">
        <x:v>MRV-0375FA42E4</x:v>
      </x:c>
      <x:c r="B138" s="71" t="str">
        <x:v>Trips</x:v>
      </x:c>
      <x:c r="C138" s="71" t="str">
        <x:v>Dashboard</x:v>
      </x:c>
      <x:c r="D138" s="71" t="str">
        <x:v>/journey/dashboard/dashboard-client</x:v>
      </x:c>
      <x:c r="E138" s="71" t="str">
        <x:v>DashboardClient</x:v>
      </x:c>
      <x:c r="F138" s="71" t="str">
        <x:v>Loading / in progress</x:v>
      </x:c>
      <x:c r="G138" s="71" t="str">
        <x:v>Body copy</x:v>
      </x:c>
      <x:c r="H138" s="71" t="str">
        <x:v>Comprobando un viaje guardado en este dispositivo…</x:v>
      </x:c>
      <x:c r="I138" s="71" t="str">
        <x:v>Comprobando un viaje guardado en este dispositivo…</x:v>
      </x:c>
      <x:c r="J138" s="73"/>
      <x:c r="K138" s="74" t="str">
        <x:f>IF(J138="",H138,IF(J138=I138,I138,J138))</x:f>
        <x:v>Comprobando un viaje guardado en este dispositivo…</x:v>
      </x:c>
      <x:c r="L138" s="74" t="str">
        <x:f>IF(J138="","Keep current",IF(J138=I138,"Use suggestion","Custom"))</x:f>
        <x:v>Keep current</x:v>
      </x:c>
      <x:c r="M138" s="71" t="str">
        <x:v>Pending review</x:v>
      </x:c>
      <x:c r="N138" s="71" t="str">
        <x:v>Normal</x:v>
      </x:c>
      <x:c r="O138" s="71" t="str">
        <x:v>app/journey/dashboard/dashboard-client.tsx</x:v>
      </x:c>
      <x:c r="P138" s="71" t="str">
        <x:v>DashboardClient:408</x:v>
      </x:c>
      <x:c r="Q138" s="71" t="str">
        <x:v>ES</x:v>
      </x:c>
      <x:c r="R138" s="71" t="str">
        <x:v>Already clear and direct; suggested wording intentionally keeps the current copy.</x:v>
      </x:c>
      <x:c r="S138" s="75" t="str">
        <x:v>Not applied — review required</x:v>
      </x:c>
    </x:row>
    <x:row r="139">
      <x:c r="A139" s="71" t="str">
        <x:v>MRV-ECBC8E1069</x:v>
      </x:c>
      <x:c r="B139" s="71" t="str">
        <x:v>Trips</x:v>
      </x:c>
      <x:c r="C139" s="71" t="str">
        <x:v>Dashboard</x:v>
      </x:c>
      <x:c r="D139" s="71" t="str">
        <x:v>/journey/dashboard/dashboard-client</x:v>
      </x:c>
      <x:c r="E139" s="71" t="str">
        <x:v>DashboardClient</x:v>
      </x:c>
      <x:c r="F139" s="71" t="str">
        <x:v>Loading / in progress</x:v>
      </x:c>
      <x:c r="G139" s="71" t="str">
        <x:v>CTA / button</x:v>
      </x:c>
      <x:c r="H139" s="71" t="str">
        <x:v>Checking for a saved trip on this device…</x:v>
      </x:c>
      <x:c r="I139" s="71" t="str">
        <x:v>Checking for a saved trip on this device…</x:v>
      </x:c>
      <x:c r="J139" s="73"/>
      <x:c r="K139" s="74" t="str">
        <x:f>IF(J139="",H139,IF(J139=I139,I139,J139))</x:f>
        <x:v>Checking for a saved trip on this device…</x:v>
      </x:c>
      <x:c r="L139" s="74" t="str">
        <x:f>IF(J139="","Keep current",IF(J139=I139,"Use suggestion","Custom"))</x:f>
        <x:v>Keep current</x:v>
      </x:c>
      <x:c r="M139" s="71" t="str">
        <x:v>Pending review</x:v>
      </x:c>
      <x:c r="N139" s="71" t="str">
        <x:v>Medium</x:v>
      </x:c>
      <x:c r="O139" s="71" t="str">
        <x:v>app/journey/dashboard/dashboard-client.tsx</x:v>
      </x:c>
      <x:c r="P139" s="71" t="str">
        <x:v>DashboardClient:408</x:v>
      </x:c>
      <x:c r="Q139" s="71" t="str">
        <x:v>EN</x:v>
      </x:c>
      <x:c r="R139" s="71" t="str">
        <x:v>Already clear and direct; suggested wording intentionally keeps the current copy. Terminology watch: ‘trip’ and ‘journey’ both describe the same plan. Terminology watch: ‘stops’, ‘destinations’ and ‘places’ overlap.</x:v>
      </x:c>
      <x:c r="S139" s="75" t="str">
        <x:v>Not applied — review required</x:v>
      </x:c>
    </x:row>
    <x:row r="140">
      <x:c r="A140" s="71" t="str">
        <x:v>MRV-31F61C6117</x:v>
      </x:c>
      <x:c r="B140" s="71" t="str">
        <x:v>Trips</x:v>
      </x:c>
      <x:c r="C140" s="71" t="str">
        <x:v>Dashboard</x:v>
      </x:c>
      <x:c r="D140" s="71" t="str">
        <x:v>/journey/dashboard/dashboard-client</x:v>
      </x:c>
      <x:c r="E140" s="71" t="str">
        <x:v>DashboardClient</x:v>
      </x:c>
      <x:c r="F140" s="71" t="str">
        <x:v>Empty state</x:v>
      </x:c>
      <x:c r="G140" s="71" t="str">
        <x:v>Body copy</x:v>
      </x:c>
      <x:c r="H140" s="71" t="str">
        <x:v>No crearemos ni ocultaremos nada mientras termina la comprobación.</x:v>
      </x:c>
      <x:c r="I140" s="71" t="str">
        <x:v>No crearemos ni ocultaremos nada mientras termina la comprobación.</x:v>
      </x:c>
      <x:c r="J140" s="73"/>
      <x:c r="K140" s="74" t="str">
        <x:f>IF(J140="",H140,IF(J140=I140,I140,J140))</x:f>
        <x:v>No crearemos ni ocultaremos nada mientras termina la comprobación.</x:v>
      </x:c>
      <x:c r="L140" s="74" t="str">
        <x:f>IF(J140="","Keep current",IF(J140=I140,"Use suggestion","Custom"))</x:f>
        <x:v>Keep current</x:v>
      </x:c>
      <x:c r="M140" s="71" t="str">
        <x:v>Pending review</x:v>
      </x:c>
      <x:c r="N140" s="71" t="str">
        <x:v>Normal</x:v>
      </x:c>
      <x:c r="O140" s="71" t="str">
        <x:v>app/journey/dashboard/dashboard-client.tsx</x:v>
      </x:c>
      <x:c r="P140" s="71" t="str">
        <x:v>DashboardClient:409</x:v>
      </x:c>
      <x:c r="Q140" s="71" t="str">
        <x:v>ES</x:v>
      </x:c>
      <x:c r="R140" s="71" t="str">
        <x:v>Already clear and direct; suggested wording intentionally keeps the current copy.</x:v>
      </x:c>
      <x:c r="S140" s="75" t="str">
        <x:v>Not applied — review required</x:v>
      </x:c>
    </x:row>
    <x:row r="141">
      <x:c r="A141" s="71" t="str">
        <x:v>MRV-FD257A5A47</x:v>
      </x:c>
      <x:c r="B141" s="71" t="str">
        <x:v>Trips</x:v>
      </x:c>
      <x:c r="C141" s="71" t="str">
        <x:v>Dashboard</x:v>
      </x:c>
      <x:c r="D141" s="71" t="str">
        <x:v>/journey/dashboard/dashboard-client</x:v>
      </x:c>
      <x:c r="E141" s="71" t="str">
        <x:v>DashboardClient</x:v>
      </x:c>
      <x:c r="F141" s="71" t="str">
        <x:v>Empty state</x:v>
      </x:c>
      <x:c r="G141" s="71" t="str">
        <x:v>Body copy</x:v>
      </x:c>
      <x:c r="H141" s="71" t="str">
        <x:v>Nothing will be created or hidden while this safety check finishes.</x:v>
      </x:c>
      <x:c r="I141" s="71" t="str">
        <x:v>Nothing will be created or hidden while this safety check finishes.</x:v>
      </x:c>
      <x:c r="J141" s="73"/>
      <x:c r="K141" s="74" t="str">
        <x:f>IF(J141="",H141,IF(J141=I141,I141,J141))</x:f>
        <x:v>Nothing will be created or hidden while this safety check finishes.</x:v>
      </x:c>
      <x:c r="L141" s="74" t="str">
        <x:f>IF(J141="","Keep current",IF(J141=I141,"Use suggestion","Custom"))</x:f>
        <x:v>Keep current</x:v>
      </x:c>
      <x:c r="M141" s="71" t="str">
        <x:v>Pending review</x:v>
      </x:c>
      <x:c r="N141" s="71" t="str">
        <x:v>Normal</x:v>
      </x:c>
      <x:c r="O141" s="71" t="str">
        <x:v>app/journey/dashboard/dashboard-client.tsx</x:v>
      </x:c>
      <x:c r="P141" s="71" t="str">
        <x:v>DashboardClient:409</x:v>
      </x:c>
      <x:c r="Q141" s="71" t="str">
        <x:v>EN</x:v>
      </x:c>
      <x:c r="R141" s="71" t="str">
        <x:v>Already clear and direct; suggested wording intentionally keeps the current copy.</x:v>
      </x:c>
      <x:c r="S141" s="75" t="str">
        <x:v>Not applied — review required</x:v>
      </x:c>
    </x:row>
    <x:row r="142">
      <x:c r="A142" s="71" t="str">
        <x:v>MRV-86A131187B</x:v>
      </x:c>
      <x:c r="B142" s="71" t="str">
        <x:v>Trips</x:v>
      </x:c>
      <x:c r="C142" s="71" t="str">
        <x:v>Dashboard</x:v>
      </x:c>
      <x:c r="D142" s="71" t="str">
        <x:v>/journey/dashboard/dashboard-client</x:v>
      </x:c>
      <x:c r="E142" s="71" t="str">
        <x:v>DashboardClient</x:v>
      </x:c>
      <x:c r="F142" s="71" t="str">
        <x:v>Empty state</x:v>
      </x:c>
      <x:c r="G142" s="71" t="str">
        <x:v>Label</x:v>
      </x:c>
      <x:c r="H142" s="71" t="str">
        <x:v>Tu primer viaje</x:v>
      </x:c>
      <x:c r="I142" s="71" t="str">
        <x:v>Tu primer viaje</x:v>
      </x:c>
      <x:c r="J142" s="73"/>
      <x:c r="K142" s="74" t="str">
        <x:f>IF(J142="",H142,IF(J142=I142,I142,J142))</x:f>
        <x:v>Tu primer viaje</x:v>
      </x:c>
      <x:c r="L142" s="74" t="str">
        <x:f>IF(J142="","Keep current",IF(J142=I142,"Use suggestion","Custom"))</x:f>
        <x:v>Keep current</x:v>
      </x:c>
      <x:c r="M142" s="71" t="str">
        <x:v>Pending review</x:v>
      </x:c>
      <x:c r="N142" s="71" t="str">
        <x:v>Normal</x:v>
      </x:c>
      <x:c r="O142" s="71" t="str">
        <x:v>app/journey/dashboard/dashboard-client.tsx</x:v>
      </x:c>
      <x:c r="P142" s="71" t="str">
        <x:v>DashboardClient:415</x:v>
      </x:c>
      <x:c r="Q142" s="71" t="str">
        <x:v>ES</x:v>
      </x:c>
      <x:c r="R142" s="71" t="str">
        <x:v>Already clear and direct; suggested wording intentionally keeps the current copy.</x:v>
      </x:c>
      <x:c r="S142" s="75" t="str">
        <x:v>Not applied — review required</x:v>
      </x:c>
    </x:row>
    <x:row r="143">
      <x:c r="A143" s="71" t="str">
        <x:v>MRV-627996A6A9</x:v>
      </x:c>
      <x:c r="B143" s="71" t="str">
        <x:v>Trips</x:v>
      </x:c>
      <x:c r="C143" s="71" t="str">
        <x:v>Dashboard</x:v>
      </x:c>
      <x:c r="D143" s="71" t="str">
        <x:v>/journey/dashboard/dashboard-client</x:v>
      </x:c>
      <x:c r="E143" s="71" t="str">
        <x:v>DashboardClient</x:v>
      </x:c>
      <x:c r="F143" s="71" t="str">
        <x:v>Empty state</x:v>
      </x:c>
      <x:c r="G143" s="71" t="str">
        <x:v>Label</x:v>
      </x:c>
      <x:c r="H143" s="71" t="str">
        <x:v>Your first trip</x:v>
      </x:c>
      <x:c r="I143" s="71" t="str">
        <x:v>Your first trip</x:v>
      </x:c>
      <x:c r="J143" s="73"/>
      <x:c r="K143" s="74" t="str">
        <x:f>IF(J143="",H143,IF(J143=I143,I143,J143))</x:f>
        <x:v>Your first trip</x:v>
      </x:c>
      <x:c r="L143" s="74" t="str">
        <x:f>IF(J143="","Keep current",IF(J143=I143,"Use suggestion","Custom"))</x:f>
        <x:v>Keep current</x:v>
      </x:c>
      <x:c r="M143" s="71" t="str">
        <x:v>Pending review</x:v>
      </x:c>
      <x:c r="N143" s="71" t="str">
        <x:v>Normal</x:v>
      </x:c>
      <x:c r="O143" s="71" t="str">
        <x:v>app/journey/dashboard/dashboard-client.tsx</x:v>
      </x:c>
      <x:c r="P143" s="71" t="str">
        <x:v>DashboardClient:415</x:v>
      </x:c>
      <x:c r="Q143" s="71" t="str">
        <x:v>EN</x:v>
      </x:c>
      <x:c r="R143" s="71" t="str">
        <x:v>Already clear and direct; suggested wording intentionally keeps the current copy. Terminology watch: ‘trip’ and ‘journey’ both describe the same plan. Terminology watch: ‘stops’, ‘destinations’ and ‘places’ overlap.</x:v>
      </x:c>
      <x:c r="S143" s="75" t="str">
        <x:v>Not applied — review required</x:v>
      </x:c>
    </x:row>
    <x:row r="144">
      <x:c r="A144" s="71" t="str">
        <x:v>MRV-0F21289BF8</x:v>
      </x:c>
      <x:c r="B144" s="71" t="str">
        <x:v>Trips</x:v>
      </x:c>
      <x:c r="C144" s="71" t="str">
        <x:v>Dashboard</x:v>
      </x:c>
      <x:c r="D144" s="71" t="str">
        <x:v>/journey/dashboard/dashboard-client</x:v>
      </x:c>
      <x:c r="E144" s="71" t="str">
        <x:v>DashboardClient</x:v>
      </x:c>
      <x:c r="F144" s="71" t="str">
        <x:v>Default</x:v>
      </x:c>
      <x:c r="G144" s="71" t="str">
        <x:v>Body copy</x:v>
      </x:c>
      <x:c r="H144" s="71" t="str">
        <x:v>Empieza con un viaje que ya tienes en mente.</x:v>
      </x:c>
      <x:c r="I144" s="71" t="str">
        <x:v>Empieza con un viaje que ya tienes en mente.</x:v>
      </x:c>
      <x:c r="J144" s="73"/>
      <x:c r="K144" s="74" t="str">
        <x:f>IF(J144="",H144,IF(J144=I144,I144,J144))</x:f>
        <x:v>Empieza con un viaje que ya tienes en mente.</x:v>
      </x:c>
      <x:c r="L144" s="74" t="str">
        <x:f>IF(J144="","Keep current",IF(J144=I144,"Use suggestion","Custom"))</x:f>
        <x:v>Keep current</x:v>
      </x:c>
      <x:c r="M144" s="71" t="str">
        <x:v>Pending review</x:v>
      </x:c>
      <x:c r="N144" s="71" t="str">
        <x:v>Normal</x:v>
      </x:c>
      <x:c r="O144" s="71" t="str">
        <x:v>app/journey/dashboard/dashboard-client.tsx</x:v>
      </x:c>
      <x:c r="P144" s="71" t="str">
        <x:v>DashboardClient:416</x:v>
      </x:c>
      <x:c r="Q144" s="71" t="str">
        <x:v>ES</x:v>
      </x:c>
      <x:c r="R144" s="71" t="str">
        <x:v>Already clear and direct; suggested wording intentionally keeps the current copy.</x:v>
      </x:c>
      <x:c r="S144" s="75" t="str">
        <x:v>Not applied — review required</x:v>
      </x:c>
    </x:row>
    <x:row r="145">
      <x:c r="A145" s="71" t="str">
        <x:v>MRV-5D21626881</x:v>
      </x:c>
      <x:c r="B145" s="71" t="str">
        <x:v>Trips</x:v>
      </x:c>
      <x:c r="C145" s="71" t="str">
        <x:v>Dashboard</x:v>
      </x:c>
      <x:c r="D145" s="71" t="str">
        <x:v>/journey/dashboard/dashboard-client</x:v>
      </x:c>
      <x:c r="E145" s="71" t="str">
        <x:v>DashboardClient</x:v>
      </x:c>
      <x:c r="F145" s="71" t="str">
        <x:v>Default</x:v>
      </x:c>
      <x:c r="G145" s="71" t="str">
        <x:v>CTA / button</x:v>
      </x:c>
      <x:c r="H145" s="71" t="str">
        <x:v>Start with a trip you’ve been thinking about.</x:v>
      </x:c>
      <x:c r="I145" s="71" t="str">
        <x:v>Start with a trip you’ve been thinking about.</x:v>
      </x:c>
      <x:c r="J145" s="73"/>
      <x:c r="K145" s="74" t="str">
        <x:f>IF(J145="",H145,IF(J145=I145,I145,J145))</x:f>
        <x:v>Start with a trip you’ve been thinking about.</x:v>
      </x:c>
      <x:c r="L145" s="74" t="str">
        <x:f>IF(J145="","Keep current",IF(J145=I145,"Use suggestion","Custom"))</x:f>
        <x:v>Keep current</x:v>
      </x:c>
      <x:c r="M145" s="71" t="str">
        <x:v>Pending review</x:v>
      </x:c>
      <x:c r="N145" s="71" t="str">
        <x:v>Medium</x:v>
      </x:c>
      <x:c r="O145" s="71" t="str">
        <x:v>app/journey/dashboard/dashboard-client.tsx</x:v>
      </x:c>
      <x:c r="P145" s="71" t="str">
        <x:v>DashboardClient:416</x:v>
      </x:c>
      <x:c r="Q145" s="71" t="str">
        <x:v>EN</x:v>
      </x:c>
      <x:c r="R145" s="71" t="str">
        <x:v>Already clear and direct; suggested wording intentionally keeps the current copy. Terminology watch: ‘trip’ and ‘journey’ both describe the same plan. Terminology watch: ‘stops’, ‘destinations’ and ‘places’ overlap.</x:v>
      </x:c>
      <x:c r="S145" s="75" t="str">
        <x:v>Not applied — review required</x:v>
      </x:c>
    </x:row>
    <x:row r="146">
      <x:c r="A146" s="71" t="str">
        <x:v>MRV-36104D3A77</x:v>
      </x:c>
      <x:c r="B146" s="71" t="str">
        <x:v>Trips</x:v>
      </x:c>
      <x:c r="C146" s="71" t="str">
        <x:v>Dashboard</x:v>
      </x:c>
      <x:c r="D146" s="71" t="str">
        <x:v>/journey/dashboard/dashboard-client</x:v>
      </x:c>
      <x:c r="E146" s="71" t="str">
        <x:v>DashboardClient</x:v>
      </x:c>
      <x:c r="F146" s="71" t="str">
        <x:v>Default</x:v>
      </x:c>
      <x:c r="G146" s="71" t="str">
        <x:v>Body copy</x:v>
      </x:c>
      <x:c r="H146" s="71" t="str">
        <x:v>Describe los lugares, el tiempo y el estilo de viaje. Morrovia te ayudará a dar forma a la ruta.</x:v>
      </x:c>
      <x:c r="I146" s="71" t="str">
        <x:v>Describe los lugares, el tiempo y el estilo de viaje. Morrovia te ayudará a dar forma a la ruta.</x:v>
      </x:c>
      <x:c r="J146" s="73"/>
      <x:c r="K146" s="74" t="str">
        <x:f>IF(J146="",H146,IF(J146=I146,I146,J146))</x:f>
        <x:v>Describe los lugares, el tiempo y el estilo de viaje. Morrovia te ayudará a dar forma a la ruta.</x:v>
      </x:c>
      <x:c r="L146" s="74" t="str">
        <x:f>IF(J146="","Keep current",IF(J146=I146,"Use suggestion","Custom"))</x:f>
        <x:v>Keep current</x:v>
      </x:c>
      <x:c r="M146" s="71" t="str">
        <x:v>Pending review</x:v>
      </x:c>
      <x:c r="N146" s="71" t="str">
        <x:v>Normal</x:v>
      </x:c>
      <x:c r="O146" s="71" t="str">
        <x:v>app/journey/dashboard/dashboard-client.tsx</x:v>
      </x:c>
      <x:c r="P146" s="71" t="str">
        <x:v>DashboardClient:417</x:v>
      </x:c>
      <x:c r="Q146" s="71" t="str">
        <x:v>ES</x:v>
      </x:c>
      <x:c r="R146" s="71" t="str">
        <x:v>Already clear and direct; suggested wording intentionally keeps the current copy.</x:v>
      </x:c>
      <x:c r="S146" s="75" t="str">
        <x:v>Not applied — review required</x:v>
      </x:c>
    </x:row>
    <x:row r="147">
      <x:c r="A147" s="71" t="str">
        <x:v>MRV-033B45DEAE</x:v>
      </x:c>
      <x:c r="B147" s="71" t="str">
        <x:v>Trips</x:v>
      </x:c>
      <x:c r="C147" s="71" t="str">
        <x:v>Dashboard</x:v>
      </x:c>
      <x:c r="D147" s="71" t="str">
        <x:v>/journey/dashboard/dashboard-client</x:v>
      </x:c>
      <x:c r="E147" s="71" t="str">
        <x:v>DashboardClient</x:v>
      </x:c>
      <x:c r="F147" s="71" t="str">
        <x:v>Default</x:v>
      </x:c>
      <x:c r="G147" s="71" t="str">
        <x:v>Body copy</x:v>
      </x:c>
      <x:c r="H147" s="71" t="str">
        <x:v>Describe the places, time and travel style. Morrovia will help shape the route.</x:v>
      </x:c>
      <x:c r="I147" s="71" t="str">
        <x:v>Describe the places, time and travel style. Morrovia will help shape the route.</x:v>
      </x:c>
      <x:c r="J147" s="73"/>
      <x:c r="K147" s="74" t="str">
        <x:f>IF(J147="",H147,IF(J147=I147,I147,J147))</x:f>
        <x:v>Describe the places, time and travel style. Morrovia will help shape the route.</x:v>
      </x:c>
      <x:c r="L147" s="74" t="str">
        <x:f>IF(J147="","Keep current",IF(J147=I147,"Use suggestion","Custom"))</x:f>
        <x:v>Keep current</x:v>
      </x:c>
      <x:c r="M147" s="71" t="str">
        <x:v>Pending review</x:v>
      </x:c>
      <x:c r="N147" s="71" t="str">
        <x:v>Normal</x:v>
      </x:c>
      <x:c r="O147" s="71" t="str">
        <x:v>app/journey/dashboard/dashboard-client.tsx</x:v>
      </x:c>
      <x:c r="P147" s="71" t="str">
        <x:v>DashboardClient:417</x:v>
      </x:c>
      <x:c r="Q147" s="71" t="str">
        <x:v>EN</x:v>
      </x:c>
      <x:c r="R147" s="71" t="str">
        <x:v>Already clear and direct; suggested wording intentionally keeps the current copy. Terminology watch: ‘trip’ and ‘journey’ both describe the same plan. Terminology watch: ‘stops’, ‘destinations’ and ‘places’ overlap.</x:v>
      </x:c>
      <x:c r="S147" s="75" t="str">
        <x:v>Not applied — review required</x:v>
      </x:c>
    </x:row>
    <x:row r="148">
      <x:c r="A148" s="71" t="str">
        <x:v>MRV-2F25EF7136</x:v>
      </x:c>
      <x:c r="B148" s="71" t="str">
        <x:v>Trips</x:v>
      </x:c>
      <x:c r="C148" s="71" t="str">
        <x:v>Dashboard</x:v>
      </x:c>
      <x:c r="D148" s="71" t="str">
        <x:v>/journey/dashboard/dashboard-client</x:v>
      </x:c>
      <x:c r="E148" s="71" t="str">
        <x:v>DashboardClient</x:v>
      </x:c>
      <x:c r="F148" s="71" t="str">
        <x:v>Default</x:v>
      </x:c>
      <x:c r="G148" s="71" t="str">
        <x:v>CTA / button</x:v>
      </x:c>
      <x:c r="H148" s="71" t="str">
        <x:v>Planificar un viaje nuevo</x:v>
      </x:c>
      <x:c r="I148" s="71" t="str">
        <x:v>Planificar un viaje nuevo</x:v>
      </x:c>
      <x:c r="J148" s="73"/>
      <x:c r="K148" s="74" t="str">
        <x:f>IF(J148="",H148,IF(J148=I148,I148,J148))</x:f>
        <x:v>Planificar un viaje nuevo</x:v>
      </x:c>
      <x:c r="L148" s="74" t="str">
        <x:f>IF(J148="","Keep current",IF(J148=I148,"Use suggestion","Custom"))</x:f>
        <x:v>Keep current</x:v>
      </x:c>
      <x:c r="M148" s="71" t="str">
        <x:v>Pending review</x:v>
      </x:c>
      <x:c r="N148" s="71" t="str">
        <x:v>Medium</x:v>
      </x:c>
      <x:c r="O148" s="71" t="str">
        <x:v>app/journey/dashboard/dashboard-client.tsx</x:v>
      </x:c>
      <x:c r="P148" s="71" t="str">
        <x:v>DashboardClient:418</x:v>
      </x:c>
      <x:c r="Q148" s="71" t="str">
        <x:v>ES</x:v>
      </x:c>
      <x:c r="R148" s="71" t="str">
        <x:v>Already clear and direct; suggested wording intentionally keeps the current copy.</x:v>
      </x:c>
      <x:c r="S148" s="75" t="str">
        <x:v>Not applied — review required</x:v>
      </x:c>
    </x:row>
    <x:row r="149">
      <x:c r="A149" s="71" t="str">
        <x:v>MRV-5111186314</x:v>
      </x:c>
      <x:c r="B149" s="71" t="str">
        <x:v>Trips</x:v>
      </x:c>
      <x:c r="C149" s="71" t="str">
        <x:v>Dashboard</x:v>
      </x:c>
      <x:c r="D149" s="71" t="str">
        <x:v>/journey/dashboard/dashboard-client</x:v>
      </x:c>
      <x:c r="E149" s="71" t="str">
        <x:v>DashboardClient</x:v>
      </x:c>
      <x:c r="F149" s="71" t="str">
        <x:v>Default</x:v>
      </x:c>
      <x:c r="G149" s="71" t="str">
        <x:v>CTA / button</x:v>
      </x:c>
      <x:c r="H149" s="71" t="str">
        <x:v>Plan a new trip</x:v>
      </x:c>
      <x:c r="I149" s="71" t="str">
        <x:v>Plan a new trip</x:v>
      </x:c>
      <x:c r="J149" s="73"/>
      <x:c r="K149" s="74" t="str">
        <x:f>IF(J149="",H149,IF(J149=I149,I149,J149))</x:f>
        <x:v>Plan a new trip</x:v>
      </x:c>
      <x:c r="L149" s="74" t="str">
        <x:f>IF(J149="","Keep current",IF(J149=I149,"Use suggestion","Custom"))</x:f>
        <x:v>Keep current</x:v>
      </x:c>
      <x:c r="M149" s="71" t="str">
        <x:v>Pending review</x:v>
      </x:c>
      <x:c r="N149" s="71" t="str">
        <x:v>Medium</x:v>
      </x:c>
      <x:c r="O149" s="71" t="str">
        <x:v>app/journey/dashboard/dashboard-client.tsx</x:v>
      </x:c>
      <x:c r="P149" s="71" t="str">
        <x:v>DashboardClient:418</x:v>
      </x:c>
      <x:c r="Q149" s="71" t="str">
        <x:v>EN</x:v>
      </x:c>
      <x:c r="R149" s="71" t="str">
        <x:v>Already clear and direct; suggested wording intentionally keeps the current copy. Terminology watch: ‘trip’ and ‘journey’ both describe the same plan. Terminology watch: ‘stops’, ‘destinations’ and ‘places’ overlap.</x:v>
      </x:c>
      <x:c r="S149" s="75" t="str">
        <x:v>Not applied — review required</x:v>
      </x:c>
    </x:row>
    <x:row r="150">
      <x:c r="A150" s="71" t="str">
        <x:v>MRV-8109E27231</x:v>
      </x:c>
      <x:c r="B150" s="71" t="str">
        <x:v>Trips</x:v>
      </x:c>
      <x:c r="C150" s="71" t="str">
        <x:v>Dashboard</x:v>
      </x:c>
      <x:c r="D150" s="71" t="str">
        <x:v>/journey/dashboard/dashboard-client</x:v>
      </x:c>
      <x:c r="E150" s="71" t="str">
        <x:v>DashboardClient</x:v>
      </x:c>
      <x:c r="F150" s="71" t="str">
        <x:v>Default</x:v>
      </x:c>
      <x:c r="G150" s="71" t="str">
        <x:v>Label</x:v>
      </x:c>
      <x:c r="H150" s="71" t="str">
        <x:v>Tu mundo, marcado</x:v>
      </x:c>
      <x:c r="I150" s="71" t="str">
        <x:v>Tu mundo, marcado</x:v>
      </x:c>
      <x:c r="J150" s="73"/>
      <x:c r="K150" s="74" t="str">
        <x:f>IF(J150="",H150,IF(J150=I150,I150,J150))</x:f>
        <x:v>Tu mundo, marcado</x:v>
      </x:c>
      <x:c r="L150" s="74" t="str">
        <x:f>IF(J150="","Keep current",IF(J150=I150,"Use suggestion","Custom"))</x:f>
        <x:v>Keep current</x:v>
      </x:c>
      <x:c r="M150" s="71" t="str">
        <x:v>Pending review</x:v>
      </x:c>
      <x:c r="N150" s="71" t="str">
        <x:v>Normal</x:v>
      </x:c>
      <x:c r="O150" s="71" t="str">
        <x:v>app/journey/dashboard/dashboard-client.tsx</x:v>
      </x:c>
      <x:c r="P150" s="71" t="str">
        <x:v>DashboardClient:425</x:v>
      </x:c>
      <x:c r="Q150" s="71" t="str">
        <x:v>ES</x:v>
      </x:c>
      <x:c r="R150" s="71" t="str">
        <x:v>Already clear and direct; suggested wording intentionally keeps the current copy. Duplicate wording: appears 2 times.</x:v>
      </x:c>
      <x:c r="S150" s="75" t="str">
        <x:v>Not applied — review required</x:v>
      </x:c>
    </x:row>
    <x:row r="151">
      <x:c r="A151" s="71" t="str">
        <x:v>MRV-C77E19664A</x:v>
      </x:c>
      <x:c r="B151" s="71" t="str">
        <x:v>Trips</x:v>
      </x:c>
      <x:c r="C151" s="71" t="str">
        <x:v>Dashboard</x:v>
      </x:c>
      <x:c r="D151" s="71" t="str">
        <x:v>/journey/dashboard/dashboard-client</x:v>
      </x:c>
      <x:c r="E151" s="71" t="str">
        <x:v>DashboardClient</x:v>
      </x:c>
      <x:c r="F151" s="71" t="str">
        <x:v>Default</x:v>
      </x:c>
      <x:c r="G151" s="71" t="str">
        <x:v>Label</x:v>
      </x:c>
      <x:c r="H151" s="71" t="str">
        <x:v>Your world, marked</x:v>
      </x:c>
      <x:c r="I151" s="71" t="str">
        <x:v>Your world, marked</x:v>
      </x:c>
      <x:c r="J151" s="73"/>
      <x:c r="K151" s="74" t="str">
        <x:f>IF(J151="",H151,IF(J151=I151,I151,J151))</x:f>
        <x:v>Your world, marked</x:v>
      </x:c>
      <x:c r="L151" s="74" t="str">
        <x:f>IF(J151="","Keep current",IF(J151=I151,"Use suggestion","Custom"))</x:f>
        <x:v>Keep current</x:v>
      </x:c>
      <x:c r="M151" s="71" t="str">
        <x:v>Pending review</x:v>
      </x:c>
      <x:c r="N151" s="71" t="str">
        <x:v>Normal</x:v>
      </x:c>
      <x:c r="O151" s="71" t="str">
        <x:v>app/journey/dashboard/dashboard-client.tsx</x:v>
      </x:c>
      <x:c r="P151" s="71" t="str">
        <x:v>DashboardClient:425</x:v>
      </x:c>
      <x:c r="Q151" s="71" t="str">
        <x:v>EN</x:v>
      </x:c>
      <x:c r="R151" s="71" t="str">
        <x:v>Already clear and direct; suggested wording intentionally keeps the current copy. Duplicate wording: appears 2 times.</x:v>
      </x:c>
      <x:c r="S151" s="75" t="str">
        <x:v>Not applied — review required</x:v>
      </x:c>
    </x:row>
    <x:row r="152">
      <x:c r="A152" s="71" t="str">
        <x:v>MRV-73B12818A2</x:v>
      </x:c>
      <x:c r="B152" s="71" t="str">
        <x:v>Trips</x:v>
      </x:c>
      <x:c r="C152" s="71" t="str">
        <x:v>Dashboard</x:v>
      </x:c>
      <x:c r="D152" s="71" t="str">
        <x:v>/journey/dashboard/dashboard-client</x:v>
      </x:c>
      <x:c r="E152" s="71" t="str">
        <x:v>DashboardClient</x:v>
      </x:c>
      <x:c r="F152" s="71" t="str">
        <x:v>Default</x:v>
      </x:c>
      <x:c r="G152" s="71" t="str">
        <x:v>Body copy</x:v>
      </x:c>
      <x:c r="H152" s="71" t="str">
        <x:v>Sellos.</x:v>
      </x:c>
      <x:c r="I152" s="71" t="str">
        <x:v>Sellos.</x:v>
      </x:c>
      <x:c r="J152" s="73"/>
      <x:c r="K152" s="74" t="str">
        <x:f>IF(J152="",H152,IF(J152=I152,I152,J152))</x:f>
        <x:v>Sellos.</x:v>
      </x:c>
      <x:c r="L152" s="74" t="str">
        <x:f>IF(J152="","Keep current",IF(J152=I152,"Use suggestion","Custom"))</x:f>
        <x:v>Keep current</x:v>
      </x:c>
      <x:c r="M152" s="71" t="str">
        <x:v>Pending review</x:v>
      </x:c>
      <x:c r="N152" s="71" t="str">
        <x:v>Normal</x:v>
      </x:c>
      <x:c r="O152" s="71" t="str">
        <x:v>app/journey/dashboard/dashboard-client.tsx</x:v>
      </x:c>
      <x:c r="P152" s="71" t="str">
        <x:v>DashboardClient:426</x:v>
      </x:c>
      <x:c r="Q152" s="71" t="str">
        <x:v>ES</x:v>
      </x:c>
      <x:c r="R152" s="71" t="str">
        <x:v>Already clear and direct; suggested wording intentionally keeps the current copy.</x:v>
      </x:c>
      <x:c r="S152" s="75" t="str">
        <x:v>Not applied — review required</x:v>
      </x:c>
    </x:row>
    <x:row r="153">
      <x:c r="A153" s="71" t="str">
        <x:v>MRV-F235870057</x:v>
      </x:c>
      <x:c r="B153" s="71" t="str">
        <x:v>Trips</x:v>
      </x:c>
      <x:c r="C153" s="71" t="str">
        <x:v>Dashboard</x:v>
      </x:c>
      <x:c r="D153" s="71" t="str">
        <x:v>/journey/dashboard/dashboard-client</x:v>
      </x:c>
      <x:c r="E153" s="71" t="str">
        <x:v>DashboardClient</x:v>
      </x:c>
      <x:c r="F153" s="71" t="str">
        <x:v>Default</x:v>
      </x:c>
      <x:c r="G153" s="71" t="str">
        <x:v>Body copy</x:v>
      </x:c>
      <x:c r="H153" s="71" t="str">
        <x:v>Stamped.</x:v>
      </x:c>
      <x:c r="I153" s="71" t="str">
        <x:v>Stamped.</x:v>
      </x:c>
      <x:c r="J153" s="73"/>
      <x:c r="K153" s="74" t="str">
        <x:f>IF(J153="",H153,IF(J153=I153,I153,J153))</x:f>
        <x:v>Stamped.</x:v>
      </x:c>
      <x:c r="L153" s="74" t="str">
        <x:f>IF(J153="","Keep current",IF(J153=I153,"Use suggestion","Custom"))</x:f>
        <x:v>Keep current</x:v>
      </x:c>
      <x:c r="M153" s="71" t="str">
        <x:v>Pending review</x:v>
      </x:c>
      <x:c r="N153" s="71" t="str">
        <x:v>Normal</x:v>
      </x:c>
      <x:c r="O153" s="71" t="str">
        <x:v>app/journey/dashboard/dashboard-client.tsx</x:v>
      </x:c>
      <x:c r="P153" s="71" t="str">
        <x:v>DashboardClient:426</x:v>
      </x:c>
      <x:c r="Q153" s="71" t="str">
        <x:v>EN</x:v>
      </x:c>
      <x:c r="R153" s="71" t="str">
        <x:v>Already clear and direct; suggested wording intentionally keeps the current copy.</x:v>
      </x:c>
      <x:c r="S153" s="75" t="str">
        <x:v>Not applied — review required</x:v>
      </x:c>
    </x:row>
    <x:row r="154">
      <x:c r="A154" s="71" t="str">
        <x:v>MRV-1AE98A9438</x:v>
      </x:c>
      <x:c r="B154" s="71" t="str">
        <x:v>Trips</x:v>
      </x:c>
      <x:c r="C154" s="71" t="str">
        <x:v>Dashboard</x:v>
      </x:c>
      <x:c r="D154" s="71" t="str">
        <x:v>/journey/dashboard/dashboard-client</x:v>
      </x:c>
      <x:c r="E154" s="71" t="str">
        <x:v>DashboardClient</x:v>
      </x:c>
      <x:c r="F154" s="71" t="str">
        <x:v>Default</x:v>
      </x:c>
      <x:c r="G154" s="71" t="str">
        <x:v>Body copy</x:v>
      </x:c>
      <x:c r="H154" s="71" t="str">
        <x:v>Un registro vivo de los lugares donde has estado y los que aún te llaman.</x:v>
      </x:c>
      <x:c r="I154" s="71" t="str">
        <x:v>Un registro vivo de los lugares donde has estado y los que aún te llaman.</x:v>
      </x:c>
      <x:c r="J154" s="73"/>
      <x:c r="K154" s="74" t="str">
        <x:f>IF(J154="",H154,IF(J154=I154,I154,J154))</x:f>
        <x:v>Un registro vivo de los lugares donde has estado y los que aún te llaman.</x:v>
      </x:c>
      <x:c r="L154" s="74" t="str">
        <x:f>IF(J154="","Keep current",IF(J154=I154,"Use suggestion","Custom"))</x:f>
        <x:v>Keep current</x:v>
      </x:c>
      <x:c r="M154" s="71" t="str">
        <x:v>Pending review</x:v>
      </x:c>
      <x:c r="N154" s="71" t="str">
        <x:v>Normal</x:v>
      </x:c>
      <x:c r="O154" s="71" t="str">
        <x:v>app/journey/dashboard/dashboard-client.tsx</x:v>
      </x:c>
      <x:c r="P154" s="71" t="str">
        <x:v>DashboardClient:427</x:v>
      </x:c>
      <x:c r="Q154" s="71" t="str">
        <x:v>ES</x:v>
      </x:c>
      <x:c r="R154" s="71" t="str">
        <x:v>Already clear and direct; suggested wording intentionally keeps the current copy.</x:v>
      </x:c>
      <x:c r="S154" s="75" t="str">
        <x:v>Not applied — review required</x:v>
      </x:c>
    </x:row>
    <x:row r="155">
      <x:c r="A155" s="71" t="str">
        <x:v>MRV-47EEC0DAF3</x:v>
      </x:c>
      <x:c r="B155" s="71" t="str">
        <x:v>Trips</x:v>
      </x:c>
      <x:c r="C155" s="71" t="str">
        <x:v>Dashboard</x:v>
      </x:c>
      <x:c r="D155" s="71" t="str">
        <x:v>/journey/dashboard/dashboard-client</x:v>
      </x:c>
      <x:c r="E155" s="71" t="str">
        <x:v>DashboardClient</x:v>
      </x:c>
      <x:c r="F155" s="71" t="str">
        <x:v>Default</x:v>
      </x:c>
      <x:c r="G155" s="71" t="str">
        <x:v>Body copy</x:v>
      </x:c>
      <x:c r="H155" s="71" t="str">
        <x:v>A living record of places you’ve been and the ones still calling.</x:v>
      </x:c>
      <x:c r="I155" s="71" t="str">
        <x:v>A living record of places you’ve been and the ones still calling.</x:v>
      </x:c>
      <x:c r="J155" s="73"/>
      <x:c r="K155" s="74" t="str">
        <x:f>IF(J155="",H155,IF(J155=I155,I155,J155))</x:f>
        <x:v>A living record of places you’ve been and the ones still calling.</x:v>
      </x:c>
      <x:c r="L155" s="74" t="str">
        <x:f>IF(J155="","Keep current",IF(J155=I155,"Use suggestion","Custom"))</x:f>
        <x:v>Keep current</x:v>
      </x:c>
      <x:c r="M155" s="71" t="str">
        <x:v>Pending review</x:v>
      </x:c>
      <x:c r="N155" s="71" t="str">
        <x:v>Normal</x:v>
      </x:c>
      <x:c r="O155" s="71" t="str">
        <x:v>app/journey/dashboard/dashboard-client.tsx</x:v>
      </x:c>
      <x:c r="P155" s="71" t="str">
        <x:v>DashboardClient:427</x:v>
      </x:c>
      <x:c r="Q155" s="71" t="str">
        <x:v>EN</x:v>
      </x:c>
      <x:c r="R155" s="71" t="str">
        <x:v>Already clear and direct; suggested wording intentionally keeps the current copy. Terminology watch: ‘trip’ and ‘journey’ both describe the same plan. Terminology watch: ‘stops’, ‘destinations’ and ‘places’ overlap.</x:v>
      </x:c>
      <x:c r="S155" s="75" t="str">
        <x:v>Not applied — review required</x:v>
      </x:c>
    </x:row>
    <x:row r="156">
      <x:c r="A156" s="71" t="str">
        <x:v>MRV-C8E131AE16</x:v>
      </x:c>
      <x:c r="B156" s="71" t="str">
        <x:v>Trips</x:v>
      </x:c>
      <x:c r="C156" s="71" t="str">
        <x:v>Dashboard</x:v>
      </x:c>
      <x:c r="D156" s="71" t="str">
        <x:v>/journey/dashboard/dashboard-client</x:v>
      </x:c>
      <x:c r="E156" s="71" t="str">
        <x:v>DashboardClient</x:v>
      </x:c>
      <x:c r="F156" s="71" t="str">
        <x:v>Default</x:v>
      </x:c>
      <x:c r="G156" s="71" t="str">
        <x:v>Label</x:v>
      </x:c>
      <x:c r="H156" s="71" t="str">
        <x:v>por visitar</x:v>
      </x:c>
      <x:c r="I156" s="71" t="str">
        <x:v>por visitar</x:v>
      </x:c>
      <x:c r="J156" s="73"/>
      <x:c r="K156" s="74" t="str">
        <x:f>IF(J156="",H156,IF(J156=I156,I156,J156))</x:f>
        <x:v>por visitar</x:v>
      </x:c>
      <x:c r="L156" s="74" t="str">
        <x:f>IF(J156="","Keep current",IF(J156=I156,"Use suggestion","Custom"))</x:f>
        <x:v>Keep current</x:v>
      </x:c>
      <x:c r="M156" s="71" t="str">
        <x:v>Pending review</x:v>
      </x:c>
      <x:c r="N156" s="71" t="str">
        <x:v>Normal</x:v>
      </x:c>
      <x:c r="O156" s="71" t="str">
        <x:v>app/journey/dashboard/dashboard-client.tsx</x:v>
      </x:c>
      <x:c r="P156" s="71" t="str">
        <x:v>DashboardClient:431</x:v>
      </x:c>
      <x:c r="Q156" s="71" t="str">
        <x:v>ES</x:v>
      </x:c>
      <x:c r="R156" s="71" t="str">
        <x:v>Already clear and direct; suggested wording intentionally keeps the current copy.</x:v>
      </x:c>
      <x:c r="S156" s="75" t="str">
        <x:v>Not applied — review required</x:v>
      </x:c>
    </x:row>
    <x:row r="157">
      <x:c r="A157" s="71" t="str">
        <x:v>MRV-B109119B71</x:v>
      </x:c>
      <x:c r="B157" s="71" t="str">
        <x:v>Trips</x:v>
      </x:c>
      <x:c r="C157" s="71" t="str">
        <x:v>Dashboard</x:v>
      </x:c>
      <x:c r="D157" s="71" t="str">
        <x:v>/journey/dashboard/dashboard-client</x:v>
      </x:c>
      <x:c r="E157" s="71" t="str">
        <x:v>DashboardClient</x:v>
      </x:c>
      <x:c r="F157" s="71" t="str">
        <x:v>Default</x:v>
      </x:c>
      <x:c r="G157" s="71" t="str">
        <x:v>Label</x:v>
      </x:c>
      <x:c r="H157" s="71" t="str">
        <x:v>want to visit</x:v>
      </x:c>
      <x:c r="I157" s="71" t="str">
        <x:v>want to visit</x:v>
      </x:c>
      <x:c r="J157" s="73"/>
      <x:c r="K157" s="74" t="str">
        <x:f>IF(J157="",H157,IF(J157=I157,I157,J157))</x:f>
        <x:v>want to visit</x:v>
      </x:c>
      <x:c r="L157" s="74" t="str">
        <x:f>IF(J157="","Keep current",IF(J157=I157,"Use suggestion","Custom"))</x:f>
        <x:v>Keep current</x:v>
      </x:c>
      <x:c r="M157" s="71" t="str">
        <x:v>Pending review</x:v>
      </x:c>
      <x:c r="N157" s="71" t="str">
        <x:v>Normal</x:v>
      </x:c>
      <x:c r="O157" s="71" t="str">
        <x:v>app/journey/dashboard/dashboard-client.tsx</x:v>
      </x:c>
      <x:c r="P157" s="71" t="str">
        <x:v>DashboardClient:431</x:v>
      </x:c>
      <x:c r="Q157" s="71" t="str">
        <x:v>EN</x:v>
      </x:c>
      <x:c r="R157" s="71" t="str">
        <x:v>Already clear and direct; suggested wording intentionally keeps the current copy.</x:v>
      </x:c>
      <x:c r="S157" s="75" t="str">
        <x:v>Not applied — review required</x:v>
      </x:c>
    </x:row>
    <x:row r="158">
      <x:c r="A158" s="71" t="str">
        <x:v>MRV-65E12678EB</x:v>
      </x:c>
      <x:c r="B158" s="71" t="str">
        <x:v>Trips</x:v>
      </x:c>
      <x:c r="C158" s="71" t="str">
        <x:v>Dashboard</x:v>
      </x:c>
      <x:c r="D158" s="71" t="str">
        <x:v>/journey/dashboard/dashboard-client</x:v>
      </x:c>
      <x:c r="E158" s="71" t="str">
        <x:v>DashboardClient</x:v>
      </x:c>
      <x:c r="F158" s="71" t="str">
        <x:v>Default</x:v>
      </x:c>
      <x:c r="G158" s="71" t="str">
        <x:v>Label</x:v>
      </x:c>
      <x:c r="H158" s="71" t="str">
        <x:v>Abrir Sellos</x:v>
      </x:c>
      <x:c r="I158" s="71" t="str">
        <x:v>Abrir Sellos</x:v>
      </x:c>
      <x:c r="J158" s="73"/>
      <x:c r="K158" s="74" t="str">
        <x:f>IF(J158="",H158,IF(J158=I158,I158,J158))</x:f>
        <x:v>Abrir Sellos</x:v>
      </x:c>
      <x:c r="L158" s="74" t="str">
        <x:f>IF(J158="","Keep current",IF(J158=I158,"Use suggestion","Custom"))</x:f>
        <x:v>Keep current</x:v>
      </x:c>
      <x:c r="M158" s="71" t="str">
        <x:v>Pending review</x:v>
      </x:c>
      <x:c r="N158" s="71" t="str">
        <x:v>Normal</x:v>
      </x:c>
      <x:c r="O158" s="71" t="str">
        <x:v>app/journey/dashboard/dashboard-client.tsx</x:v>
      </x:c>
      <x:c r="P158" s="71" t="str">
        <x:v>DashboardClient:434</x:v>
      </x:c>
      <x:c r="Q158" s="71" t="str">
        <x:v>ES</x:v>
      </x:c>
      <x:c r="R158" s="71" t="str">
        <x:v>Already clear and direct; suggested wording intentionally keeps the current copy.</x:v>
      </x:c>
      <x:c r="S158" s="75" t="str">
        <x:v>Not applied — review required</x:v>
      </x:c>
    </x:row>
    <x:row r="159">
      <x:c r="A159" s="71" t="str">
        <x:v>MRV-D6C9BD07D7</x:v>
      </x:c>
      <x:c r="B159" s="71" t="str">
        <x:v>Trips</x:v>
      </x:c>
      <x:c r="C159" s="71" t="str">
        <x:v>Dashboard</x:v>
      </x:c>
      <x:c r="D159" s="71" t="str">
        <x:v>/journey/dashboard/dashboard-client</x:v>
      </x:c>
      <x:c r="E159" s="71" t="str">
        <x:v>DashboardClient</x:v>
      </x:c>
      <x:c r="F159" s="71" t="str">
        <x:v>Default</x:v>
      </x:c>
      <x:c r="G159" s="71" t="str">
        <x:v>CTA / button</x:v>
      </x:c>
      <x:c r="H159" s="71" t="str">
        <x:v>Open Stamped</x:v>
      </x:c>
      <x:c r="I159" s="71" t="str">
        <x:v>Open Stamped</x:v>
      </x:c>
      <x:c r="J159" s="73"/>
      <x:c r="K159" s="74" t="str">
        <x:f>IF(J159="",H159,IF(J159=I159,I159,J159))</x:f>
        <x:v>Open Stamped</x:v>
      </x:c>
      <x:c r="L159" s="74" t="str">
        <x:f>IF(J159="","Keep current",IF(J159=I159,"Use suggestion","Custom"))</x:f>
        <x:v>Keep current</x:v>
      </x:c>
      <x:c r="M159" s="71" t="str">
        <x:v>Pending review</x:v>
      </x:c>
      <x:c r="N159" s="71" t="str">
        <x:v>Medium</x:v>
      </x:c>
      <x:c r="O159" s="71" t="str">
        <x:v>app/journey/dashboard/dashboard-client.tsx</x:v>
      </x:c>
      <x:c r="P159" s="71" t="str">
        <x:v>DashboardClient:434</x:v>
      </x:c>
      <x:c r="Q159" s="71" t="str">
        <x:v>EN</x:v>
      </x:c>
      <x:c r="R159" s="71" t="str">
        <x:v>Already clear and direct; suggested wording intentionally keeps the current copy.</x:v>
      </x:c>
      <x:c r="S159" s="75" t="str">
        <x:v>Not applied — review required</x:v>
      </x:c>
    </x:row>
    <x:row r="160">
      <x:c r="A160" s="71" t="str">
        <x:v>MRV-4CD603395C</x:v>
      </x:c>
      <x:c r="B160" s="71" t="str">
        <x:v>Trips</x:v>
      </x:c>
      <x:c r="C160" s="71" t="str">
        <x:v>Dashboard</x:v>
      </x:c>
      <x:c r="D160" s="71" t="str">
        <x:v>/journey/dashboard/dashboard-client</x:v>
      </x:c>
      <x:c r="E160" s="71" t="str">
        <x:v>DashboardClient</x:v>
      </x:c>
      <x:c r="F160" s="71" t="str">
        <x:v>Default</x:v>
      </x:c>
      <x:c r="G160" s="71" t="str">
        <x:v>Label</x:v>
      </x:c>
      <x:c r="H160" s="71" t="str">
        <x:v>Tus viajes</x:v>
      </x:c>
      <x:c r="I160" s="71" t="str">
        <x:v>Tus viajes</x:v>
      </x:c>
      <x:c r="J160" s="73"/>
      <x:c r="K160" s="74" t="str">
        <x:f>IF(J160="",H160,IF(J160=I160,I160,J160))</x:f>
        <x:v>Tus viajes</x:v>
      </x:c>
      <x:c r="L160" s="74" t="str">
        <x:f>IF(J160="","Keep current",IF(J160=I160,"Use suggestion","Custom"))</x:f>
        <x:v>Keep current</x:v>
      </x:c>
      <x:c r="M160" s="71" t="str">
        <x:v>Pending review</x:v>
      </x:c>
      <x:c r="N160" s="71" t="str">
        <x:v>Normal</x:v>
      </x:c>
      <x:c r="O160" s="71" t="str">
        <x:v>app/journey/dashboard/dashboard-client.tsx</x:v>
      </x:c>
      <x:c r="P160" s="71" t="str">
        <x:v>DashboardClient:439</x:v>
      </x:c>
      <x:c r="Q160" s="71" t="str">
        <x:v>ES</x:v>
      </x:c>
      <x:c r="R160" s="71" t="str">
        <x:v>Already clear and direct; suggested wording intentionally keeps the current copy.</x:v>
      </x:c>
      <x:c r="S160" s="75" t="str">
        <x:v>Not applied — review required</x:v>
      </x:c>
    </x:row>
    <x:row r="161">
      <x:c r="A161" s="71" t="str">
        <x:v>MRV-B3E122975F</x:v>
      </x:c>
      <x:c r="B161" s="71" t="str">
        <x:v>Trips</x:v>
      </x:c>
      <x:c r="C161" s="71" t="str">
        <x:v>Dashboard</x:v>
      </x:c>
      <x:c r="D161" s="71" t="str">
        <x:v>/journey/dashboard/dashboard-client</x:v>
      </x:c>
      <x:c r="E161" s="71" t="str">
        <x:v>DashboardClient</x:v>
      </x:c>
      <x:c r="F161" s="71" t="str">
        <x:v>Default</x:v>
      </x:c>
      <x:c r="G161" s="71" t="str">
        <x:v>Label</x:v>
      </x:c>
      <x:c r="H161" s="71" t="str">
        <x:v>Your trips</x:v>
      </x:c>
      <x:c r="I161" s="71" t="str">
        <x:v>Your trips</x:v>
      </x:c>
      <x:c r="J161" s="73"/>
      <x:c r="K161" s="74" t="str">
        <x:f>IF(J161="",H161,IF(J161=I161,I161,J161))</x:f>
        <x:v>Your trips</x:v>
      </x:c>
      <x:c r="L161" s="74" t="str">
        <x:f>IF(J161="","Keep current",IF(J161=I161,"Use suggestion","Custom"))</x:f>
        <x:v>Keep current</x:v>
      </x:c>
      <x:c r="M161" s="71" t="str">
        <x:v>Pending review</x:v>
      </x:c>
      <x:c r="N161" s="71" t="str">
        <x:v>Normal</x:v>
      </x:c>
      <x:c r="O161" s="71" t="str">
        <x:v>app/journey/dashboard/dashboard-client.tsx</x:v>
      </x:c>
      <x:c r="P161" s="71" t="str">
        <x:v>DashboardClient:439</x:v>
      </x:c>
      <x:c r="Q161" s="71" t="str">
        <x:v>EN</x:v>
      </x:c>
      <x:c r="R161" s="71" t="str">
        <x:v>Already clear and direct; suggested wording intentionally keeps the current copy. Terminology watch: ‘trip’ and ‘journey’ both describe the same plan. Terminology watch: ‘stops’, ‘destinations’ and ‘places’ overlap.</x:v>
      </x:c>
      <x:c r="S161" s="75" t="str">
        <x:v>Not applied — review required</x:v>
      </x:c>
    </x:row>
    <x:row r="162">
      <x:c r="A162" s="71" t="str">
        <x:v>MRV-BB5D74977A</x:v>
      </x:c>
      <x:c r="B162" s="71" t="str">
        <x:v>Trips</x:v>
      </x:c>
      <x:c r="C162" s="71" t="str">
        <x:v>Dashboard</x:v>
      </x:c>
      <x:c r="D162" s="71" t="str">
        <x:v>/journey/dashboard/dashboard-client</x:v>
      </x:c>
      <x:c r="E162" s="71" t="str">
        <x:v>DashboardClient</x:v>
      </x:c>
      <x:c r="F162" s="71" t="str">
        <x:v>Accessibility / input support</x:v>
      </x:c>
      <x:c r="G162" s="71" t="str">
        <x:v>Accessibility label</x:v>
      </x:c>
      <x:c r="H162" s="71" t="str">
        <x:v>Filtrar por estado del viaje</x:v>
      </x:c>
      <x:c r="I162" s="71" t="str">
        <x:v>Filtrar por estado del viaje</x:v>
      </x:c>
      <x:c r="J162" s="73"/>
      <x:c r="K162" s="74" t="str">
        <x:f>IF(J162="",H162,IF(J162=I162,I162,J162))</x:f>
        <x:v>Filtrar por estado del viaje</x:v>
      </x:c>
      <x:c r="L162" s="74" t="str">
        <x:f>IF(J162="","Keep current",IF(J162=I162,"Use suggestion","Custom"))</x:f>
        <x:v>Keep current</x:v>
      </x:c>
      <x:c r="M162" s="71" t="str">
        <x:v>Pending review</x:v>
      </x:c>
      <x:c r="N162" s="71" t="str">
        <x:v>Medium</x:v>
      </x:c>
      <x:c r="O162" s="71" t="str">
        <x:v>app/journey/dashboard/dashboard-client.tsx</x:v>
      </x:c>
      <x:c r="P162" s="71" t="str">
        <x:v>DashboardClient:441</x:v>
      </x:c>
      <x:c r="Q162" s="71" t="str">
        <x:v>ES</x:v>
      </x:c>
      <x:c r="R162" s="71" t="str">
        <x:v>Already clear and direct; suggested wording intentionally keeps the current copy.</x:v>
      </x:c>
      <x:c r="S162" s="75" t="str">
        <x:v>Not applied — review required</x:v>
      </x:c>
    </x:row>
    <x:row r="163">
      <x:c r="A163" s="71" t="str">
        <x:v>MRV-A261DB6DFA</x:v>
      </x:c>
      <x:c r="B163" s="71" t="str">
        <x:v>Trips</x:v>
      </x:c>
      <x:c r="C163" s="71" t="str">
        <x:v>Dashboard</x:v>
      </x:c>
      <x:c r="D163" s="71" t="str">
        <x:v>/journey/dashboard/dashboard-client</x:v>
      </x:c>
      <x:c r="E163" s="71" t="str">
        <x:v>DashboardClient</x:v>
      </x:c>
      <x:c r="F163" s="71" t="str">
        <x:v>Accessibility / input support</x:v>
      </x:c>
      <x:c r="G163" s="71" t="str">
        <x:v>Accessibility label</x:v>
      </x:c>
      <x:c r="H163" s="71" t="str">
        <x:v>Filter by trip status</x:v>
      </x:c>
      <x:c r="I163" s="71" t="str">
        <x:v>Filter by trip status</x:v>
      </x:c>
      <x:c r="J163" s="73"/>
      <x:c r="K163" s="74" t="str">
        <x:f>IF(J163="",H163,IF(J163=I163,I163,J163))</x:f>
        <x:v>Filter by trip status</x:v>
      </x:c>
      <x:c r="L163" s="74" t="str">
        <x:f>IF(J163="","Keep current",IF(J163=I163,"Use suggestion","Custom"))</x:f>
        <x:v>Keep current</x:v>
      </x:c>
      <x:c r="M163" s="71" t="str">
        <x:v>Pending review</x:v>
      </x:c>
      <x:c r="N163" s="71" t="str">
        <x:v>Medium</x:v>
      </x:c>
      <x:c r="O163" s="71" t="str">
        <x:v>app/journey/dashboard/dashboard-client.tsx</x:v>
      </x:c>
      <x:c r="P163" s="71" t="str">
        <x:v>DashboardClient:441</x:v>
      </x:c>
      <x:c r="Q163" s="71" t="str">
        <x:v>EN</x:v>
      </x:c>
      <x:c r="R163" s="71" t="str">
        <x:v>Already clear and direct; suggested wording intentionally keeps the current copy. Terminology watch: ‘trip’ and ‘journey’ both describe the same plan. Terminology watch: ‘stops’, ‘destinations’ and ‘places’ overlap.</x:v>
      </x:c>
      <x:c r="S163" s="75" t="str">
        <x:v>Not applied — review required</x:v>
      </x:c>
    </x:row>
    <x:row r="164">
      <x:c r="A164" s="71" t="str">
        <x:v>MRV-FC88967FB3</x:v>
      </x:c>
      <x:c r="B164" s="71" t="str">
        <x:v>Trips</x:v>
      </x:c>
      <x:c r="C164" s="71" t="str">
        <x:v>Dashboard</x:v>
      </x:c>
      <x:c r="D164" s="71" t="str">
        <x:v>/journey/dashboard/dashboard-client</x:v>
      </x:c>
      <x:c r="E164" s="71" t="str">
        <x:v>DashboardClient</x:v>
      </x:c>
      <x:c r="F164" s="71" t="str">
        <x:v>Default</x:v>
      </x:c>
      <x:c r="G164" s="71" t="str">
        <x:v>Label</x:v>
      </x:c>
      <x:c r="H164" s="71" t="str">
        <x:v>Ordenar viajes</x:v>
      </x:c>
      <x:c r="I164" s="71" t="str">
        <x:v>Ordenar viajes</x:v>
      </x:c>
      <x:c r="J164" s="73"/>
      <x:c r="K164" s="74" t="str">
        <x:f>IF(J164="",H164,IF(J164=I164,I164,J164))</x:f>
        <x:v>Ordenar viajes</x:v>
      </x:c>
      <x:c r="L164" s="74" t="str">
        <x:f>IF(J164="","Keep current",IF(J164=I164,"Use suggestion","Custom"))</x:f>
        <x:v>Keep current</x:v>
      </x:c>
      <x:c r="M164" s="71" t="str">
        <x:v>Pending review</x:v>
      </x:c>
      <x:c r="N164" s="71" t="str">
        <x:v>Normal</x:v>
      </x:c>
      <x:c r="O164" s="71" t="str">
        <x:v>app/journey/dashboard/dashboard-client.tsx</x:v>
      </x:c>
      <x:c r="P164" s="71" t="str">
        <x:v>DashboardClient:450</x:v>
      </x:c>
      <x:c r="Q164" s="71" t="str">
        <x:v>ES</x:v>
      </x:c>
      <x:c r="R164" s="71" t="str">
        <x:v>Already clear and direct; suggested wording intentionally keeps the current copy.</x:v>
      </x:c>
      <x:c r="S164" s="75" t="str">
        <x:v>Not applied — review required</x:v>
      </x:c>
    </x:row>
    <x:row r="165">
      <x:c r="A165" s="71" t="str">
        <x:v>MRV-22ECE83D31</x:v>
      </x:c>
      <x:c r="B165" s="71" t="str">
        <x:v>Trips</x:v>
      </x:c>
      <x:c r="C165" s="71" t="str">
        <x:v>Dashboard</x:v>
      </x:c>
      <x:c r="D165" s="71" t="str">
        <x:v>/journey/dashboard/dashboard-client</x:v>
      </x:c>
      <x:c r="E165" s="71" t="str">
        <x:v>DashboardClient</x:v>
      </x:c>
      <x:c r="F165" s="71" t="str">
        <x:v>Default</x:v>
      </x:c>
      <x:c r="G165" s="71" t="str">
        <x:v>Label</x:v>
      </x:c>
      <x:c r="H165" s="71" t="str">
        <x:v>Sort trips</x:v>
      </x:c>
      <x:c r="I165" s="71" t="str">
        <x:v>Sort trips</x:v>
      </x:c>
      <x:c r="J165" s="73"/>
      <x:c r="K165" s="74" t="str">
        <x:f>IF(J165="",H165,IF(J165=I165,I165,J165))</x:f>
        <x:v>Sort trips</x:v>
      </x:c>
      <x:c r="L165" s="74" t="str">
        <x:f>IF(J165="","Keep current",IF(J165=I165,"Use suggestion","Custom"))</x:f>
        <x:v>Keep current</x:v>
      </x:c>
      <x:c r="M165" s="71" t="str">
        <x:v>Pending review</x:v>
      </x:c>
      <x:c r="N165" s="71" t="str">
        <x:v>Normal</x:v>
      </x:c>
      <x:c r="O165" s="71" t="str">
        <x:v>app/journey/dashboard/dashboard-client.tsx</x:v>
      </x:c>
      <x:c r="P165" s="71" t="str">
        <x:v>DashboardClient:450</x:v>
      </x:c>
      <x:c r="Q165" s="71" t="str">
        <x:v>EN</x:v>
      </x:c>
      <x:c r="R165" s="71" t="str">
        <x:v>Already clear and direct; suggested wording intentionally keeps the current copy. Terminology watch: ‘trip’ and ‘journey’ both describe the same plan. Terminology watch: ‘stops’, ‘destinations’ and ‘places’ overlap.</x:v>
      </x:c>
      <x:c r="S165" s="75" t="str">
        <x:v>Not applied — review required</x:v>
      </x:c>
    </x:row>
    <x:row r="166">
      <x:c r="A166" s="71" t="str">
        <x:v>MRV-7113FAB27C</x:v>
      </x:c>
      <x:c r="B166" s="71" t="str">
        <x:v>Trips</x:v>
      </x:c>
      <x:c r="C166" s="71" t="str">
        <x:v>Dashboard</x:v>
      </x:c>
      <x:c r="D166" s="71" t="str">
        <x:v>/journey/dashboard/dashboard-client</x:v>
      </x:c>
      <x:c r="E166" s="71" t="str">
        <x:v>DashboardClient</x:v>
      </x:c>
      <x:c r="F166" s="71" t="str">
        <x:v>Default</x:v>
      </x:c>
      <x:c r="G166" s="71" t="str">
        <x:v>Label</x:v>
      </x:c>
      <x:c r="H166" s="71" t="str">
        <x:v>Ordenar: Actualizados</x:v>
      </x:c>
      <x:c r="I166" s="71" t="str">
        <x:v>Ordenar: Actualizados</x:v>
      </x:c>
      <x:c r="J166" s="73"/>
      <x:c r="K166" s="74" t="str">
        <x:f>IF(J166="",H166,IF(J166=I166,I166,J166))</x:f>
        <x:v>Ordenar: Actualizados</x:v>
      </x:c>
      <x:c r="L166" s="74" t="str">
        <x:f>IF(J166="","Keep current",IF(J166=I166,"Use suggestion","Custom"))</x:f>
        <x:v>Keep current</x:v>
      </x:c>
      <x:c r="M166" s="71" t="str">
        <x:v>Pending review</x:v>
      </x:c>
      <x:c r="N166" s="71" t="str">
        <x:v>Normal</x:v>
      </x:c>
      <x:c r="O166" s="71" t="str">
        <x:v>app/journey/dashboard/dashboard-client.tsx</x:v>
      </x:c>
      <x:c r="P166" s="71" t="str">
        <x:v>DashboardClient:452</x:v>
      </x:c>
      <x:c r="Q166" s="71" t="str">
        <x:v>ES</x:v>
      </x:c>
      <x:c r="R166" s="71" t="str">
        <x:v>Already clear and direct; suggested wording intentionally keeps the current copy.</x:v>
      </x:c>
      <x:c r="S166" s="75" t="str">
        <x:v>Not applied — review required</x:v>
      </x:c>
    </x:row>
    <x:row r="167">
      <x:c r="A167" s="71" t="str">
        <x:v>MRV-12F0D3B28F</x:v>
      </x:c>
      <x:c r="B167" s="71" t="str">
        <x:v>Trips</x:v>
      </x:c>
      <x:c r="C167" s="71" t="str">
        <x:v>Dashboard</x:v>
      </x:c>
      <x:c r="D167" s="71" t="str">
        <x:v>/journey/dashboard/dashboard-client</x:v>
      </x:c>
      <x:c r="E167" s="71" t="str">
        <x:v>DashboardClient</x:v>
      </x:c>
      <x:c r="F167" s="71" t="str">
        <x:v>Default</x:v>
      </x:c>
      <x:c r="G167" s="71" t="str">
        <x:v>Label</x:v>
      </x:c>
      <x:c r="H167" s="71" t="str">
        <x:v>Sort by: Recently updated</x:v>
      </x:c>
      <x:c r="I167" s="71" t="str">
        <x:v>Sort by: Recently updated</x:v>
      </x:c>
      <x:c r="J167" s="73"/>
      <x:c r="K167" s="74" t="str">
        <x:f>IF(J167="",H167,IF(J167=I167,I167,J167))</x:f>
        <x:v>Sort by: Recently updated</x:v>
      </x:c>
      <x:c r="L167" s="74" t="str">
        <x:f>IF(J167="","Keep current",IF(J167=I167,"Use suggestion","Custom"))</x:f>
        <x:v>Keep current</x:v>
      </x:c>
      <x:c r="M167" s="71" t="str">
        <x:v>Pending review</x:v>
      </x:c>
      <x:c r="N167" s="71" t="str">
        <x:v>Normal</x:v>
      </x:c>
      <x:c r="O167" s="71" t="str">
        <x:v>app/journey/dashboard/dashboard-client.tsx</x:v>
      </x:c>
      <x:c r="P167" s="71" t="str">
        <x:v>DashboardClient:452</x:v>
      </x:c>
      <x:c r="Q167" s="71" t="str">
        <x:v>EN</x:v>
      </x:c>
      <x:c r="R167" s="71" t="str">
        <x:v>Already clear and direct; suggested wording intentionally keeps the current copy.</x:v>
      </x:c>
      <x:c r="S167" s="75" t="str">
        <x:v>Not applied — review required</x:v>
      </x:c>
    </x:row>
    <x:row r="168">
      <x:c r="A168" s="71" t="str">
        <x:v>MRV-6F8E8F30C9</x:v>
      </x:c>
      <x:c r="B168" s="71" t="str">
        <x:v>Trips</x:v>
      </x:c>
      <x:c r="C168" s="71" t="str">
        <x:v>Dashboard</x:v>
      </x:c>
      <x:c r="D168" s="71" t="str">
        <x:v>/journey/dashboard/dashboard-client</x:v>
      </x:c>
      <x:c r="E168" s="71" t="str">
        <x:v>DashboardClient</x:v>
      </x:c>
      <x:c r="F168" s="71" t="str">
        <x:v>Default</x:v>
      </x:c>
      <x:c r="G168" s="71" t="str">
        <x:v>Label</x:v>
      </x:c>
      <x:c r="H168" s="71" t="str">
        <x:v>Ordenar: Fecha de inicio</x:v>
      </x:c>
      <x:c r="I168" s="71" t="str">
        <x:v>Ordenar: Fecha de inicio</x:v>
      </x:c>
      <x:c r="J168" s="73"/>
      <x:c r="K168" s="74" t="str">
        <x:f>IF(J168="",H168,IF(J168=I168,I168,J168))</x:f>
        <x:v>Ordenar: Fecha de inicio</x:v>
      </x:c>
      <x:c r="L168" s="74" t="str">
        <x:f>IF(J168="","Keep current",IF(J168=I168,"Use suggestion","Custom"))</x:f>
        <x:v>Keep current</x:v>
      </x:c>
      <x:c r="M168" s="71" t="str">
        <x:v>Pending review</x:v>
      </x:c>
      <x:c r="N168" s="71" t="str">
        <x:v>Normal</x:v>
      </x:c>
      <x:c r="O168" s="71" t="str">
        <x:v>app/journey/dashboard/dashboard-client.tsx</x:v>
      </x:c>
      <x:c r="P168" s="71" t="str">
        <x:v>DashboardClient:453</x:v>
      </x:c>
      <x:c r="Q168" s="71" t="str">
        <x:v>ES</x:v>
      </x:c>
      <x:c r="R168" s="71" t="str">
        <x:v>Already clear and direct; suggested wording intentionally keeps the current copy.</x:v>
      </x:c>
      <x:c r="S168" s="75" t="str">
        <x:v>Not applied — review required</x:v>
      </x:c>
    </x:row>
    <x:row r="169">
      <x:c r="A169" s="71" t="str">
        <x:v>MRV-B9C1E984EB</x:v>
      </x:c>
      <x:c r="B169" s="71" t="str">
        <x:v>Trips</x:v>
      </x:c>
      <x:c r="C169" s="71" t="str">
        <x:v>Dashboard</x:v>
      </x:c>
      <x:c r="D169" s="71" t="str">
        <x:v>/journey/dashboard/dashboard-client</x:v>
      </x:c>
      <x:c r="E169" s="71" t="str">
        <x:v>DashboardClient</x:v>
      </x:c>
      <x:c r="F169" s="71" t="str">
        <x:v>Default</x:v>
      </x:c>
      <x:c r="G169" s="71" t="str">
        <x:v>Label</x:v>
      </x:c>
      <x:c r="H169" s="71" t="str">
        <x:v>Sort by: Start date</x:v>
      </x:c>
      <x:c r="I169" s="71" t="str">
        <x:v>Sort by: Start date</x:v>
      </x:c>
      <x:c r="J169" s="73"/>
      <x:c r="K169" s="74" t="str">
        <x:f>IF(J169="",H169,IF(J169=I169,I169,J169))</x:f>
        <x:v>Sort by: Start date</x:v>
      </x:c>
      <x:c r="L169" s="74" t="str">
        <x:f>IF(J169="","Keep current",IF(J169=I169,"Use suggestion","Custom"))</x:f>
        <x:v>Keep current</x:v>
      </x:c>
      <x:c r="M169" s="71" t="str">
        <x:v>Pending review</x:v>
      </x:c>
      <x:c r="N169" s="71" t="str">
        <x:v>Normal</x:v>
      </x:c>
      <x:c r="O169" s="71" t="str">
        <x:v>app/journey/dashboard/dashboard-client.tsx</x:v>
      </x:c>
      <x:c r="P169" s="71" t="str">
        <x:v>DashboardClient:453</x:v>
      </x:c>
      <x:c r="Q169" s="71" t="str">
        <x:v>EN</x:v>
      </x:c>
      <x:c r="R169" s="71" t="str">
        <x:v>Already clear and direct; suggested wording intentionally keeps the current copy.</x:v>
      </x:c>
      <x:c r="S169" s="75" t="str">
        <x:v>Not applied — review required</x:v>
      </x:c>
    </x:row>
    <x:row r="170">
      <x:c r="A170" s="71" t="str">
        <x:v>MRV-C23DDD3788</x:v>
      </x:c>
      <x:c r="B170" s="71" t="str">
        <x:v>Trips</x:v>
      </x:c>
      <x:c r="C170" s="71" t="str">
        <x:v>Dashboard</x:v>
      </x:c>
      <x:c r="D170" s="71" t="str">
        <x:v>/journey/dashboard/dashboard-client</x:v>
      </x:c>
      <x:c r="E170" s="71" t="str">
        <x:v>DashboardClient</x:v>
      </x:c>
      <x:c r="F170" s="71" t="str">
        <x:v>Default</x:v>
      </x:c>
      <x:c r="G170" s="71" t="str">
        <x:v>Label</x:v>
      </x:c>
      <x:c r="H170" s="71" t="str">
        <x:v>Ordenar: Título</x:v>
      </x:c>
      <x:c r="I170" s="71" t="str">
        <x:v>Ordenar: Título</x:v>
      </x:c>
      <x:c r="J170" s="73"/>
      <x:c r="K170" s="74" t="str">
        <x:f>IF(J170="",H170,IF(J170=I170,I170,J170))</x:f>
        <x:v>Ordenar: Título</x:v>
      </x:c>
      <x:c r="L170" s="74" t="str">
        <x:f>IF(J170="","Keep current",IF(J170=I170,"Use suggestion","Custom"))</x:f>
        <x:v>Keep current</x:v>
      </x:c>
      <x:c r="M170" s="71" t="str">
        <x:v>Pending review</x:v>
      </x:c>
      <x:c r="N170" s="71" t="str">
        <x:v>Normal</x:v>
      </x:c>
      <x:c r="O170" s="71" t="str">
        <x:v>app/journey/dashboard/dashboard-client.tsx</x:v>
      </x:c>
      <x:c r="P170" s="71" t="str">
        <x:v>DashboardClient:454</x:v>
      </x:c>
      <x:c r="Q170" s="71" t="str">
        <x:v>ES</x:v>
      </x:c>
      <x:c r="R170" s="71" t="str">
        <x:v>Already clear and direct; suggested wording intentionally keeps the current copy.</x:v>
      </x:c>
      <x:c r="S170" s="75" t="str">
        <x:v>Not applied — review required</x:v>
      </x:c>
    </x:row>
    <x:row r="171">
      <x:c r="A171" s="71" t="str">
        <x:v>MRV-B65403CCB4</x:v>
      </x:c>
      <x:c r="B171" s="71" t="str">
        <x:v>Trips</x:v>
      </x:c>
      <x:c r="C171" s="71" t="str">
        <x:v>Dashboard</x:v>
      </x:c>
      <x:c r="D171" s="71" t="str">
        <x:v>/journey/dashboard/dashboard-client</x:v>
      </x:c>
      <x:c r="E171" s="71" t="str">
        <x:v>DashboardClient</x:v>
      </x:c>
      <x:c r="F171" s="71" t="str">
        <x:v>Default</x:v>
      </x:c>
      <x:c r="G171" s="71" t="str">
        <x:v>Label</x:v>
      </x:c>
      <x:c r="H171" s="71" t="str">
        <x:v>Sort by: Title</x:v>
      </x:c>
      <x:c r="I171" s="71" t="str">
        <x:v>Sort by: Title</x:v>
      </x:c>
      <x:c r="J171" s="73"/>
      <x:c r="K171" s="74" t="str">
        <x:f>IF(J171="",H171,IF(J171=I171,I171,J171))</x:f>
        <x:v>Sort by: Title</x:v>
      </x:c>
      <x:c r="L171" s="74" t="str">
        <x:f>IF(J171="","Keep current",IF(J171=I171,"Use suggestion","Custom"))</x:f>
        <x:v>Keep current</x:v>
      </x:c>
      <x:c r="M171" s="71" t="str">
        <x:v>Pending review</x:v>
      </x:c>
      <x:c r="N171" s="71" t="str">
        <x:v>Normal</x:v>
      </x:c>
      <x:c r="O171" s="71" t="str">
        <x:v>app/journey/dashboard/dashboard-client.tsx</x:v>
      </x:c>
      <x:c r="P171" s="71" t="str">
        <x:v>DashboardClient:454</x:v>
      </x:c>
      <x:c r="Q171" s="71" t="str">
        <x:v>EN</x:v>
      </x:c>
      <x:c r="R171" s="71" t="str">
        <x:v>Already clear and direct; suggested wording intentionally keeps the current copy.</x:v>
      </x:c>
      <x:c r="S171" s="75" t="str">
        <x:v>Not applied — review required</x:v>
      </x:c>
    </x:row>
    <x:row r="172">
      <x:c r="A172" s="71" t="str">
        <x:v>MRV-E75FC5A2E7</x:v>
      </x:c>
      <x:c r="B172" s="71" t="str">
        <x:v>Trips</x:v>
      </x:c>
      <x:c r="C172" s="71" t="str">
        <x:v>Dashboard</x:v>
      </x:c>
      <x:c r="D172" s="71" t="str">
        <x:v>/journey/dashboard/dashboard-client</x:v>
      </x:c>
      <x:c r="E172" s="71" t="str">
        <x:v>DashboardClient</x:v>
      </x:c>
      <x:c r="F172" s="71" t="str">
        <x:v>Default</x:v>
      </x:c>
      <x:c r="G172" s="71" t="str">
        <x:v>Label</x:v>
      </x:c>
      <x:c r="H172" s="71" t="str">
        <x:v>Buscar viajes</x:v>
      </x:c>
      <x:c r="I172" s="71" t="str">
        <x:v>Buscar viajes</x:v>
      </x:c>
      <x:c r="J172" s="73"/>
      <x:c r="K172" s="74" t="str">
        <x:f>IF(J172="",H172,IF(J172=I172,I172,J172))</x:f>
        <x:v>Buscar viajes</x:v>
      </x:c>
      <x:c r="L172" s="74" t="str">
        <x:f>IF(J172="","Keep current",IF(J172=I172,"Use suggestion","Custom"))</x:f>
        <x:v>Keep current</x:v>
      </x:c>
      <x:c r="M172" s="71" t="str">
        <x:v>Pending review</x:v>
      </x:c>
      <x:c r="N172" s="71" t="str">
        <x:v>Normal</x:v>
      </x:c>
      <x:c r="O172" s="71" t="str">
        <x:v>app/journey/dashboard/dashboard-client.tsx</x:v>
      </x:c>
      <x:c r="P172" s="71" t="str">
        <x:v>DashboardClient:459</x:v>
      </x:c>
      <x:c r="Q172" s="71" t="str">
        <x:v>ES</x:v>
      </x:c>
      <x:c r="R172" s="71" t="str">
        <x:v>Already clear and direct; suggested wording intentionally keeps the current copy. Duplicate wording: appears 2 times.</x:v>
      </x:c>
      <x:c r="S172" s="75" t="str">
        <x:v>Not applied — review required</x:v>
      </x:c>
    </x:row>
    <x:row r="173">
      <x:c r="A173" s="71" t="str">
        <x:v>MRV-0156A3E1A7</x:v>
      </x:c>
      <x:c r="B173" s="71" t="str">
        <x:v>Trips</x:v>
      </x:c>
      <x:c r="C173" s="71" t="str">
        <x:v>Dashboard</x:v>
      </x:c>
      <x:c r="D173" s="71" t="str">
        <x:v>/journey/dashboard/dashboard-client</x:v>
      </x:c>
      <x:c r="E173" s="71" t="str">
        <x:v>DashboardClient</x:v>
      </x:c>
      <x:c r="F173" s="71" t="str">
        <x:v>Default</x:v>
      </x:c>
      <x:c r="G173" s="71" t="str">
        <x:v>Label</x:v>
      </x:c>
      <x:c r="H173" s="71" t="str">
        <x:v>Search trips</x:v>
      </x:c>
      <x:c r="I173" s="71" t="str">
        <x:v>Search trips</x:v>
      </x:c>
      <x:c r="J173" s="73"/>
      <x:c r="K173" s="74" t="str">
        <x:f>IF(J173="",H173,IF(J173=I173,I173,J173))</x:f>
        <x:v>Search trips</x:v>
      </x:c>
      <x:c r="L173" s="74" t="str">
        <x:f>IF(J173="","Keep current",IF(J173=I173,"Use suggestion","Custom"))</x:f>
        <x:v>Keep current</x:v>
      </x:c>
      <x:c r="M173" s="71" t="str">
        <x:v>Pending review</x:v>
      </x:c>
      <x:c r="N173" s="71" t="str">
        <x:v>Normal</x:v>
      </x:c>
      <x:c r="O173" s="71" t="str">
        <x:v>app/journey/dashboard/dashboard-client.tsx</x:v>
      </x:c>
      <x:c r="P173" s="71" t="str">
        <x:v>DashboardClient:459</x:v>
      </x:c>
      <x:c r="Q173" s="71" t="str">
        <x:v>EN</x:v>
      </x:c>
      <x:c r="R173" s="71" t="str">
        <x:v>Already clear and direct; suggested wording intentionally keeps the current copy. Duplicate wording: appears 2 times. Terminology watch: ‘trip’ and ‘journey’ both describe the same plan. Terminology watch: ‘stops’, ‘destinations’ and ‘places’ overlap.</x:v>
      </x:c>
      <x:c r="S173" s="75" t="str">
        <x:v>Not applied — review required</x:v>
      </x:c>
    </x:row>
    <x:row r="174">
      <x:c r="A174" s="71" t="str">
        <x:v>MRV-F467ABF404</x:v>
      </x:c>
      <x:c r="B174" s="71" t="str">
        <x:v>Trips</x:v>
      </x:c>
      <x:c r="C174" s="71" t="str">
        <x:v>Dashboard</x:v>
      </x:c>
      <x:c r="D174" s="71" t="str">
        <x:v>/journey/dashboard/dashboard-client</x:v>
      </x:c>
      <x:c r="E174" s="71" t="str">
        <x:v>DashboardClient</x:v>
      </x:c>
      <x:c r="F174" s="71" t="str">
        <x:v>Accessibility / input support</x:v>
      </x:c>
      <x:c r="G174" s="71" t="str">
        <x:v>Placeholder</x:v>
      </x:c>
      <x:c r="H174" s="71" t="str">
        <x:v>Buscar viajes</x:v>
      </x:c>
      <x:c r="I174" s="71" t="str">
        <x:v>Buscar viajes</x:v>
      </x:c>
      <x:c r="J174" s="73"/>
      <x:c r="K174" s="74" t="str">
        <x:f>IF(J174="",H174,IF(J174=I174,I174,J174))</x:f>
        <x:v>Buscar viajes</x:v>
      </x:c>
      <x:c r="L174" s="74" t="str">
        <x:f>IF(J174="","Keep current",IF(J174=I174,"Use suggestion","Custom"))</x:f>
        <x:v>Keep current</x:v>
      </x:c>
      <x:c r="M174" s="71" t="str">
        <x:v>Pending review</x:v>
      </x:c>
      <x:c r="N174" s="71" t="str">
        <x:v>Medium</x:v>
      </x:c>
      <x:c r="O174" s="71" t="str">
        <x:v>app/journey/dashboard/dashboard-client.tsx</x:v>
      </x:c>
      <x:c r="P174" s="71" t="str">
        <x:v>DashboardClient:460</x:v>
      </x:c>
      <x:c r="Q174" s="71" t="str">
        <x:v>ES</x:v>
      </x:c>
      <x:c r="R174" s="71" t="str">
        <x:v>Already clear and direct; suggested wording intentionally keeps the current copy. Duplicate wording: appears 2 times.</x:v>
      </x:c>
      <x:c r="S174" s="75" t="str">
        <x:v>Not applied — review required</x:v>
      </x:c>
    </x:row>
    <x:row r="175">
      <x:c r="A175" s="71" t="str">
        <x:v>MRV-F96BC55D41</x:v>
      </x:c>
      <x:c r="B175" s="71" t="str">
        <x:v>Trips</x:v>
      </x:c>
      <x:c r="C175" s="71" t="str">
        <x:v>Dashboard</x:v>
      </x:c>
      <x:c r="D175" s="71" t="str">
        <x:v>/journey/dashboard/dashboard-client</x:v>
      </x:c>
      <x:c r="E175" s="71" t="str">
        <x:v>DashboardClient</x:v>
      </x:c>
      <x:c r="F175" s="71" t="str">
        <x:v>Accessibility / input support</x:v>
      </x:c>
      <x:c r="G175" s="71" t="str">
        <x:v>Placeholder</x:v>
      </x:c>
      <x:c r="H175" s="71" t="str">
        <x:v>Search trips</x:v>
      </x:c>
      <x:c r="I175" s="71" t="str">
        <x:v>Search trips</x:v>
      </x:c>
      <x:c r="J175" s="73"/>
      <x:c r="K175" s="74" t="str">
        <x:f>IF(J175="",H175,IF(J175=I175,I175,J175))</x:f>
        <x:v>Search trips</x:v>
      </x:c>
      <x:c r="L175" s="74" t="str">
        <x:f>IF(J175="","Keep current",IF(J175=I175,"Use suggestion","Custom"))</x:f>
        <x:v>Keep current</x:v>
      </x:c>
      <x:c r="M175" s="71" t="str">
        <x:v>Pending review</x:v>
      </x:c>
      <x:c r="N175" s="71" t="str">
        <x:v>Medium</x:v>
      </x:c>
      <x:c r="O175" s="71" t="str">
        <x:v>app/journey/dashboard/dashboard-client.tsx</x:v>
      </x:c>
      <x:c r="P175" s="71" t="str">
        <x:v>DashboardClient:460</x:v>
      </x:c>
      <x:c r="Q175" s="71" t="str">
        <x:v>EN</x:v>
      </x:c>
      <x:c r="R175" s="71" t="str">
        <x:v>Already clear and direct; suggested wording intentionally keeps the current copy. Duplicate wording: appears 2 times. Terminology watch: ‘trip’ and ‘journey’ both describe the same plan. Terminology watch: ‘stops’, ‘destinations’ and ‘places’ overlap.</x:v>
      </x:c>
      <x:c r="S175" s="75" t="str">
        <x:v>Not applied — review required</x:v>
      </x:c>
    </x:row>
    <x:row r="176">
      <x:c r="A176" s="71" t="str">
        <x:v>MRV-76CAEA51DF</x:v>
      </x:c>
      <x:c r="B176" s="71" t="str">
        <x:v>Trips</x:v>
      </x:c>
      <x:c r="C176" s="71" t="str">
        <x:v>Dashboard</x:v>
      </x:c>
      <x:c r="D176" s="71" t="str">
        <x:v>/journey/dashboard/dashboard-client</x:v>
      </x:c>
      <x:c r="E176" s="71" t="str">
        <x:v>DashboardClient</x:v>
      </x:c>
      <x:c r="F176" s="71" t="str">
        <x:v>Default</x:v>
      </x:c>
      <x:c r="G176" s="71" t="str">
        <x:v>Body copy</x:v>
      </x:c>
      <x:c r="H176" s="71" t="str">
        <x:v>Ningún viaje coincide.</x:v>
      </x:c>
      <x:c r="I176" s="71" t="str">
        <x:v>Ningún viaje coincide.</x:v>
      </x:c>
      <x:c r="J176" s="73"/>
      <x:c r="K176" s="74" t="str">
        <x:f>IF(J176="",H176,IF(J176=I176,I176,J176))</x:f>
        <x:v>Ningún viaje coincide.</x:v>
      </x:c>
      <x:c r="L176" s="74" t="str">
        <x:f>IF(J176="","Keep current",IF(J176=I176,"Use suggestion","Custom"))</x:f>
        <x:v>Keep current</x:v>
      </x:c>
      <x:c r="M176" s="71" t="str">
        <x:v>Pending review</x:v>
      </x:c>
      <x:c r="N176" s="71" t="str">
        <x:v>Normal</x:v>
      </x:c>
      <x:c r="O176" s="71" t="str">
        <x:v>app/journey/dashboard/dashboard-client.tsx</x:v>
      </x:c>
      <x:c r="P176" s="71" t="str">
        <x:v>DashboardClient:482</x:v>
      </x:c>
      <x:c r="Q176" s="71" t="str">
        <x:v>ES</x:v>
      </x:c>
      <x:c r="R176" s="71" t="str">
        <x:v>Already clear and direct; suggested wording intentionally keeps the current copy.</x:v>
      </x:c>
      <x:c r="S176" s="75" t="str">
        <x:v>Not applied — review required</x:v>
      </x:c>
    </x:row>
    <x:row r="177">
      <x:c r="A177" s="71" t="str">
        <x:v>MRV-394139A66E</x:v>
      </x:c>
      <x:c r="B177" s="71" t="str">
        <x:v>Trips</x:v>
      </x:c>
      <x:c r="C177" s="71" t="str">
        <x:v>Dashboard</x:v>
      </x:c>
      <x:c r="D177" s="71" t="str">
        <x:v>/journey/dashboard/dashboard-client</x:v>
      </x:c>
      <x:c r="E177" s="71" t="str">
        <x:v>DashboardClient</x:v>
      </x:c>
      <x:c r="F177" s="71" t="str">
        <x:v>Default</x:v>
      </x:c>
      <x:c r="G177" s="71" t="str">
        <x:v>Body copy</x:v>
      </x:c>
      <x:c r="H177" s="71" t="str">
        <x:v>No trips match that search.</x:v>
      </x:c>
      <x:c r="I177" s="71" t="str">
        <x:v>No trips match that search.</x:v>
      </x:c>
      <x:c r="J177" s="73"/>
      <x:c r="K177" s="74" t="str">
        <x:f>IF(J177="",H177,IF(J177=I177,I177,J177))</x:f>
        <x:v>No trips match that search.</x:v>
      </x:c>
      <x:c r="L177" s="74" t="str">
        <x:f>IF(J177="","Keep current",IF(J177=I177,"Use suggestion","Custom"))</x:f>
        <x:v>Keep current</x:v>
      </x:c>
      <x:c r="M177" s="71" t="str">
        <x:v>Pending review</x:v>
      </x:c>
      <x:c r="N177" s="71" t="str">
        <x:v>Normal</x:v>
      </x:c>
      <x:c r="O177" s="71" t="str">
        <x:v>app/journey/dashboard/dashboard-client.tsx</x:v>
      </x:c>
      <x:c r="P177" s="71" t="str">
        <x:v>DashboardClient:482</x:v>
      </x:c>
      <x:c r="Q177" s="71" t="str">
        <x:v>EN</x:v>
      </x:c>
      <x:c r="R177" s="71" t="str">
        <x:v>Already clear and direct; suggested wording intentionally keeps the current copy. Terminology watch: ‘trip’ and ‘journey’ both describe the same plan. Terminology watch: ‘stops’, ‘destinations’ and ‘places’ overlap.</x:v>
      </x:c>
      <x:c r="S177" s="75" t="str">
        <x:v>Not applied — review required</x:v>
      </x:c>
    </x:row>
    <x:row r="178">
      <x:c r="A178" s="71" t="str">
        <x:v>MRV-5195A842FF</x:v>
      </x:c>
      <x:c r="B178" s="71" t="str">
        <x:v>Trips</x:v>
      </x:c>
      <x:c r="C178" s="71" t="str">
        <x:v>Dashboard</x:v>
      </x:c>
      <x:c r="D178" s="71" t="str">
        <x:v>/journey/dashboard/dashboard-client</x:v>
      </x:c>
      <x:c r="E178" s="71" t="str">
        <x:v>DashboardClient</x:v>
      </x:c>
      <x:c r="F178" s="71" t="str">
        <x:v>Default</x:v>
      </x:c>
      <x:c r="G178" s="71" t="str">
        <x:v>Body copy</x:v>
      </x:c>
      <x:c r="H178" s="71" t="str">
        <x:v>Aún no hay viajes planificados.</x:v>
      </x:c>
      <x:c r="I178" s="71" t="str">
        <x:v>Aún no hay viajes planificados.</x:v>
      </x:c>
      <x:c r="J178" s="73"/>
      <x:c r="K178" s="74" t="str">
        <x:f>IF(J178="",H178,IF(J178=I178,I178,J178))</x:f>
        <x:v>Aún no hay viajes planificados.</x:v>
      </x:c>
      <x:c r="L178" s="74" t="str">
        <x:f>IF(J178="","Keep current",IF(J178=I178,"Use suggestion","Custom"))</x:f>
        <x:v>Keep current</x:v>
      </x:c>
      <x:c r="M178" s="71" t="str">
        <x:v>Pending review</x:v>
      </x:c>
      <x:c r="N178" s="71" t="str">
        <x:v>Normal</x:v>
      </x:c>
      <x:c r="O178" s="71" t="str">
        <x:v>app/journey/dashboard/dashboard-client.tsx</x:v>
      </x:c>
      <x:c r="P178" s="71" t="str">
        <x:v>DashboardClient:482</x:v>
      </x:c>
      <x:c r="Q178" s="71" t="str">
        <x:v>ES</x:v>
      </x:c>
      <x:c r="R178" s="71" t="str">
        <x:v>Already clear and direct; suggested wording intentionally keeps the current copy.</x:v>
      </x:c>
      <x:c r="S178" s="75" t="str">
        <x:v>Not applied — review required</x:v>
      </x:c>
    </x:row>
    <x:row r="179">
      <x:c r="A179" s="71" t="str">
        <x:v>MRV-B0E156BC9D</x:v>
      </x:c>
      <x:c r="B179" s="71" t="str">
        <x:v>Trips</x:v>
      </x:c>
      <x:c r="C179" s="71" t="str">
        <x:v>Dashboard</x:v>
      </x:c>
      <x:c r="D179" s="71" t="str">
        <x:v>/journey/dashboard/dashboard-client</x:v>
      </x:c>
      <x:c r="E179" s="71" t="str">
        <x:v>DashboardClient</x:v>
      </x:c>
      <x:c r="F179" s="71" t="str">
        <x:v>Default</x:v>
      </x:c>
      <x:c r="G179" s="71" t="str">
        <x:v>Body copy</x:v>
      </x:c>
      <x:c r="H179" s="71" t="str">
        <x:v>No planned trips yet.</x:v>
      </x:c>
      <x:c r="I179" s="71" t="str">
        <x:v>No planned trips yet.</x:v>
      </x:c>
      <x:c r="J179" s="73"/>
      <x:c r="K179" s="74" t="str">
        <x:f>IF(J179="",H179,IF(J179=I179,I179,J179))</x:f>
        <x:v>No planned trips yet.</x:v>
      </x:c>
      <x:c r="L179" s="74" t="str">
        <x:f>IF(J179="","Keep current",IF(J179=I179,"Use suggestion","Custom"))</x:f>
        <x:v>Keep current</x:v>
      </x:c>
      <x:c r="M179" s="71" t="str">
        <x:v>Pending review</x:v>
      </x:c>
      <x:c r="N179" s="71" t="str">
        <x:v>Normal</x:v>
      </x:c>
      <x:c r="O179" s="71" t="str">
        <x:v>app/journey/dashboard/dashboard-client.tsx</x:v>
      </x:c>
      <x:c r="P179" s="71" t="str">
        <x:v>DashboardClient:482</x:v>
      </x:c>
      <x:c r="Q179" s="71" t="str">
        <x:v>EN</x:v>
      </x:c>
      <x:c r="R179" s="71" t="str">
        <x:v>Already clear and direct; suggested wording intentionally keeps the current copy. Terminology watch: ‘trip’ and ‘journey’ both describe the same plan. Terminology watch: ‘stops’, ‘destinations’ and ‘places’ overlap.</x:v>
      </x:c>
      <x:c r="S179" s="75" t="str">
        <x:v>Not applied — review required</x:v>
      </x:c>
    </x:row>
    <x:row r="180">
      <x:c r="A180" s="71" t="str">
        <x:v>MRV-D3580EDF15</x:v>
      </x:c>
      <x:c r="B180" s="71" t="str">
        <x:v>Trips</x:v>
      </x:c>
      <x:c r="C180" s="71" t="str">
        <x:v>Dashboard</x:v>
      </x:c>
      <x:c r="D180" s="71" t="str">
        <x:v>/journey/dashboard/dashboard-client</x:v>
      </x:c>
      <x:c r="E180" s="71" t="str">
        <x:v>DashboardClient</x:v>
      </x:c>
      <x:c r="F180" s="71" t="str">
        <x:v>Default</x:v>
      </x:c>
      <x:c r="G180" s="71" t="str">
        <x:v>Body copy</x:v>
      </x:c>
      <x:c r="H180" s="71" t="str">
        <x:v>Prueba otro destino o título.</x:v>
      </x:c>
      <x:c r="I180" s="71" t="str">
        <x:v>Prueba otro destino o título.</x:v>
      </x:c>
      <x:c r="J180" s="73"/>
      <x:c r="K180" s="74" t="str">
        <x:f>IF(J180="",H180,IF(J180=I180,I180,J180))</x:f>
        <x:v>Prueba otro destino o título.</x:v>
      </x:c>
      <x:c r="L180" s="74" t="str">
        <x:f>IF(J180="","Keep current",IF(J180=I180,"Use suggestion","Custom"))</x:f>
        <x:v>Keep current</x:v>
      </x:c>
      <x:c r="M180" s="71" t="str">
        <x:v>Pending review</x:v>
      </x:c>
      <x:c r="N180" s="71" t="str">
        <x:v>Normal</x:v>
      </x:c>
      <x:c r="O180" s="71" t="str">
        <x:v>app/journey/dashboard/dashboard-client.tsx</x:v>
      </x:c>
      <x:c r="P180" s="71" t="str">
        <x:v>DashboardClient:483</x:v>
      </x:c>
      <x:c r="Q180" s="71" t="str">
        <x:v>ES</x:v>
      </x:c>
      <x:c r="R180" s="71" t="str">
        <x:v>Already clear and direct; suggested wording intentionally keeps the current copy.</x:v>
      </x:c>
      <x:c r="S180" s="75" t="str">
        <x:v>Not applied — review required</x:v>
      </x:c>
    </x:row>
    <x:row r="181">
      <x:c r="A181" s="71" t="str">
        <x:v>MRV-884264CE09</x:v>
      </x:c>
      <x:c r="B181" s="71" t="str">
        <x:v>Trips</x:v>
      </x:c>
      <x:c r="C181" s="71" t="str">
        <x:v>Dashboard</x:v>
      </x:c>
      <x:c r="D181" s="71" t="str">
        <x:v>/journey/dashboard/dashboard-client</x:v>
      </x:c>
      <x:c r="E181" s="71" t="str">
        <x:v>DashboardClient</x:v>
      </x:c>
      <x:c r="F181" s="71" t="str">
        <x:v>Default</x:v>
      </x:c>
      <x:c r="G181" s="71" t="str">
        <x:v>Body copy</x:v>
      </x:c>
      <x:c r="H181" s="71" t="str">
        <x:v>Try another destination or title.</x:v>
      </x:c>
      <x:c r="I181" s="71" t="str">
        <x:v>Try another destination or title.</x:v>
      </x:c>
      <x:c r="J181" s="73"/>
      <x:c r="K181" s="74" t="str">
        <x:f>IF(J181="",H181,IF(J181=I181,I181,J181))</x:f>
        <x:v>Try another destination or title.</x:v>
      </x:c>
      <x:c r="L181" s="74" t="str">
        <x:f>IF(J181="","Keep current",IF(J181=I181,"Use suggestion","Custom"))</x:f>
        <x:v>Keep current</x:v>
      </x:c>
      <x:c r="M181" s="71" t="str">
        <x:v>Pending review</x:v>
      </x:c>
      <x:c r="N181" s="71" t="str">
        <x:v>Normal</x:v>
      </x:c>
      <x:c r="O181" s="71" t="str">
        <x:v>app/journey/dashboard/dashboard-client.tsx</x:v>
      </x:c>
      <x:c r="P181" s="71" t="str">
        <x:v>DashboardClient:483</x:v>
      </x:c>
      <x:c r="Q181" s="71" t="str">
        <x:v>EN</x:v>
      </x:c>
      <x:c r="R181" s="71" t="str">
        <x:v>Already clear and direct; suggested wording intentionally keeps the current copy. Terminology watch: ‘trip’ and ‘journey’ both describe the same plan. Terminology watch: ‘stops’, ‘destinations’ and ‘places’ overlap.</x:v>
      </x:c>
      <x:c r="S181" s="75" t="str">
        <x:v>Not applied — review required</x:v>
      </x:c>
    </x:row>
    <x:row r="182">
      <x:c r="A182" s="71" t="str">
        <x:v>MRV-99B6E6774C</x:v>
      </x:c>
      <x:c r="B182" s="71" t="str">
        <x:v>Trips</x:v>
      </x:c>
      <x:c r="C182" s="71" t="str">
        <x:v>Dashboard</x:v>
      </x:c>
      <x:c r="D182" s="71" t="str">
        <x:v>/journey/dashboard/dashboard-client</x:v>
      </x:c>
      <x:c r="E182" s="71" t="str">
        <x:v>DashboardClient</x:v>
      </x:c>
      <x:c r="F182" s="71" t="str">
        <x:v>Default</x:v>
      </x:c>
      <x:c r="G182" s="71" t="str">
        <x:v>Label</x:v>
      </x:c>
      <x:c r="H182" s="71" t="str">
        <x:v>Crear un viaje</x:v>
      </x:c>
      <x:c r="I182" s="71" t="str">
        <x:v>Crear un viaje</x:v>
      </x:c>
      <x:c r="J182" s="73"/>
      <x:c r="K182" s="74" t="str">
        <x:f>IF(J182="",H182,IF(J182=I182,I182,J182))</x:f>
        <x:v>Crear un viaje</x:v>
      </x:c>
      <x:c r="L182" s="74" t="str">
        <x:f>IF(J182="","Keep current",IF(J182=I182,"Use suggestion","Custom"))</x:f>
        <x:v>Keep current</x:v>
      </x:c>
      <x:c r="M182" s="71" t="str">
        <x:v>Pending review</x:v>
      </x:c>
      <x:c r="N182" s="71" t="str">
        <x:v>Normal</x:v>
      </x:c>
      <x:c r="O182" s="71" t="str">
        <x:v>app/journey/dashboard/dashboard-client.tsx</x:v>
      </x:c>
      <x:c r="P182" s="71" t="str">
        <x:v>DashboardClient:484</x:v>
      </x:c>
      <x:c r="Q182" s="71" t="str">
        <x:v>ES</x:v>
      </x:c>
      <x:c r="R182" s="71" t="str">
        <x:v>Already clear and direct; suggested wording intentionally keeps the current copy.</x:v>
      </x:c>
      <x:c r="S182" s="75" t="str">
        <x:v>Not applied — review required</x:v>
      </x:c>
    </x:row>
    <x:row r="183">
      <x:c r="A183" s="71" t="str">
        <x:v>MRV-E3C5EB7894</x:v>
      </x:c>
      <x:c r="B183" s="71" t="str">
        <x:v>Trips</x:v>
      </x:c>
      <x:c r="C183" s="71" t="str">
        <x:v>Dashboard</x:v>
      </x:c>
      <x:c r="D183" s="71" t="str">
        <x:v>/journey/dashboard/dashboard-client</x:v>
      </x:c>
      <x:c r="E183" s="71" t="str">
        <x:v>DashboardClient</x:v>
      </x:c>
      <x:c r="F183" s="71" t="str">
        <x:v>Default</x:v>
      </x:c>
      <x:c r="G183" s="71" t="str">
        <x:v>CTA / button</x:v>
      </x:c>
      <x:c r="H183" s="71" t="str">
        <x:v>Start a trip</x:v>
      </x:c>
      <x:c r="I183" s="71" t="str">
        <x:v>Start a trip</x:v>
      </x:c>
      <x:c r="J183" s="73"/>
      <x:c r="K183" s="74" t="str">
        <x:f>IF(J183="",H183,IF(J183=I183,I183,J183))</x:f>
        <x:v>Start a trip</x:v>
      </x:c>
      <x:c r="L183" s="74" t="str">
        <x:f>IF(J183="","Keep current",IF(J183=I183,"Use suggestion","Custom"))</x:f>
        <x:v>Keep current</x:v>
      </x:c>
      <x:c r="M183" s="71" t="str">
        <x:v>Pending review</x:v>
      </x:c>
      <x:c r="N183" s="71" t="str">
        <x:v>Medium</x:v>
      </x:c>
      <x:c r="O183" s="71" t="str">
        <x:v>app/journey/dashboard/dashboard-client.tsx</x:v>
      </x:c>
      <x:c r="P183" s="71" t="str">
        <x:v>DashboardClient:484</x:v>
      </x:c>
      <x:c r="Q183" s="71" t="str">
        <x:v>EN</x:v>
      </x:c>
      <x:c r="R183" s="71" t="str">
        <x:v>Already clear and direct; suggested wording intentionally keeps the current copy. Duplicate wording: appears 3 times. Terminology watch: ‘trip’ and ‘journey’ both describe the same plan. Terminology watch: ‘stops’, ‘destinations’ and ‘places’ overlap.</x:v>
      </x:c>
      <x:c r="S183" s="75" t="str">
        <x:v>Not applied — review required</x:v>
      </x:c>
    </x:row>
    <x:row r="184">
      <x:c r="A184" s="71" t="str">
        <x:v>MRV-FC20558B8E</x:v>
      </x:c>
      <x:c r="B184" s="71" t="str">
        <x:v>Trips</x:v>
      </x:c>
      <x:c r="C184" s="71" t="str">
        <x:v>Dashboard</x:v>
      </x:c>
      <x:c r="D184" s="71" t="str">
        <x:v>/journey/dashboard/dashboard-client</x:v>
      </x:c>
      <x:c r="E184" s="71" t="str">
        <x:v>DashboardClient</x:v>
      </x:c>
      <x:c r="F184" s="71" t="str">
        <x:v>Accessibility / input support</x:v>
      </x:c>
      <x:c r="G184" s="71" t="str">
        <x:v>Accessibility label</x:v>
      </x:c>
      <x:c r="H184" s="71" t="str">
        <x:v>Cerrar diálogo</x:v>
      </x:c>
      <x:c r="I184" s="71" t="str">
        <x:v>Cerrar diálogo</x:v>
      </x:c>
      <x:c r="J184" s="73"/>
      <x:c r="K184" s="74" t="str">
        <x:f>IF(J184="",H184,IF(J184=I184,I184,J184))</x:f>
        <x:v>Cerrar diálogo</x:v>
      </x:c>
      <x:c r="L184" s="74" t="str">
        <x:f>IF(J184="","Keep current",IF(J184=I184,"Use suggestion","Custom"))</x:f>
        <x:v>Keep current</x:v>
      </x:c>
      <x:c r="M184" s="71" t="str">
        <x:v>Pending review</x:v>
      </x:c>
      <x:c r="N184" s="71" t="str">
        <x:v>Medium</x:v>
      </x:c>
      <x:c r="O184" s="71" t="str">
        <x:v>app/journey/dashboard/dashboard-client.tsx</x:v>
      </x:c>
      <x:c r="P184" s="71" t="str">
        <x:v>DashboardClient:493</x:v>
      </x:c>
      <x:c r="Q184" s="71" t="str">
        <x:v>ES</x:v>
      </x:c>
      <x:c r="R184" s="71" t="str">
        <x:v>Already clear and direct; suggested wording intentionally keeps the current copy.</x:v>
      </x:c>
      <x:c r="S184" s="75" t="str">
        <x:v>Not applied — review required</x:v>
      </x:c>
    </x:row>
    <x:row r="185">
      <x:c r="A185" s="71" t="str">
        <x:v>MRV-BBFC647F21</x:v>
      </x:c>
      <x:c r="B185" s="71" t="str">
        <x:v>Trips</x:v>
      </x:c>
      <x:c r="C185" s="71" t="str">
        <x:v>Dashboard</x:v>
      </x:c>
      <x:c r="D185" s="71" t="str">
        <x:v>/journey/dashboard/dashboard-client</x:v>
      </x:c>
      <x:c r="E185" s="71" t="str">
        <x:v>DashboardClient</x:v>
      </x:c>
      <x:c r="F185" s="71" t="str">
        <x:v>Accessibility / input support</x:v>
      </x:c>
      <x:c r="G185" s="71" t="str">
        <x:v>Accessibility label</x:v>
      </x:c>
      <x:c r="H185" s="71" t="str">
        <x:v>Close gift dialog</x:v>
      </x:c>
      <x:c r="I185" s="71" t="str">
        <x:v>Close gift dialog</x:v>
      </x:c>
      <x:c r="J185" s="73"/>
      <x:c r="K185" s="74" t="str">
        <x:f>IF(J185="",H185,IF(J185=I185,I185,J185))</x:f>
        <x:v>Close gift dialog</x:v>
      </x:c>
      <x:c r="L185" s="74" t="str">
        <x:f>IF(J185="","Keep current",IF(J185=I185,"Use suggestion","Custom"))</x:f>
        <x:v>Keep current</x:v>
      </x:c>
      <x:c r="M185" s="71" t="str">
        <x:v>Pending review</x:v>
      </x:c>
      <x:c r="N185" s="71" t="str">
        <x:v>Medium</x:v>
      </x:c>
      <x:c r="O185" s="71" t="str">
        <x:v>app/journey/dashboard/dashboard-client.tsx</x:v>
      </x:c>
      <x:c r="P185" s="71" t="str">
        <x:v>DashboardClient:493</x:v>
      </x:c>
      <x:c r="Q185" s="71" t="str">
        <x:v>EN</x:v>
      </x:c>
      <x:c r="R185" s="71" t="str">
        <x:v>Already clear and direct; suggested wording intentionally keeps the current copy.</x:v>
      </x:c>
      <x:c r="S185" s="75" t="str">
        <x:v>Not applied — review required</x:v>
      </x:c>
    </x:row>
    <x:row r="186">
      <x:c r="A186" s="71" t="str">
        <x:v>MRV-A9C647D651</x:v>
      </x:c>
      <x:c r="B186" s="71" t="str">
        <x:v>Trips</x:v>
      </x:c>
      <x:c r="C186" s="71" t="str">
        <x:v>Dashboard</x:v>
      </x:c>
      <x:c r="D186" s="71" t="str">
        <x:v>/journey/dashboard/dashboard-client</x:v>
      </x:c>
      <x:c r="E186" s="71" t="str">
        <x:v>DashboardClient</x:v>
      </x:c>
      <x:c r="F186" s="71" t="str">
        <x:v>Default</x:v>
      </x:c>
      <x:c r="G186" s="71" t="str">
        <x:v>Label</x:v>
      </x:c>
      <x:c r="H186" s="71" t="str">
        <x:v>Compartir</x:v>
      </x:c>
      <x:c r="I186" s="71" t="str">
        <x:v>Compartir</x:v>
      </x:c>
      <x:c r="J186" s="73"/>
      <x:c r="K186" s="74" t="str">
        <x:f>IF(J186="",H186,IF(J186=I186,I186,J186))</x:f>
        <x:v>Compartir</x:v>
      </x:c>
      <x:c r="L186" s="74" t="str">
        <x:f>IF(J186="","Keep current",IF(J186=I186,"Use suggestion","Custom"))</x:f>
        <x:v>Keep current</x:v>
      </x:c>
      <x:c r="M186" s="71" t="str">
        <x:v>Pending review</x:v>
      </x:c>
      <x:c r="N186" s="71" t="str">
        <x:v>Normal</x:v>
      </x:c>
      <x:c r="O186" s="71" t="str">
        <x:v>app/journey/dashboard/dashboard-client.tsx</x:v>
      </x:c>
      <x:c r="P186" s="71" t="str">
        <x:v>DashboardClient:496</x:v>
      </x:c>
      <x:c r="Q186" s="71" t="str">
        <x:v>ES</x:v>
      </x:c>
      <x:c r="R186" s="71" t="str">
        <x:v>Already clear and direct; suggested wording intentionally keeps the current copy.</x:v>
      </x:c>
      <x:c r="S186" s="75" t="str">
        <x:v>Not applied — review required</x:v>
      </x:c>
    </x:row>
    <x:row r="187">
      <x:c r="A187" s="71" t="str">
        <x:v>MRV-CC5693DAB3</x:v>
      </x:c>
      <x:c r="B187" s="71" t="str">
        <x:v>Trips</x:v>
      </x:c>
      <x:c r="C187" s="71" t="str">
        <x:v>Dashboard</x:v>
      </x:c>
      <x:c r="D187" s="71" t="str">
        <x:v>/journey/dashboard/dashboard-client</x:v>
      </x:c>
      <x:c r="E187" s="71" t="str">
        <x:v>DashboardClient</x:v>
      </x:c>
      <x:c r="F187" s="71" t="str">
        <x:v>Default</x:v>
      </x:c>
      <x:c r="G187" s="71" t="str">
        <x:v>CTA / button</x:v>
      </x:c>
      <x:c r="H187" s="71" t="str">
        <x:v>Share</x:v>
      </x:c>
      <x:c r="I187" s="71" t="str">
        <x:v>Share</x:v>
      </x:c>
      <x:c r="J187" s="73"/>
      <x:c r="K187" s="74" t="str">
        <x:f>IF(J187="",H187,IF(J187=I187,I187,J187))</x:f>
        <x:v>Share</x:v>
      </x:c>
      <x:c r="L187" s="74" t="str">
        <x:f>IF(J187="","Keep current",IF(J187=I187,"Use suggestion","Custom"))</x:f>
        <x:v>Keep current</x:v>
      </x:c>
      <x:c r="M187" s="71" t="str">
        <x:v>Pending review</x:v>
      </x:c>
      <x:c r="N187" s="71" t="str">
        <x:v>Medium</x:v>
      </x:c>
      <x:c r="O187" s="71" t="str">
        <x:v>app/journey/dashboard/dashboard-client.tsx</x:v>
      </x:c>
      <x:c r="P187" s="71" t="str">
        <x:v>DashboardClient:496</x:v>
      </x:c>
      <x:c r="Q187" s="71" t="str">
        <x:v>EN</x:v>
      </x:c>
      <x:c r="R187" s="71" t="str">
        <x:v>Already clear and direct; suggested wording intentionally keeps the current copy.</x:v>
      </x:c>
      <x:c r="S187" s="75" t="str">
        <x:v>Not applied — review required</x:v>
      </x:c>
    </x:row>
    <x:row r="188">
      <x:c r="A188" s="71" t="str">
        <x:v>MRV-38A8463AC9</x:v>
      </x:c>
      <x:c r="B188" s="71" t="str">
        <x:v>Trips</x:v>
      </x:c>
      <x:c r="C188" s="71" t="str">
        <x:v>Dashboard</x:v>
      </x:c>
      <x:c r="D188" s="71" t="str">
        <x:v>/journey/dashboard/dashboard-client</x:v>
      </x:c>
      <x:c r="E188" s="71" t="str">
        <x:v>DashboardClient</x:v>
      </x:c>
      <x:c r="F188" s="71" t="str">
        <x:v>Accessibility / input support</x:v>
      </x:c>
      <x:c r="G188" s="71" t="str">
        <x:v>Accessibility label</x:v>
      </x:c>
      <x:c r="H188" s="71" t="str">
        <x:v>Enlace para reclamar</x:v>
      </x:c>
      <x:c r="I188" s="71" t="str">
        <x:v>Enlace para reclamar</x:v>
      </x:c>
      <x:c r="J188" s="73"/>
      <x:c r="K188" s="74" t="str">
        <x:f>IF(J188="",H188,IF(J188=I188,I188,J188))</x:f>
        <x:v>Enlace para reclamar</x:v>
      </x:c>
      <x:c r="L188" s="74" t="str">
        <x:f>IF(J188="","Keep current",IF(J188=I188,"Use suggestion","Custom"))</x:f>
        <x:v>Keep current</x:v>
      </x:c>
      <x:c r="M188" s="71" t="str">
        <x:v>Pending review</x:v>
      </x:c>
      <x:c r="N188" s="71" t="str">
        <x:v>Medium</x:v>
      </x:c>
      <x:c r="O188" s="71" t="str">
        <x:v>app/journey/dashboard/dashboard-client.tsx</x:v>
      </x:c>
      <x:c r="P188" s="71" t="str">
        <x:v>DashboardClient:500</x:v>
      </x:c>
      <x:c r="Q188" s="71" t="str">
        <x:v>ES</x:v>
      </x:c>
      <x:c r="R188" s="71" t="str">
        <x:v>Already clear and direct; suggested wording intentionally keeps the current copy.</x:v>
      </x:c>
      <x:c r="S188" s="75" t="str">
        <x:v>Not applied — review required</x:v>
      </x:c>
    </x:row>
    <x:row r="189">
      <x:c r="A189" s="71" t="str">
        <x:v>MRV-53540124FB</x:v>
      </x:c>
      <x:c r="B189" s="71" t="str">
        <x:v>Trips</x:v>
      </x:c>
      <x:c r="C189" s="71" t="str">
        <x:v>Dashboard</x:v>
      </x:c>
      <x:c r="D189" s="71" t="str">
        <x:v>/journey/dashboard/dashboard-client</x:v>
      </x:c>
      <x:c r="E189" s="71" t="str">
        <x:v>DashboardClient</x:v>
      </x:c>
      <x:c r="F189" s="71" t="str">
        <x:v>Accessibility / input support</x:v>
      </x:c>
      <x:c r="G189" s="71" t="str">
        <x:v>Accessibility label</x:v>
      </x:c>
      <x:c r="H189" s="71" t="str">
        <x:v>Gift claim link</x:v>
      </x:c>
      <x:c r="I189" s="71" t="str">
        <x:v>Gift claim link</x:v>
      </x:c>
      <x:c r="J189" s="73"/>
      <x:c r="K189" s="74" t="str">
        <x:f>IF(J189="",H189,IF(J189=I189,I189,J189))</x:f>
        <x:v>Gift claim link</x:v>
      </x:c>
      <x:c r="L189" s="74" t="str">
        <x:f>IF(J189="","Keep current",IF(J189=I189,"Use suggestion","Custom"))</x:f>
        <x:v>Keep current</x:v>
      </x:c>
      <x:c r="M189" s="71" t="str">
        <x:v>Pending review</x:v>
      </x:c>
      <x:c r="N189" s="71" t="str">
        <x:v>Medium</x:v>
      </x:c>
      <x:c r="O189" s="71" t="str">
        <x:v>app/journey/dashboard/dashboard-client.tsx</x:v>
      </x:c>
      <x:c r="P189" s="71" t="str">
        <x:v>DashboardClient:500</x:v>
      </x:c>
      <x:c r="Q189" s="71" t="str">
        <x:v>EN</x:v>
      </x:c>
      <x:c r="R189" s="71" t="str">
        <x:v>Already clear and direct; suggested wording intentionally keeps the current copy.</x:v>
      </x:c>
      <x:c r="S189" s="75" t="str">
        <x:v>Not applied — review required</x:v>
      </x:c>
    </x:row>
    <x:row r="190">
      <x:c r="A190" s="71" t="str">
        <x:v>MRV-8047A830B3</x:v>
      </x:c>
      <x:c r="B190" s="71" t="str">
        <x:v>Trips</x:v>
      </x:c>
      <x:c r="C190" s="71" t="str">
        <x:v>Dashboard</x:v>
      </x:c>
      <x:c r="D190" s="71" t="str">
        <x:v>/journey/dashboard/dashboard-client</x:v>
      </x:c>
      <x:c r="E190" s="71" t="str">
        <x:v>DashboardClient</x:v>
      </x:c>
      <x:c r="F190" s="71" t="str">
        <x:v>Accessibility / input support</x:v>
      </x:c>
      <x:c r="G190" s="71" t="str">
        <x:v>Placeholder</x:v>
      </x:c>
      <x:c r="H190" s="71" t="str">
        <x:v>Un pequeño adelanto para nuestra próxima aventura…</x:v>
      </x:c>
      <x:c r="I190" s="71" t="str">
        <x:v>Un pequeño adelanto para nuestra próxima aventura…</x:v>
      </x:c>
      <x:c r="J190" s="73"/>
      <x:c r="K190" s="74" t="str">
        <x:f>IF(J190="",H190,IF(J190=I190,I190,J190))</x:f>
        <x:v>Un pequeño adelanto para nuestra próxima aventura…</x:v>
      </x:c>
      <x:c r="L190" s="74" t="str">
        <x:f>IF(J190="","Keep current",IF(J190=I190,"Use suggestion","Custom"))</x:f>
        <x:v>Keep current</x:v>
      </x:c>
      <x:c r="M190" s="71" t="str">
        <x:v>Pending review</x:v>
      </x:c>
      <x:c r="N190" s="71" t="str">
        <x:v>Medium</x:v>
      </x:c>
      <x:c r="O190" s="71" t="str">
        <x:v>app/journey/dashboard/dashboard-client.tsx</x:v>
      </x:c>
      <x:c r="P190" s="71" t="str">
        <x:v>DashboardClient:507</x:v>
      </x:c>
      <x:c r="Q190" s="71" t="str">
        <x:v>ES</x:v>
      </x:c>
      <x:c r="R190" s="71" t="str">
        <x:v>Already clear and direct; suggested wording intentionally keeps the current copy.</x:v>
      </x:c>
      <x:c r="S190" s="75" t="str">
        <x:v>Not applied — review required</x:v>
      </x:c>
    </x:row>
    <x:row r="191">
      <x:c r="A191" s="71" t="str">
        <x:v>MRV-5A57BEA926</x:v>
      </x:c>
      <x:c r="B191" s="71" t="str">
        <x:v>Trips</x:v>
      </x:c>
      <x:c r="C191" s="71" t="str">
        <x:v>Dashboard</x:v>
      </x:c>
      <x:c r="D191" s="71" t="str">
        <x:v>/journey/dashboard/dashboard-client</x:v>
      </x:c>
      <x:c r="E191" s="71" t="str">
        <x:v>DashboardClient</x:v>
      </x:c>
      <x:c r="F191" s="71" t="str">
        <x:v>Accessibility / input support</x:v>
      </x:c>
      <x:c r="G191" s="71" t="str">
        <x:v>Placeholder</x:v>
      </x:c>
      <x:c r="H191" s="71" t="str">
        <x:v>A little head start for our next adventure…</x:v>
      </x:c>
      <x:c r="I191" s="71" t="str">
        <x:v>A little head start for our next adventure…</x:v>
      </x:c>
      <x:c r="J191" s="73"/>
      <x:c r="K191" s="74" t="str">
        <x:f>IF(J191="",H191,IF(J191=I191,I191,J191))</x:f>
        <x:v>A little head start for our next adventure…</x:v>
      </x:c>
      <x:c r="L191" s="74" t="str">
        <x:f>IF(J191="","Keep current",IF(J191=I191,"Use suggestion","Custom"))</x:f>
        <x:v>Keep current</x:v>
      </x:c>
      <x:c r="M191" s="71" t="str">
        <x:v>Pending review</x:v>
      </x:c>
      <x:c r="N191" s="71" t="str">
        <x:v>Medium</x:v>
      </x:c>
      <x:c r="O191" s="71" t="str">
        <x:v>app/journey/dashboard/dashboard-client.tsx</x:v>
      </x:c>
      <x:c r="P191" s="71" t="str">
        <x:v>DashboardClient:507</x:v>
      </x:c>
      <x:c r="Q191" s="71" t="str">
        <x:v>EN</x:v>
      </x:c>
      <x:c r="R191" s="71" t="str">
        <x:v>Already clear and direct; suggested wording intentionally keeps the current copy.</x:v>
      </x:c>
      <x:c r="S191" s="75" t="str">
        <x:v>Not applied — review required</x:v>
      </x:c>
    </x:row>
    <x:row r="192">
      <x:c r="A192" s="71" t="str">
        <x:v>MRV-F4151EE3A4</x:v>
      </x:c>
      <x:c r="B192" s="71" t="str">
        <x:v>Trips</x:v>
      </x:c>
      <x:c r="C192" s="71" t="str">
        <x:v>Dashboard</x:v>
      </x:c>
      <x:c r="D192" s="71" t="str">
        <x:v>/journey/dashboard/dashboard-client</x:v>
      </x:c>
      <x:c r="E192" s="71" t="str">
        <x:v>TripCard</x:v>
      </x:c>
      <x:c r="F192" s="71" t="str">
        <x:v>Accessibility / input support</x:v>
      </x:c>
      <x:c r="G192" s="71" t="str">
        <x:v>Accessibility label</x:v>
      </x:c>
      <x:c r="H192" s="71" t="str">
        <x:v>Resumen de preparación del viaje</x:v>
      </x:c>
      <x:c r="I192" s="71" t="str">
        <x:v>Resumen de preparación del viaje</x:v>
      </x:c>
      <x:c r="J192" s="73"/>
      <x:c r="K192" s="74" t="str">
        <x:f>IF(J192="",H192,IF(J192=I192,I192,J192))</x:f>
        <x:v>Resumen de preparación del viaje</x:v>
      </x:c>
      <x:c r="L192" s="74" t="str">
        <x:f>IF(J192="","Keep current",IF(J192=I192,"Use suggestion","Custom"))</x:f>
        <x:v>Keep current</x:v>
      </x:c>
      <x:c r="M192" s="71" t="str">
        <x:v>Pending review</x:v>
      </x:c>
      <x:c r="N192" s="71" t="str">
        <x:v>Medium</x:v>
      </x:c>
      <x:c r="O192" s="71" t="str">
        <x:v>app/journey/dashboard/dashboard-client.tsx</x:v>
      </x:c>
      <x:c r="P192" s="71" t="str">
        <x:v>TripCard:546</x:v>
      </x:c>
      <x:c r="Q192" s="71" t="str">
        <x:v>ES</x:v>
      </x:c>
      <x:c r="R192" s="71" t="str">
        <x:v>Already clear and direct; suggested wording intentionally keeps the current copy.</x:v>
      </x:c>
      <x:c r="S192" s="75" t="str">
        <x:v>Not applied — review required</x:v>
      </x:c>
    </x:row>
    <x:row r="193">
      <x:c r="A193" s="71" t="str">
        <x:v>MRV-DDE3E77576</x:v>
      </x:c>
      <x:c r="B193" s="71" t="str">
        <x:v>Trips</x:v>
      </x:c>
      <x:c r="C193" s="71" t="str">
        <x:v>Dashboard</x:v>
      </x:c>
      <x:c r="D193" s="71" t="str">
        <x:v>/journey/dashboard/dashboard-client</x:v>
      </x:c>
      <x:c r="E193" s="71" t="str">
        <x:v>TripCard</x:v>
      </x:c>
      <x:c r="F193" s="71" t="str">
        <x:v>Accessibility / input support</x:v>
      </x:c>
      <x:c r="G193" s="71" t="str">
        <x:v>Accessibility label</x:v>
      </x:c>
      <x:c r="H193" s="71" t="str">
        <x:v>Trip readiness summary</x:v>
      </x:c>
      <x:c r="I193" s="71" t="str">
        <x:v>Trip readiness summary</x:v>
      </x:c>
      <x:c r="J193" s="73"/>
      <x:c r="K193" s="74" t="str">
        <x:f>IF(J193="",H193,IF(J193=I193,I193,J193))</x:f>
        <x:v>Trip readiness summary</x:v>
      </x:c>
      <x:c r="L193" s="74" t="str">
        <x:f>IF(J193="","Keep current",IF(J193=I193,"Use suggestion","Custom"))</x:f>
        <x:v>Keep current</x:v>
      </x:c>
      <x:c r="M193" s="71" t="str">
        <x:v>Pending review</x:v>
      </x:c>
      <x:c r="N193" s="71" t="str">
        <x:v>Medium</x:v>
      </x:c>
      <x:c r="O193" s="71" t="str">
        <x:v>app/journey/dashboard/dashboard-client.tsx</x:v>
      </x:c>
      <x:c r="P193" s="71" t="str">
        <x:v>TripCard:546</x:v>
      </x:c>
      <x:c r="Q193" s="71" t="str">
        <x:v>EN</x:v>
      </x:c>
      <x:c r="R193" s="71" t="str">
        <x:v>Already clear and direct; suggested wording intentionally keeps the current copy. Terminology watch: ‘trip’ and ‘journey’ both describe the same plan. Terminology watch: ‘stops’, ‘destinations’ and ‘places’ overlap.</x:v>
      </x:c>
      <x:c r="S193" s="75" t="str">
        <x:v>Not applied — review required</x:v>
      </x:c>
    </x:row>
    <x:row r="194">
      <x:c r="A194" s="71" t="str">
        <x:v>MRV-8F2E1D32E5</x:v>
      </x:c>
      <x:c r="B194" s="71" t="str">
        <x:v>Trips</x:v>
      </x:c>
      <x:c r="C194" s="71" t="str">
        <x:v>Dashboard</x:v>
      </x:c>
      <x:c r="D194" s="71" t="str">
        <x:v>/journey/dashboard/dashboard-client</x:v>
      </x:c>
      <x:c r="E194" s="71" t="str">
        <x:v>TripCard</x:v>
      </x:c>
      <x:c r="F194" s="71" t="str">
        <x:v>Default</x:v>
      </x:c>
      <x:c r="G194" s="71" t="str">
        <x:v>Label</x:v>
      </x:c>
      <x:c r="H194" s="71" t="str">
        <x:v>Abrir viaje</x:v>
      </x:c>
      <x:c r="I194" s="71" t="str">
        <x:v>Abrir viaje</x:v>
      </x:c>
      <x:c r="J194" s="73"/>
      <x:c r="K194" s="74" t="str">
        <x:f>IF(J194="",H194,IF(J194=I194,I194,J194))</x:f>
        <x:v>Abrir viaje</x:v>
      </x:c>
      <x:c r="L194" s="74" t="str">
        <x:f>IF(J194="","Keep current",IF(J194=I194,"Use suggestion","Custom"))</x:f>
        <x:v>Keep current</x:v>
      </x:c>
      <x:c r="M194" s="71" t="str">
        <x:v>Pending review</x:v>
      </x:c>
      <x:c r="N194" s="71" t="str">
        <x:v>Normal</x:v>
      </x:c>
      <x:c r="O194" s="71" t="str">
        <x:v>app/journey/dashboard/dashboard-client.tsx</x:v>
      </x:c>
      <x:c r="P194" s="71" t="str">
        <x:v>TripCard:553</x:v>
      </x:c>
      <x:c r="Q194" s="71" t="str">
        <x:v>ES</x:v>
      </x:c>
      <x:c r="R194" s="71" t="str">
        <x:v>Already clear and direct; suggested wording intentionally keeps the current copy.</x:v>
      </x:c>
      <x:c r="S194" s="75" t="str">
        <x:v>Not applied — review required</x:v>
      </x:c>
    </x:row>
    <x:row r="195">
      <x:c r="A195" s="71" t="str">
        <x:v>MRV-7149FFC323</x:v>
      </x:c>
      <x:c r="B195" s="71" t="str">
        <x:v>Trips</x:v>
      </x:c>
      <x:c r="C195" s="71" t="str">
        <x:v>Dashboard</x:v>
      </x:c>
      <x:c r="D195" s="71" t="str">
        <x:v>/journey/dashboard/dashboard-client</x:v>
      </x:c>
      <x:c r="E195" s="71" t="str">
        <x:v>TripCard</x:v>
      </x:c>
      <x:c r="F195" s="71" t="str">
        <x:v>Default</x:v>
      </x:c>
      <x:c r="G195" s="71" t="str">
        <x:v>CTA / button</x:v>
      </x:c>
      <x:c r="H195" s="71" t="str">
        <x:v>Open trip</x:v>
      </x:c>
      <x:c r="I195" s="71" t="str">
        <x:v>Open trip</x:v>
      </x:c>
      <x:c r="J195" s="73"/>
      <x:c r="K195" s="74" t="str">
        <x:f>IF(J195="",H195,IF(J195=I195,I195,J195))</x:f>
        <x:v>Open trip</x:v>
      </x:c>
      <x:c r="L195" s="74" t="str">
        <x:f>IF(J195="","Keep current",IF(J195=I195,"Use suggestion","Custom"))</x:f>
        <x:v>Keep current</x:v>
      </x:c>
      <x:c r="M195" s="71" t="str">
        <x:v>Pending review</x:v>
      </x:c>
      <x:c r="N195" s="71" t="str">
        <x:v>Medium</x:v>
      </x:c>
      <x:c r="O195" s="71" t="str">
        <x:v>app/journey/dashboard/dashboard-client.tsx</x:v>
      </x:c>
      <x:c r="P195" s="71" t="str">
        <x:v>TripCard:553</x:v>
      </x:c>
      <x:c r="Q195" s="71" t="str">
        <x:v>EN</x:v>
      </x:c>
      <x:c r="R195" s="71" t="str">
        <x:v>Already clear and direct; suggested wording intentionally keeps the current copy. Terminology watch: ‘trip’ and ‘journey’ both describe the same plan. Terminology watch: ‘stops’, ‘destinations’ and ‘places’ overlap.</x:v>
      </x:c>
      <x:c r="S195" s="75" t="str">
        <x:v>Not applied — review required</x:v>
      </x:c>
    </x:row>
    <x:row r="196">
      <x:c r="A196" s="71" t="str">
        <x:v>MRV-411A8E67D5</x:v>
      </x:c>
      <x:c r="B196" s="71" t="str">
        <x:v>Trips</x:v>
      </x:c>
      <x:c r="C196" s="71" t="str">
        <x:v>Dashboard</x:v>
      </x:c>
      <x:c r="D196" s="71" t="str">
        <x:v>/journey/dashboard/dashboard-client</x:v>
      </x:c>
      <x:c r="E196" s="71" t="str">
        <x:v>TripCard</x:v>
      </x:c>
      <x:c r="F196" s="71" t="str">
        <x:v>Accessibility / input support</x:v>
      </x:c>
      <x:c r="G196" s="71" t="str">
        <x:v>Accessibility label</x:v>
      </x:c>
      <x:c r="H196" s="71" t="str">
        <x:v>{language === "es" ? "Acciones para" : "Actions for"} {tripDisplayTitle(trip)}</x:v>
      </x:c>
      <x:c r="I196" s="71" t="str">
        <x:v>{language === "es" ? "Acciones para" : "Actions for"} {tripDisplayTitle(trip)}</x:v>
      </x:c>
      <x:c r="J196" s="73"/>
      <x:c r="K196" s="74" t="str">
        <x:f>IF(J196="",H196,IF(J196=I196,I196,J196))</x:f>
        <x:v>{language === "es" ? "Acciones para" : "Actions for"} {tripDisplayTitle(trip)}</x:v>
      </x:c>
      <x:c r="L196" s="74" t="str">
        <x:f>IF(J196="","Keep current",IF(J196=I196,"Use suggestion","Custom"))</x:f>
        <x:v>Keep current</x:v>
      </x:c>
      <x:c r="M196" s="71" t="str">
        <x:v>Pending review</x:v>
      </x:c>
      <x:c r="N196" s="71" t="str">
        <x:v>Medium</x:v>
      </x:c>
      <x:c r="O196" s="71" t="str">
        <x:v>app/journey/dashboard/dashboard-client.tsx</x:v>
      </x:c>
      <x:c r="P196" s="71" t="str">
        <x:v>TripCard:556</x:v>
      </x:c>
      <x:c r="Q196" s="71" t="str">
        <x:v>EN (default / shared)</x:v>
      </x:c>
      <x:c r="R196"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96" s="75" t="str">
        <x:v>Not applied — review required</x:v>
      </x:c>
    </x:row>
    <x:row r="197">
      <x:c r="A197" s="71" t="str">
        <x:v>MRV-F1185D433B</x:v>
      </x:c>
      <x:c r="B197" s="71" t="str">
        <x:v>Trips</x:v>
      </x:c>
      <x:c r="C197" s="71" t="str">
        <x:v>Dashboard</x:v>
      </x:c>
      <x:c r="D197" s="71" t="str">
        <x:v>/journey/dashboard/dashboard-client</x:v>
      </x:c>
      <x:c r="E197" s="71" t="str">
        <x:v>TripCard</x:v>
      </x:c>
      <x:c r="F197" s="71" t="str">
        <x:v>Accessibility / input support</x:v>
      </x:c>
      <x:c r="G197" s="71" t="str">
        <x:v>Accessibility label</x:v>
      </x:c>
      <x:c r="H197" s="71" t="str">
        <x:v>Acciones para</x:v>
      </x:c>
      <x:c r="I197" s="71" t="str">
        <x:v>Acciones para</x:v>
      </x:c>
      <x:c r="J197" s="73"/>
      <x:c r="K197" s="74" t="str">
        <x:f>IF(J197="",H197,IF(J197=I197,I197,J197))</x:f>
        <x:v>Acciones para</x:v>
      </x:c>
      <x:c r="L197" s="74" t="str">
        <x:f>IF(J197="","Keep current",IF(J197=I197,"Use suggestion","Custom"))</x:f>
        <x:v>Keep current</x:v>
      </x:c>
      <x:c r="M197" s="71" t="str">
        <x:v>Pending review</x:v>
      </x:c>
      <x:c r="N197" s="71" t="str">
        <x:v>Medium</x:v>
      </x:c>
      <x:c r="O197" s="71" t="str">
        <x:v>app/journey/dashboard/dashboard-client.tsx</x:v>
      </x:c>
      <x:c r="P197" s="71" t="str">
        <x:v>TripCard:556</x:v>
      </x:c>
      <x:c r="Q197" s="71" t="str">
        <x:v>ES</x:v>
      </x:c>
      <x:c r="R197" s="71" t="str">
        <x:v>Already clear and direct; suggested wording intentionally keeps the current copy.</x:v>
      </x:c>
      <x:c r="S197" s="75" t="str">
        <x:v>Not applied — review required</x:v>
      </x:c>
    </x:row>
    <x:row r="198">
      <x:c r="A198" s="71" t="str">
        <x:v>MRV-0716A90FB0</x:v>
      </x:c>
      <x:c r="B198" s="71" t="str">
        <x:v>Trips</x:v>
      </x:c>
      <x:c r="C198" s="71" t="str">
        <x:v>Dashboard</x:v>
      </x:c>
      <x:c r="D198" s="71" t="str">
        <x:v>/journey/dashboard/dashboard-client</x:v>
      </x:c>
      <x:c r="E198" s="71" t="str">
        <x:v>TripCard</x:v>
      </x:c>
      <x:c r="F198" s="71" t="str">
        <x:v>Accessibility / input support</x:v>
      </x:c>
      <x:c r="G198" s="71" t="str">
        <x:v>Accessibility label</x:v>
      </x:c>
      <x:c r="H198" s="71" t="str">
        <x:v>Actions for</x:v>
      </x:c>
      <x:c r="I198" s="71" t="str">
        <x:v>Actions for</x:v>
      </x:c>
      <x:c r="J198" s="73"/>
      <x:c r="K198" s="74" t="str">
        <x:f>IF(J198="",H198,IF(J198=I198,I198,J198))</x:f>
        <x:v>Actions for</x:v>
      </x:c>
      <x:c r="L198" s="74" t="str">
        <x:f>IF(J198="","Keep current",IF(J198=I198,"Use suggestion","Custom"))</x:f>
        <x:v>Keep current</x:v>
      </x:c>
      <x:c r="M198" s="71" t="str">
        <x:v>Pending review</x:v>
      </x:c>
      <x:c r="N198" s="71" t="str">
        <x:v>Medium</x:v>
      </x:c>
      <x:c r="O198" s="71" t="str">
        <x:v>app/journey/dashboard/dashboard-client.tsx</x:v>
      </x:c>
      <x:c r="P198" s="71" t="str">
        <x:v>TripCard:556</x:v>
      </x:c>
      <x:c r="Q198" s="71" t="str">
        <x:v>EN</x:v>
      </x:c>
      <x:c r="R198" s="71" t="str">
        <x:v>Already clear and direct; suggested wording intentionally keeps the current copy.</x:v>
      </x:c>
      <x:c r="S198" s="75" t="str">
        <x:v>Not applied — review required</x:v>
      </x:c>
    </x:row>
    <x:row r="199">
      <x:c r="A199" s="71" t="str">
        <x:v>MRV-E901F5EC7B</x:v>
      </x:c>
      <x:c r="B199" s="71" t="str">
        <x:v>Trips</x:v>
      </x:c>
      <x:c r="C199" s="71" t="str">
        <x:v>Dashboard</x:v>
      </x:c>
      <x:c r="D199" s="71" t="str">
        <x:v>/journey/dashboard/dashboard-client</x:v>
      </x:c>
      <x:c r="E199" s="71" t="str">
        <x:v>TripCard</x:v>
      </x:c>
      <x:c r="F199" s="71" t="str">
        <x:v>Default</x:v>
      </x:c>
      <x:c r="G199" s="71" t="str">
        <x:v>Label</x:v>
      </x:c>
      <x:c r="H199" s="71" t="str">
        <x:v>Modo viaje</x:v>
      </x:c>
      <x:c r="I199" s="71" t="str">
        <x:v>Modo viaje</x:v>
      </x:c>
      <x:c r="J199" s="73"/>
      <x:c r="K199" s="74" t="str">
        <x:f>IF(J199="",H199,IF(J199=I199,I199,J199))</x:f>
        <x:v>Modo viaje</x:v>
      </x:c>
      <x:c r="L199" s="74" t="str">
        <x:f>IF(J199="","Keep current",IF(J199=I199,"Use suggestion","Custom"))</x:f>
        <x:v>Keep current</x:v>
      </x:c>
      <x:c r="M199" s="71" t="str">
        <x:v>Pending review</x:v>
      </x:c>
      <x:c r="N199" s="71" t="str">
        <x:v>Normal</x:v>
      </x:c>
      <x:c r="O199" s="71" t="str">
        <x:v>app/journey/dashboard/dashboard-client.tsx</x:v>
      </x:c>
      <x:c r="P199" s="71" t="str">
        <x:v>TripCard:558</x:v>
      </x:c>
      <x:c r="Q199" s="71" t="str">
        <x:v>ES</x:v>
      </x:c>
      <x:c r="R199" s="71" t="str">
        <x:v>Already clear and direct; suggested wording intentionally keeps the current copy.</x:v>
      </x:c>
      <x:c r="S199" s="75" t="str">
        <x:v>Not applied — review required</x:v>
      </x:c>
    </x:row>
    <x:row r="200">
      <x:c r="A200" s="71" t="str">
        <x:v>MRV-513BB8D0EA</x:v>
      </x:c>
      <x:c r="B200" s="71" t="str">
        <x:v>Trips</x:v>
      </x:c>
      <x:c r="C200" s="71" t="str">
        <x:v>Dashboard</x:v>
      </x:c>
      <x:c r="D200" s="71" t="str">
        <x:v>/journey/dashboard/dashboard-client</x:v>
      </x:c>
      <x:c r="E200" s="71" t="str">
        <x:v>TripCard</x:v>
      </x:c>
      <x:c r="F200" s="71" t="str">
        <x:v>Default</x:v>
      </x:c>
      <x:c r="G200" s="71" t="str">
        <x:v>Label</x:v>
      </x:c>
      <x:c r="H200" s="71" t="str">
        <x:v>Trip mode</x:v>
      </x:c>
      <x:c r="I200" s="71" t="str">
        <x:v>Trip mode</x:v>
      </x:c>
      <x:c r="J200" s="73"/>
      <x:c r="K200" s="74" t="str">
        <x:f>IF(J200="",H200,IF(J200=I200,I200,J200))</x:f>
        <x:v>Trip mode</x:v>
      </x:c>
      <x:c r="L200" s="74" t="str">
        <x:f>IF(J200="","Keep current",IF(J200=I200,"Use suggestion","Custom"))</x:f>
        <x:v>Keep current</x:v>
      </x:c>
      <x:c r="M200" s="71" t="str">
        <x:v>Pending review</x:v>
      </x:c>
      <x:c r="N200" s="71" t="str">
        <x:v>Normal</x:v>
      </x:c>
      <x:c r="O200" s="71" t="str">
        <x:v>app/journey/dashboard/dashboard-client.tsx</x:v>
      </x:c>
      <x:c r="P200" s="71" t="str">
        <x:v>TripCard:558</x:v>
      </x:c>
      <x:c r="Q200" s="71" t="str">
        <x:v>EN</x:v>
      </x:c>
      <x:c r="R200" s="71" t="str">
        <x:v>Already clear and direct; suggested wording intentionally keeps the current copy. Duplicate wording: appears 5 times. Terminology watch: ‘trip’ and ‘journey’ both describe the same plan. Terminology watch: ‘stops’, ‘destinations’ and ‘places’ overlap.</x:v>
      </x:c>
      <x:c r="S200" s="75" t="str">
        <x:v>Not applied — review required</x:v>
      </x:c>
    </x:row>
    <x:row r="201">
      <x:c r="A201" s="71" t="str">
        <x:v>MRV-223A5D4C46</x:v>
      </x:c>
      <x:c r="B201" s="71" t="str">
        <x:v>Trips</x:v>
      </x:c>
      <x:c r="C201" s="71" t="str">
        <x:v>Dashboard</x:v>
      </x:c>
      <x:c r="D201" s="71" t="str">
        <x:v>/journey/dashboard/first-trip-guide</x:v>
      </x:c>
      <x:c r="E201" s="71" t="str">
        <x:v>copy</x:v>
      </x:c>
      <x:c r="F201" s="71" t="str">
        <x:v>Default</x:v>
      </x:c>
      <x:c r="G201" s="71" t="str">
        <x:v>Tooltip</x:v>
      </x:c>
      <x:c r="H201" s="71" t="str">
        <x:v>One clear next step at a time.</x:v>
      </x:c>
      <x:c r="I201" s="71" t="str">
        <x:v>One clear next step at a time.</x:v>
      </x:c>
      <x:c r="J201" s="73"/>
      <x:c r="K201" s="74" t="str">
        <x:f>IF(J201="",H201,IF(J201=I201,I201,J201))</x:f>
        <x:v>One clear next step at a time.</x:v>
      </x:c>
      <x:c r="L201" s="74" t="str">
        <x:f>IF(J201="","Keep current",IF(J201=I201,"Use suggestion","Custom"))</x:f>
        <x:v>Keep current</x:v>
      </x:c>
      <x:c r="M201" s="71" t="str">
        <x:v>Pending review</x:v>
      </x:c>
      <x:c r="N201" s="71" t="str">
        <x:v>Normal</x:v>
      </x:c>
      <x:c r="O201" s="71" t="str">
        <x:v>app/journey/dashboard/first-trip-guide.tsx</x:v>
      </x:c>
      <x:c r="P201" s="71" t="str">
        <x:v>copy:12</x:v>
      </x:c>
      <x:c r="Q201" s="71" t="str">
        <x:v>EN (default / shared)</x:v>
      </x:c>
      <x:c r="R201" s="71" t="str">
        <x:v>Already clear and direct; suggested wording intentionally keeps the current copy.</x:v>
      </x:c>
      <x:c r="S201" s="75" t="str">
        <x:v>Not applied — review required</x:v>
      </x:c>
    </x:row>
    <x:row r="202">
      <x:c r="A202" s="71" t="str">
        <x:v>MRV-C33204E96F</x:v>
      </x:c>
      <x:c r="B202" s="71" t="str">
        <x:v>Trips</x:v>
      </x:c>
      <x:c r="C202" s="71" t="str">
        <x:v>Dashboard</x:v>
      </x:c>
      <x:c r="D202" s="71" t="str">
        <x:v>/journey/dashboard/first-trip-guide</x:v>
      </x:c>
      <x:c r="E202" s="71" t="str">
        <x:v>copy</x:v>
      </x:c>
      <x:c r="F202" s="71" t="str">
        <x:v>Default</x:v>
      </x:c>
      <x:c r="G202" s="71" t="str">
        <x:v>Tooltip</x:v>
      </x:c>
      <x:c r="H202" s="71" t="str">
        <x:v>Un siguiente paso claro a la vez.</x:v>
      </x:c>
      <x:c r="I202" s="71" t="str">
        <x:v>Un siguiente paso claro a la vez.</x:v>
      </x:c>
      <x:c r="J202" s="73"/>
      <x:c r="K202" s="74" t="str">
        <x:f>IF(J202="",H202,IF(J202=I202,I202,J202))</x:f>
        <x:v>Un siguiente paso claro a la vez.</x:v>
      </x:c>
      <x:c r="L202" s="74" t="str">
        <x:f>IF(J202="","Keep current",IF(J202=I202,"Use suggestion","Custom"))</x:f>
        <x:v>Keep current</x:v>
      </x:c>
      <x:c r="M202" s="71" t="str">
        <x:v>Pending review</x:v>
      </x:c>
      <x:c r="N202" s="71" t="str">
        <x:v>Normal</x:v>
      </x:c>
      <x:c r="O202" s="71" t="str">
        <x:v>app/journey/dashboard/first-trip-guide.tsx</x:v>
      </x:c>
      <x:c r="P202" s="71" t="str">
        <x:v>copy:15</x:v>
      </x:c>
      <x:c r="Q202" s="71" t="str">
        <x:v>EN (default / shared)</x:v>
      </x:c>
      <x:c r="R202" s="71" t="str">
        <x:v>Already clear and direct; suggested wording intentionally keeps the current copy.</x:v>
      </x:c>
      <x:c r="S202" s="75" t="str">
        <x:v>Not applied — review required</x:v>
      </x:c>
    </x:row>
    <x:row r="203">
      <x:c r="A203" s="71" t="str">
        <x:v>MRV-7D8EBF97AF</x:v>
      </x:c>
      <x:c r="B203" s="71" t="str">
        <x:v>Trips</x:v>
      </x:c>
      <x:c r="C203" s="71" t="str">
        <x:v>Dashboard</x:v>
      </x:c>
      <x:c r="D203" s="71" t="str">
        <x:v>/journey/dashboard</x:v>
      </x:c>
      <x:c r="E203" s="71" t="str">
        <x:v>metadata</x:v>
      </x:c>
      <x:c r="F203" s="71" t="str">
        <x:v>Default</x:v>
      </x:c>
      <x:c r="G203" s="71" t="str">
        <x:v>Tooltip</x:v>
      </x:c>
      <x:c r="H203" s="71" t="str">
        <x:v>Trips · Morrovia</x:v>
      </x:c>
      <x:c r="I203" s="71" t="str">
        <x:v>Trips · Morrovia</x:v>
      </x:c>
      <x:c r="J203" s="73"/>
      <x:c r="K203" s="74" t="str">
        <x:f>IF(J203="",H203,IF(J203=I203,I203,J203))</x:f>
        <x:v>Trips · Morrovia</x:v>
      </x:c>
      <x:c r="L203" s="74" t="str">
        <x:f>IF(J203="","Keep current",IF(J203=I203,"Use suggestion","Custom"))</x:f>
        <x:v>Keep current</x:v>
      </x:c>
      <x:c r="M203" s="71" t="str">
        <x:v>Pending review</x:v>
      </x:c>
      <x:c r="N203" s="71" t="str">
        <x:v>Normal</x:v>
      </x:c>
      <x:c r="O203" s="71" t="str">
        <x:v>app/journey/dashboard/page.tsx</x:v>
      </x:c>
      <x:c r="P203" s="71" t="str">
        <x:v>metadata:17</x:v>
      </x:c>
      <x:c r="Q203" s="71" t="str">
        <x:v>EN (default / shared)</x:v>
      </x:c>
      <x:c r="R203" s="71" t="str">
        <x:v>Already clear and direct; suggested wording intentionally keeps the current copy. Terminology watch: ‘trip’ and ‘journey’ both describe the same plan. Terminology watch: ‘stops’, ‘destinations’ and ‘places’ overlap.</x:v>
      </x:c>
      <x:c r="S203" s="75" t="str">
        <x:v>Not applied — review required</x:v>
      </x:c>
    </x:row>
    <x:row r="204">
      <x:c r="A204" s="71" t="str">
        <x:v>MRV-99A229AD7C</x:v>
      </x:c>
      <x:c r="B204" s="71" t="str">
        <x:v>Acquisition</x:v>
      </x:c>
      <x:c r="C204" s="71" t="str">
        <x:v>Discover / Routes index</x:v>
      </x:c>
      <x:c r="D204" s="71" t="str">
        <x:v>/journey/discover/discovery-browser</x:v>
      </x:c>
      <x:c r="E204" s="71" t="str">
        <x:v>regions</x:v>
      </x:c>
      <x:c r="F204" s="71" t="str">
        <x:v>Default</x:v>
      </x:c>
      <x:c r="G204" s="71" t="str">
        <x:v>Label</x:v>
      </x:c>
      <x:c r="H204" s="71" t="str">
        <x:v>Everywhere</x:v>
      </x:c>
      <x:c r="I204" s="71" t="str">
        <x:v>Everywhere</x:v>
      </x:c>
      <x:c r="J204" s="73"/>
      <x:c r="K204" s="74" t="str">
        <x:f>IF(J204="",H204,IF(J204=I204,I204,J204))</x:f>
        <x:v>Everywhere</x:v>
      </x:c>
      <x:c r="L204" s="74" t="str">
        <x:f>IF(J204="","Keep current",IF(J204=I204,"Use suggestion","Custom"))</x:f>
        <x:v>Keep current</x:v>
      </x:c>
      <x:c r="M204" s="71" t="str">
        <x:v>Pending review</x:v>
      </x:c>
      <x:c r="N204" s="71" t="str">
        <x:v>Normal</x:v>
      </x:c>
      <x:c r="O204" s="71" t="str">
        <x:v>app/journey/discover/discovery-browser.tsx</x:v>
      </x:c>
      <x:c r="P204" s="71" t="str">
        <x:v>regions:12</x:v>
      </x:c>
      <x:c r="Q204" s="71" t="str">
        <x:v>EN (default / shared)</x:v>
      </x:c>
      <x:c r="R204" s="71" t="str">
        <x:v>Already clear and direct; suggested wording intentionally keeps the current copy.</x:v>
      </x:c>
      <x:c r="S204" s="75" t="str">
        <x:v>Not applied — review required</x:v>
      </x:c>
    </x:row>
    <x:row r="205">
      <x:c r="A205" s="71" t="str">
        <x:v>MRV-A44C291F68</x:v>
      </x:c>
      <x:c r="B205" s="71" t="str">
        <x:v>Acquisition</x:v>
      </x:c>
      <x:c r="C205" s="71" t="str">
        <x:v>Discover / Routes index</x:v>
      </x:c>
      <x:c r="D205" s="71" t="str">
        <x:v>/journey/discover/discovery-browser</x:v>
      </x:c>
      <x:c r="E205" s="71" t="str">
        <x:v>regions</x:v>
      </x:c>
      <x:c r="F205" s="71" t="str">
        <x:v>Default</x:v>
      </x:c>
      <x:c r="G205" s="71" t="str">
        <x:v>Label</x:v>
      </x:c>
      <x:c r="H205" s="71" t="str">
        <x:v>Asia</x:v>
      </x:c>
      <x:c r="I205" s="71" t="str">
        <x:v>Asia</x:v>
      </x:c>
      <x:c r="J205" s="73"/>
      <x:c r="K205" s="74" t="str">
        <x:f>IF(J205="",H205,IF(J205=I205,I205,J205))</x:f>
        <x:v>Asia</x:v>
      </x:c>
      <x:c r="L205" s="74" t="str">
        <x:f>IF(J205="","Keep current",IF(J205=I205,"Use suggestion","Custom"))</x:f>
        <x:v>Keep current</x:v>
      </x:c>
      <x:c r="M205" s="71" t="str">
        <x:v>Pending review</x:v>
      </x:c>
      <x:c r="N205" s="71" t="str">
        <x:v>Normal</x:v>
      </x:c>
      <x:c r="O205" s="71" t="str">
        <x:v>app/journey/discover/discovery-browser.tsx</x:v>
      </x:c>
      <x:c r="P205" s="71" t="str">
        <x:v>regions:13</x:v>
      </x:c>
      <x:c r="Q205" s="71" t="str">
        <x:v>EN (default / shared)</x:v>
      </x:c>
      <x:c r="R205" s="71" t="str">
        <x:v>Already clear and direct; suggested wording intentionally keeps the current copy.</x:v>
      </x:c>
      <x:c r="S205" s="75" t="str">
        <x:v>Not applied — review required</x:v>
      </x:c>
    </x:row>
    <x:row r="206">
      <x:c r="A206" s="71" t="str">
        <x:v>MRV-2130140BDE</x:v>
      </x:c>
      <x:c r="B206" s="71" t="str">
        <x:v>Acquisition</x:v>
      </x:c>
      <x:c r="C206" s="71" t="str">
        <x:v>Discover / Routes index</x:v>
      </x:c>
      <x:c r="D206" s="71" t="str">
        <x:v>/journey/discover/discovery-browser</x:v>
      </x:c>
      <x:c r="E206" s="71" t="str">
        <x:v>regions</x:v>
      </x:c>
      <x:c r="F206" s="71" t="str">
        <x:v>Default</x:v>
      </x:c>
      <x:c r="G206" s="71" t="str">
        <x:v>Label</x:v>
      </x:c>
      <x:c r="H206" s="71" t="str">
        <x:v>South America</x:v>
      </x:c>
      <x:c r="I206" s="71" t="str">
        <x:v>South America</x:v>
      </x:c>
      <x:c r="J206" s="73"/>
      <x:c r="K206" s="74" t="str">
        <x:f>IF(J206="",H206,IF(J206=I206,I206,J206))</x:f>
        <x:v>South America</x:v>
      </x:c>
      <x:c r="L206" s="74" t="str">
        <x:f>IF(J206="","Keep current",IF(J206=I206,"Use suggestion","Custom"))</x:f>
        <x:v>Keep current</x:v>
      </x:c>
      <x:c r="M206" s="71" t="str">
        <x:v>Pending review</x:v>
      </x:c>
      <x:c r="N206" s="71" t="str">
        <x:v>Normal</x:v>
      </x:c>
      <x:c r="O206" s="71" t="str">
        <x:v>app/journey/discover/discovery-browser.tsx</x:v>
      </x:c>
      <x:c r="P206" s="71" t="str">
        <x:v>regions:14</x:v>
      </x:c>
      <x:c r="Q206" s="71" t="str">
        <x:v>EN (default / shared)</x:v>
      </x:c>
      <x:c r="R206" s="71" t="str">
        <x:v>Already clear and direct; suggested wording intentionally keeps the current copy.</x:v>
      </x:c>
      <x:c r="S206" s="75" t="str">
        <x:v>Not applied — review required</x:v>
      </x:c>
    </x:row>
    <x:row r="207">
      <x:c r="A207" s="71" t="str">
        <x:v>MRV-61E2331BA4</x:v>
      </x:c>
      <x:c r="B207" s="71" t="str">
        <x:v>Acquisition</x:v>
      </x:c>
      <x:c r="C207" s="71" t="str">
        <x:v>Discover / Routes index</x:v>
      </x:c>
      <x:c r="D207" s="71" t="str">
        <x:v>/journey/discover/discovery-browser</x:v>
      </x:c>
      <x:c r="E207" s="71" t="str">
        <x:v>regions</x:v>
      </x:c>
      <x:c r="F207" s="71" t="str">
        <x:v>Default</x:v>
      </x:c>
      <x:c r="G207" s="71" t="str">
        <x:v>Label</x:v>
      </x:c>
      <x:c r="H207" s="71" t="str">
        <x:v>Central America</x:v>
      </x:c>
      <x:c r="I207" s="71" t="str">
        <x:v>Central America</x:v>
      </x:c>
      <x:c r="J207" s="73"/>
      <x:c r="K207" s="74" t="str">
        <x:f>IF(J207="",H207,IF(J207=I207,I207,J207))</x:f>
        <x:v>Central America</x:v>
      </x:c>
      <x:c r="L207" s="74" t="str">
        <x:f>IF(J207="","Keep current",IF(J207=I207,"Use suggestion","Custom"))</x:f>
        <x:v>Keep current</x:v>
      </x:c>
      <x:c r="M207" s="71" t="str">
        <x:v>Pending review</x:v>
      </x:c>
      <x:c r="N207" s="71" t="str">
        <x:v>Normal</x:v>
      </x:c>
      <x:c r="O207" s="71" t="str">
        <x:v>app/journey/discover/discovery-browser.tsx</x:v>
      </x:c>
      <x:c r="P207" s="71" t="str">
        <x:v>regions:15</x:v>
      </x:c>
      <x:c r="Q207" s="71" t="str">
        <x:v>EN (default / shared)</x:v>
      </x:c>
      <x:c r="R207" s="71" t="str">
        <x:v>Already clear and direct; suggested wording intentionally keeps the current copy.</x:v>
      </x:c>
      <x:c r="S207" s="75" t="str">
        <x:v>Not applied — review required</x:v>
      </x:c>
    </x:row>
    <x:row r="208">
      <x:c r="A208" s="71" t="str">
        <x:v>MRV-DDBB262DF3</x:v>
      </x:c>
      <x:c r="B208" s="71" t="str">
        <x:v>Acquisition</x:v>
      </x:c>
      <x:c r="C208" s="71" t="str">
        <x:v>Discover / Routes index</x:v>
      </x:c>
      <x:c r="D208" s="71" t="str">
        <x:v>/journey/discover/discovery-browser</x:v>
      </x:c>
      <x:c r="E208" s="71" t="str">
        <x:v>regions</x:v>
      </x:c>
      <x:c r="F208" s="71" t="str">
        <x:v>Default</x:v>
      </x:c>
      <x:c r="G208" s="71" t="str">
        <x:v>Label</x:v>
      </x:c>
      <x:c r="H208" s="71" t="str">
        <x:v>Europe</x:v>
      </x:c>
      <x:c r="I208" s="71" t="str">
        <x:v>Europe</x:v>
      </x:c>
      <x:c r="J208" s="73"/>
      <x:c r="K208" s="74" t="str">
        <x:f>IF(J208="",H208,IF(J208=I208,I208,J208))</x:f>
        <x:v>Europe</x:v>
      </x:c>
      <x:c r="L208" s="74" t="str">
        <x:f>IF(J208="","Keep current",IF(J208=I208,"Use suggestion","Custom"))</x:f>
        <x:v>Keep current</x:v>
      </x:c>
      <x:c r="M208" s="71" t="str">
        <x:v>Pending review</x:v>
      </x:c>
      <x:c r="N208" s="71" t="str">
        <x:v>Normal</x:v>
      </x:c>
      <x:c r="O208" s="71" t="str">
        <x:v>app/journey/discover/discovery-browser.tsx</x:v>
      </x:c>
      <x:c r="P208" s="71" t="str">
        <x:v>regions:16</x:v>
      </x:c>
      <x:c r="Q208" s="71" t="str">
        <x:v>EN (default / shared)</x:v>
      </x:c>
      <x:c r="R208" s="71" t="str">
        <x:v>Already clear and direct; suggested wording intentionally keeps the current copy.</x:v>
      </x:c>
      <x:c r="S208" s="75" t="str">
        <x:v>Not applied — review required</x:v>
      </x:c>
    </x:row>
    <x:row r="209">
      <x:c r="A209" s="71" t="str">
        <x:v>MRV-2639BD8697</x:v>
      </x:c>
      <x:c r="B209" s="71" t="str">
        <x:v>Acquisition</x:v>
      </x:c>
      <x:c r="C209" s="71" t="str">
        <x:v>Discover / Routes index</x:v>
      </x:c>
      <x:c r="D209" s="71" t="str">
        <x:v>/journey/discover/discovery-browser</x:v>
      </x:c>
      <x:c r="E209" s="71" t="str">
        <x:v>regions</x:v>
      </x:c>
      <x:c r="F209" s="71" t="str">
        <x:v>Default</x:v>
      </x:c>
      <x:c r="G209" s="71" t="str">
        <x:v>Label</x:v>
      </x:c>
      <x:c r="H209" s="71" t="str">
        <x:v>Africa</x:v>
      </x:c>
      <x:c r="I209" s="71" t="str">
        <x:v>Africa</x:v>
      </x:c>
      <x:c r="J209" s="73"/>
      <x:c r="K209" s="74" t="str">
        <x:f>IF(J209="",H209,IF(J209=I209,I209,J209))</x:f>
        <x:v>Africa</x:v>
      </x:c>
      <x:c r="L209" s="74" t="str">
        <x:f>IF(J209="","Keep current",IF(J209=I209,"Use suggestion","Custom"))</x:f>
        <x:v>Keep current</x:v>
      </x:c>
      <x:c r="M209" s="71" t="str">
        <x:v>Pending review</x:v>
      </x:c>
      <x:c r="N209" s="71" t="str">
        <x:v>Normal</x:v>
      </x:c>
      <x:c r="O209" s="71" t="str">
        <x:v>app/journey/discover/discovery-browser.tsx</x:v>
      </x:c>
      <x:c r="P209" s="71" t="str">
        <x:v>regions:17</x:v>
      </x:c>
      <x:c r="Q209" s="71" t="str">
        <x:v>EN (default / shared)</x:v>
      </x:c>
      <x:c r="R209" s="71" t="str">
        <x:v>Already clear and direct; suggested wording intentionally keeps the current copy.</x:v>
      </x:c>
      <x:c r="S209" s="75" t="str">
        <x:v>Not applied — review required</x:v>
      </x:c>
    </x:row>
    <x:row r="210">
      <x:c r="A210" s="71" t="str">
        <x:v>MRV-57156538B1</x:v>
      </x:c>
      <x:c r="B210" s="71" t="str">
        <x:v>Acquisition</x:v>
      </x:c>
      <x:c r="C210" s="71" t="str">
        <x:v>Discover / Routes index</x:v>
      </x:c>
      <x:c r="D210" s="71" t="str">
        <x:v>/journey/discover/discovery-browser</x:v>
      </x:c>
      <x:c r="E210" s="71" t="str">
        <x:v>regions</x:v>
      </x:c>
      <x:c r="F210" s="71" t="str">
        <x:v>Default</x:v>
      </x:c>
      <x:c r="G210" s="71" t="str">
        <x:v>Label</x:v>
      </x:c>
      <x:c r="H210" s="71" t="str">
        <x:v>North America</x:v>
      </x:c>
      <x:c r="I210" s="71" t="str">
        <x:v>North America</x:v>
      </x:c>
      <x:c r="J210" s="73"/>
      <x:c r="K210" s="74" t="str">
        <x:f>IF(J210="",H210,IF(J210=I210,I210,J210))</x:f>
        <x:v>North America</x:v>
      </x:c>
      <x:c r="L210" s="74" t="str">
        <x:f>IF(J210="","Keep current",IF(J210=I210,"Use suggestion","Custom"))</x:f>
        <x:v>Keep current</x:v>
      </x:c>
      <x:c r="M210" s="71" t="str">
        <x:v>Pending review</x:v>
      </x:c>
      <x:c r="N210" s="71" t="str">
        <x:v>Normal</x:v>
      </x:c>
      <x:c r="O210" s="71" t="str">
        <x:v>app/journey/discover/discovery-browser.tsx</x:v>
      </x:c>
      <x:c r="P210" s="71" t="str">
        <x:v>regions:18</x:v>
      </x:c>
      <x:c r="Q210" s="71" t="str">
        <x:v>EN (default / shared)</x:v>
      </x:c>
      <x:c r="R210" s="71" t="str">
        <x:v>Already clear and direct; suggested wording intentionally keeps the current copy.</x:v>
      </x:c>
      <x:c r="S210" s="75" t="str">
        <x:v>Not applied — review required</x:v>
      </x:c>
    </x:row>
    <x:row r="211">
      <x:c r="A211" s="71" t="str">
        <x:v>MRV-25AFCE2AB0</x:v>
      </x:c>
      <x:c r="B211" s="71" t="str">
        <x:v>Acquisition</x:v>
      </x:c>
      <x:c r="C211" s="71" t="str">
        <x:v>Discover / Routes index</x:v>
      </x:c>
      <x:c r="D211" s="71" t="str">
        <x:v>/journey/discover/discovery-browser</x:v>
      </x:c>
      <x:c r="E211" s="71" t="str">
        <x:v>regions</x:v>
      </x:c>
      <x:c r="F211" s="71" t="str">
        <x:v>Default</x:v>
      </x:c>
      <x:c r="G211" s="71" t="str">
        <x:v>Label</x:v>
      </x:c>
      <x:c r="H211" s="71" t="str">
        <x:v>Oceania</x:v>
      </x:c>
      <x:c r="I211" s="71" t="str">
        <x:v>Oceania</x:v>
      </x:c>
      <x:c r="J211" s="73"/>
      <x:c r="K211" s="74" t="str">
        <x:f>IF(J211="",H211,IF(J211=I211,I211,J211))</x:f>
        <x:v>Oceania</x:v>
      </x:c>
      <x:c r="L211" s="74" t="str">
        <x:f>IF(J211="","Keep current",IF(J211=I211,"Use suggestion","Custom"))</x:f>
        <x:v>Keep current</x:v>
      </x:c>
      <x:c r="M211" s="71" t="str">
        <x:v>Pending review</x:v>
      </x:c>
      <x:c r="N211" s="71" t="str">
        <x:v>Normal</x:v>
      </x:c>
      <x:c r="O211" s="71" t="str">
        <x:v>app/journey/discover/discovery-browser.tsx</x:v>
      </x:c>
      <x:c r="P211" s="71" t="str">
        <x:v>regions:19</x:v>
      </x:c>
      <x:c r="Q211" s="71" t="str">
        <x:v>EN (default / shared)</x:v>
      </x:c>
      <x:c r="R211" s="71" t="str">
        <x:v>Already clear and direct; suggested wording intentionally keeps the current copy.</x:v>
      </x:c>
      <x:c r="S211" s="75" t="str">
        <x:v>Not applied — review required</x:v>
      </x:c>
    </x:row>
    <x:row r="212">
      <x:c r="A212" s="71" t="str">
        <x:v>MRV-4F515F9F91</x:v>
      </x:c>
      <x:c r="B212" s="71" t="str">
        <x:v>Acquisition</x:v>
      </x:c>
      <x:c r="C212" s="71" t="str">
        <x:v>Discover / Routes index</x:v>
      </x:c>
      <x:c r="D212" s="71" t="str">
        <x:v>/journey/discover/discovery-browser</x:v>
      </x:c>
      <x:c r="E212" s="71" t="str">
        <x:v>interests</x:v>
      </x:c>
      <x:c r="F212" s="71" t="str">
        <x:v>Default</x:v>
      </x:c>
      <x:c r="G212" s="71" t="str">
        <x:v>Label</x:v>
      </x:c>
      <x:c r="H212" s="71" t="str">
        <x:v>Any feeling</x:v>
      </x:c>
      <x:c r="I212" s="71" t="str">
        <x:v>Any feeling</x:v>
      </x:c>
      <x:c r="J212" s="73"/>
      <x:c r="K212" s="74" t="str">
        <x:f>IF(J212="",H212,IF(J212=I212,I212,J212))</x:f>
        <x:v>Any feeling</x:v>
      </x:c>
      <x:c r="L212" s="74" t="str">
        <x:f>IF(J212="","Keep current",IF(J212=I212,"Use suggestion","Custom"))</x:f>
        <x:v>Keep current</x:v>
      </x:c>
      <x:c r="M212" s="71" t="str">
        <x:v>Pending review</x:v>
      </x:c>
      <x:c r="N212" s="71" t="str">
        <x:v>Normal</x:v>
      </x:c>
      <x:c r="O212" s="71" t="str">
        <x:v>app/journey/discover/discovery-browser.tsx</x:v>
      </x:c>
      <x:c r="P212" s="71" t="str">
        <x:v>interests:23</x:v>
      </x:c>
      <x:c r="Q212" s="71" t="str">
        <x:v>EN (default / shared)</x:v>
      </x:c>
      <x:c r="R212" s="71" t="str">
        <x:v>Already clear and direct; suggested wording intentionally keeps the current copy.</x:v>
      </x:c>
      <x:c r="S212" s="75" t="str">
        <x:v>Not applied — review required</x:v>
      </x:c>
    </x:row>
    <x:row r="213">
      <x:c r="A213" s="71" t="str">
        <x:v>MRV-C8C2BC0ED1</x:v>
      </x:c>
      <x:c r="B213" s="71" t="str">
        <x:v>Acquisition</x:v>
      </x:c>
      <x:c r="C213" s="71" t="str">
        <x:v>Discover / Routes index</x:v>
      </x:c>
      <x:c r="D213" s="71" t="str">
        <x:v>/journey/discover/discovery-browser</x:v>
      </x:c>
      <x:c r="E213" s="71" t="str">
        <x:v>interests</x:v>
      </x:c>
      <x:c r="F213" s="71" t="str">
        <x:v>Default</x:v>
      </x:c>
      <x:c r="G213" s="71" t="str">
        <x:v>Label</x:v>
      </x:c>
      <x:c r="H213" s="71" t="str">
        <x:v>Food</x:v>
      </x:c>
      <x:c r="I213" s="71" t="str">
        <x:v>Food</x:v>
      </x:c>
      <x:c r="J213" s="73"/>
      <x:c r="K213" s="74" t="str">
        <x:f>IF(J213="",H213,IF(J213=I213,I213,J213))</x:f>
        <x:v>Food</x:v>
      </x:c>
      <x:c r="L213" s="74" t="str">
        <x:f>IF(J213="","Keep current",IF(J213=I213,"Use suggestion","Custom"))</x:f>
        <x:v>Keep current</x:v>
      </x:c>
      <x:c r="M213" s="71" t="str">
        <x:v>Pending review</x:v>
      </x:c>
      <x:c r="N213" s="71" t="str">
        <x:v>Normal</x:v>
      </x:c>
      <x:c r="O213" s="71" t="str">
        <x:v>app/journey/discover/discovery-browser.tsx</x:v>
      </x:c>
      <x:c r="P213" s="71" t="str">
        <x:v>interests:23</x:v>
      </x:c>
      <x:c r="Q213" s="71" t="str">
        <x:v>EN (default / shared)</x:v>
      </x:c>
      <x:c r="R213" s="71" t="str">
        <x:v>Already clear and direct; suggested wording intentionally keeps the current copy. Duplicate wording: appears 5 times.</x:v>
      </x:c>
      <x:c r="S213" s="75" t="str">
        <x:v>Not applied — review required</x:v>
      </x:c>
    </x:row>
    <x:row r="214">
      <x:c r="A214" s="71" t="str">
        <x:v>MRV-3332613048</x:v>
      </x:c>
      <x:c r="B214" s="71" t="str">
        <x:v>Acquisition</x:v>
      </x:c>
      <x:c r="C214" s="71" t="str">
        <x:v>Discover / Routes index</x:v>
      </x:c>
      <x:c r="D214" s="71" t="str">
        <x:v>/journey/discover/discovery-browser</x:v>
      </x:c>
      <x:c r="E214" s="71" t="str">
        <x:v>interests</x:v>
      </x:c>
      <x:c r="F214" s="71" t="str">
        <x:v>Default</x:v>
      </x:c>
      <x:c r="G214" s="71" t="str">
        <x:v>Label</x:v>
      </x:c>
      <x:c r="H214" s="71" t="str">
        <x:v>Rail</x:v>
      </x:c>
      <x:c r="I214" s="71" t="str">
        <x:v>Rail</x:v>
      </x:c>
      <x:c r="J214" s="73"/>
      <x:c r="K214" s="74" t="str">
        <x:f>IF(J214="",H214,IF(J214=I214,I214,J214))</x:f>
        <x:v>Rail</x:v>
      </x:c>
      <x:c r="L214" s="74" t="str">
        <x:f>IF(J214="","Keep current",IF(J214=I214,"Use suggestion","Custom"))</x:f>
        <x:v>Keep current</x:v>
      </x:c>
      <x:c r="M214" s="71" t="str">
        <x:v>Pending review</x:v>
      </x:c>
      <x:c r="N214" s="71" t="str">
        <x:v>Normal</x:v>
      </x:c>
      <x:c r="O214" s="71" t="str">
        <x:v>app/journey/discover/discovery-browser.tsx</x:v>
      </x:c>
      <x:c r="P214" s="71" t="str">
        <x:v>interests:23</x:v>
      </x:c>
      <x:c r="Q214" s="71" t="str">
        <x:v>EN (default / shared)</x:v>
      </x:c>
      <x:c r="R214" s="71" t="str">
        <x:v>Already clear and direct; suggested wording intentionally keeps the current copy.</x:v>
      </x:c>
      <x:c r="S214" s="75" t="str">
        <x:v>Not applied — review required</x:v>
      </x:c>
    </x:row>
    <x:row r="215">
      <x:c r="A215" s="71" t="str">
        <x:v>MRV-92E5F0325C</x:v>
      </x:c>
      <x:c r="B215" s="71" t="str">
        <x:v>Acquisition</x:v>
      </x:c>
      <x:c r="C215" s="71" t="str">
        <x:v>Discover / Routes index</x:v>
      </x:c>
      <x:c r="D215" s="71" t="str">
        <x:v>/journey/discover/discovery-browser</x:v>
      </x:c>
      <x:c r="E215" s="71" t="str">
        <x:v>interests</x:v>
      </x:c>
      <x:c r="F215" s="71" t="str">
        <x:v>Default</x:v>
      </x:c>
      <x:c r="G215" s="71" t="str">
        <x:v>Label</x:v>
      </x:c>
      <x:c r="H215" s="71" t="str">
        <x:v>Nature</x:v>
      </x:c>
      <x:c r="I215" s="71" t="str">
        <x:v>Nature</x:v>
      </x:c>
      <x:c r="J215" s="73"/>
      <x:c r="K215" s="74" t="str">
        <x:f>IF(J215="",H215,IF(J215=I215,I215,J215))</x:f>
        <x:v>Nature</x:v>
      </x:c>
      <x:c r="L215" s="74" t="str">
        <x:f>IF(J215="","Keep current",IF(J215=I215,"Use suggestion","Custom"))</x:f>
        <x:v>Keep current</x:v>
      </x:c>
      <x:c r="M215" s="71" t="str">
        <x:v>Pending review</x:v>
      </x:c>
      <x:c r="N215" s="71" t="str">
        <x:v>Normal</x:v>
      </x:c>
      <x:c r="O215" s="71" t="str">
        <x:v>app/journey/discover/discovery-browser.tsx</x:v>
      </x:c>
      <x:c r="P215" s="71" t="str">
        <x:v>interests:23</x:v>
      </x:c>
      <x:c r="Q215" s="71" t="str">
        <x:v>EN (default / shared)</x:v>
      </x:c>
      <x:c r="R215" s="71" t="str">
        <x:v>Already clear and direct; suggested wording intentionally keeps the current copy. Duplicate wording: appears 5 times.</x:v>
      </x:c>
      <x:c r="S215" s="75" t="str">
        <x:v>Not applied — review required</x:v>
      </x:c>
    </x:row>
    <x:row r="216">
      <x:c r="A216" s="71" t="str">
        <x:v>MRV-DBF61522F6</x:v>
      </x:c>
      <x:c r="B216" s="71" t="str">
        <x:v>Acquisition</x:v>
      </x:c>
      <x:c r="C216" s="71" t="str">
        <x:v>Discover / Routes index</x:v>
      </x:c>
      <x:c r="D216" s="71" t="str">
        <x:v>/journey/discover/discovery-browser</x:v>
      </x:c>
      <x:c r="E216" s="71" t="str">
        <x:v>interests</x:v>
      </x:c>
      <x:c r="F216" s="71" t="str">
        <x:v>Default</x:v>
      </x:c>
      <x:c r="G216" s="71" t="str">
        <x:v>Label</x:v>
      </x:c>
      <x:c r="H216" s="71" t="str">
        <x:v>Coast</x:v>
      </x:c>
      <x:c r="I216" s="71" t="str">
        <x:v>Coast</x:v>
      </x:c>
      <x:c r="J216" s="73"/>
      <x:c r="K216" s="74" t="str">
        <x:f>IF(J216="",H216,IF(J216=I216,I216,J216))</x:f>
        <x:v>Coast</x:v>
      </x:c>
      <x:c r="L216" s="74" t="str">
        <x:f>IF(J216="","Keep current",IF(J216=I216,"Use suggestion","Custom"))</x:f>
        <x:v>Keep current</x:v>
      </x:c>
      <x:c r="M216" s="71" t="str">
        <x:v>Pending review</x:v>
      </x:c>
      <x:c r="N216" s="71" t="str">
        <x:v>Normal</x:v>
      </x:c>
      <x:c r="O216" s="71" t="str">
        <x:v>app/journey/discover/discovery-browser.tsx</x:v>
      </x:c>
      <x:c r="P216" s="71" t="str">
        <x:v>interests:23</x:v>
      </x:c>
      <x:c r="Q216" s="71" t="str">
        <x:v>EN (default / shared)</x:v>
      </x:c>
      <x:c r="R216" s="71" t="str">
        <x:v>Already clear and direct; suggested wording intentionally keeps the current copy.</x:v>
      </x:c>
      <x:c r="S216" s="75" t="str">
        <x:v>Not applied — review required</x:v>
      </x:c>
    </x:row>
    <x:row r="217">
      <x:c r="A217" s="71" t="str">
        <x:v>MRV-9DF6E9C2DF</x:v>
      </x:c>
      <x:c r="B217" s="71" t="str">
        <x:v>Acquisition</x:v>
      </x:c>
      <x:c r="C217" s="71" t="str">
        <x:v>Discover / Routes index</x:v>
      </x:c>
      <x:c r="D217" s="71" t="str">
        <x:v>/journey/discover/discovery-browser</x:v>
      </x:c>
      <x:c r="E217" s="71" t="str">
        <x:v>interests</x:v>
      </x:c>
      <x:c r="F217" s="71" t="str">
        <x:v>Default</x:v>
      </x:c>
      <x:c r="G217" s="71" t="str">
        <x:v>Label</x:v>
      </x:c>
      <x:c r="H217" s="71" t="str">
        <x:v>Culture</x:v>
      </x:c>
      <x:c r="I217" s="71" t="str">
        <x:v>Culture</x:v>
      </x:c>
      <x:c r="J217" s="73"/>
      <x:c r="K217" s="74" t="str">
        <x:f>IF(J217="",H217,IF(J217=I217,I217,J217))</x:f>
        <x:v>Culture</x:v>
      </x:c>
      <x:c r="L217" s="74" t="str">
        <x:f>IF(J217="","Keep current",IF(J217=I217,"Use suggestion","Custom"))</x:f>
        <x:v>Keep current</x:v>
      </x:c>
      <x:c r="M217" s="71" t="str">
        <x:v>Pending review</x:v>
      </x:c>
      <x:c r="N217" s="71" t="str">
        <x:v>Normal</x:v>
      </x:c>
      <x:c r="O217" s="71" t="str">
        <x:v>app/journey/discover/discovery-browser.tsx</x:v>
      </x:c>
      <x:c r="P217" s="71" t="str">
        <x:v>interests:23</x:v>
      </x:c>
      <x:c r="Q217" s="71" t="str">
        <x:v>EN (default / shared)</x:v>
      </x:c>
      <x:c r="R217" s="71" t="str">
        <x:v>Already clear and direct; suggested wording intentionally keeps the current copy. Duplicate wording: appears 3 times.</x:v>
      </x:c>
      <x:c r="S217" s="75" t="str">
        <x:v>Not applied — review required</x:v>
      </x:c>
    </x:row>
    <x:row r="218">
      <x:c r="A218" s="71" t="str">
        <x:v>MRV-3B7CEB4226</x:v>
      </x:c>
      <x:c r="B218" s="71" t="str">
        <x:v>Acquisition</x:v>
      </x:c>
      <x:c r="C218" s="71" t="str">
        <x:v>Discover / Routes index</x:v>
      </x:c>
      <x:c r="D218" s="71" t="str">
        <x:v>/journey/discover/discovery-browser</x:v>
      </x:c>
      <x:c r="E218" s="71" t="str">
        <x:v>interests</x:v>
      </x:c>
      <x:c r="F218" s="71" t="str">
        <x:v>Default</x:v>
      </x:c>
      <x:c r="G218" s="71" t="str">
        <x:v>Label</x:v>
      </x:c>
      <x:c r="H218" s="71" t="str">
        <x:v>Heritage</x:v>
      </x:c>
      <x:c r="I218" s="71" t="str">
        <x:v>Heritage</x:v>
      </x:c>
      <x:c r="J218" s="73"/>
      <x:c r="K218" s="74" t="str">
        <x:f>IF(J218="",H218,IF(J218=I218,I218,J218))</x:f>
        <x:v>Heritage</x:v>
      </x:c>
      <x:c r="L218" s="74" t="str">
        <x:f>IF(J218="","Keep current",IF(J218=I218,"Use suggestion","Custom"))</x:f>
        <x:v>Keep current</x:v>
      </x:c>
      <x:c r="M218" s="71" t="str">
        <x:v>Pending review</x:v>
      </x:c>
      <x:c r="N218" s="71" t="str">
        <x:v>Normal</x:v>
      </x:c>
      <x:c r="O218" s="71" t="str">
        <x:v>app/journey/discover/discovery-browser.tsx</x:v>
      </x:c>
      <x:c r="P218" s="71" t="str">
        <x:v>interests:23</x:v>
      </x:c>
      <x:c r="Q218" s="71" t="str">
        <x:v>EN (default / shared)</x:v>
      </x:c>
      <x:c r="R218" s="71" t="str">
        <x:v>Already clear and direct; suggested wording intentionally keeps the current copy.</x:v>
      </x:c>
      <x:c r="S218" s="75" t="str">
        <x:v>Not applied — review required</x:v>
      </x:c>
    </x:row>
    <x:row r="219">
      <x:c r="A219" s="71" t="str">
        <x:v>MRV-BF0ED2A8B8</x:v>
      </x:c>
      <x:c r="B219" s="71" t="str">
        <x:v>Acquisition</x:v>
      </x:c>
      <x:c r="C219" s="71" t="str">
        <x:v>Discover / Routes index</x:v>
      </x:c>
      <x:c r="D219" s="71" t="str">
        <x:v>/journey/discover/discovery-browser</x:v>
      </x:c>
      <x:c r="E219" s="71" t="str">
        <x:v>interests</x:v>
      </x:c>
      <x:c r="F219" s="71" t="str">
        <x:v>Default</x:v>
      </x:c>
      <x:c r="G219" s="71" t="str">
        <x:v>Label</x:v>
      </x:c>
      <x:c r="H219" s="71" t="str">
        <x:v>Slow travel</x:v>
      </x:c>
      <x:c r="I219" s="71" t="str">
        <x:v>Slow travel</x:v>
      </x:c>
      <x:c r="J219" s="73"/>
      <x:c r="K219" s="74" t="str">
        <x:f>IF(J219="",H219,IF(J219=I219,I219,J219))</x:f>
        <x:v>Slow travel</x:v>
      </x:c>
      <x:c r="L219" s="74" t="str">
        <x:f>IF(J219="","Keep current",IF(J219=I219,"Use suggestion","Custom"))</x:f>
        <x:v>Keep current</x:v>
      </x:c>
      <x:c r="M219" s="71" t="str">
        <x:v>Pending review</x:v>
      </x:c>
      <x:c r="N219" s="71" t="str">
        <x:v>Normal</x:v>
      </x:c>
      <x:c r="O219" s="71" t="str">
        <x:v>app/journey/discover/discovery-browser.tsx</x:v>
      </x:c>
      <x:c r="P219" s="71" t="str">
        <x:v>interests:23</x:v>
      </x:c>
      <x:c r="Q219" s="71" t="str">
        <x:v>EN (default / shared)</x:v>
      </x:c>
      <x:c r="R219" s="71" t="str">
        <x:v>Already clear and direct; suggested wording intentionally keeps the current copy.</x:v>
      </x:c>
      <x:c r="S219" s="75" t="str">
        <x:v>Not applied — review required</x:v>
      </x:c>
    </x:row>
    <x:row r="220">
      <x:c r="A220" s="71" t="str">
        <x:v>MRV-DADF62564D</x:v>
      </x:c>
      <x:c r="B220" s="71" t="str">
        <x:v>Acquisition</x:v>
      </x:c>
      <x:c r="C220" s="71" t="str">
        <x:v>Discover / Routes index</x:v>
      </x:c>
      <x:c r="D220" s="71" t="str">
        <x:v>/journey/discover/discovery-browser</x:v>
      </x:c>
      <x:c r="E220" s="71" t="str">
        <x:v>imageQueryFor</x:v>
      </x:c>
      <x:c r="F220" s="71" t="str">
        <x:v>Default</x:v>
      </x:c>
      <x:c r="G220" s="71" t="str">
        <x:v>Body copy</x:v>
      </x:c>
      <x:c r="H220" s="71" t="str">
        <x:v>{anchor?.name ?? route.bases[0]} {anchor?.country ?? route.countries[0]} {route.interests[0]} travel</x:v>
      </x:c>
      <x:c r="I220" s="71" t="str">
        <x:v>{anchor?.name ?? route.bases[0]} {anchor?.country ?? route.countries[0]} {route.interests[0]} travel</x:v>
      </x:c>
      <x:c r="J220" s="73"/>
      <x:c r="K220" s="74" t="str">
        <x:f>IF(J220="",H220,IF(J220=I220,I220,J220))</x:f>
        <x:v>{anchor?.name ?? route.bases[0]} {anchor?.country ?? route.countries[0]} {route.interests[0]} travel</x:v>
      </x:c>
      <x:c r="L220" s="74" t="str">
        <x:f>IF(J220="","Keep current",IF(J220=I220,"Use suggestion","Custom"))</x:f>
        <x:v>Keep current</x:v>
      </x:c>
      <x:c r="M220" s="71" t="str">
        <x:v>Pending review</x:v>
      </x:c>
      <x:c r="N220" s="71" t="str">
        <x:v>Normal</x:v>
      </x:c>
      <x:c r="O220" s="71" t="str">
        <x:v>app/journey/discover/discovery-browser.tsx</x:v>
      </x:c>
      <x:c r="P220" s="71" t="str">
        <x:v>imageQueryFor:34</x:v>
      </x:c>
      <x:c r="Q220" s="71" t="str">
        <x:v>EN (default / shared)</x:v>
      </x:c>
      <x:c r="R220" s="71" t="str">
        <x:v>Already clear and direct; suggested wording intentionally keeps the current copy. Dynamic traveller or trip value is represented as a token; user-generated values are excluded.</x:v>
      </x:c>
      <x:c r="S220" s="75" t="str">
        <x:v>Not applied — review required</x:v>
      </x:c>
    </x:row>
    <x:row r="221">
      <x:c r="A221" s="71" t="str">
        <x:v>MRV-6CCC15B908</x:v>
      </x:c>
      <x:c r="B221" s="71" t="str">
        <x:v>Acquisition</x:v>
      </x:c>
      <x:c r="C221" s="71" t="str">
        <x:v>Discover / Routes index</x:v>
      </x:c>
      <x:c r="D221" s="71" t="str">
        <x:v>/journey/discover/discovery-browser</x:v>
      </x:c>
      <x:c r="E221" s="71" t="str">
        <x:v>imageQueriesFor</x:v>
      </x:c>
      <x:c r="F221" s="71" t="str">
        <x:v>Default</x:v>
      </x:c>
      <x:c r="G221" s="71" t="str">
        <x:v>Body copy</x:v>
      </x:c>
      <x:c r="H221" s="71" t="str">
        <x:v>{anchor?.name ?? route.bases[0]} {anchor?.country ?? route.countries[0]}</x:v>
      </x:c>
      <x:c r="I221" s="71" t="str">
        <x:v>{anchor?.name ?? route.bases[0]} {anchor?.country ?? route.countries[0]}</x:v>
      </x:c>
      <x:c r="J221" s="73"/>
      <x:c r="K221" s="74" t="str">
        <x:f>IF(J221="",H221,IF(J221=I221,I221,J221))</x:f>
        <x:v>{anchor?.name ?? route.bases[0]} {anchor?.country ?? route.countries[0]}</x:v>
      </x:c>
      <x:c r="L221" s="74" t="str">
        <x:f>IF(J221="","Keep current",IF(J221=I221,"Use suggestion","Custom"))</x:f>
        <x:v>Keep current</x:v>
      </x:c>
      <x:c r="M221" s="71" t="str">
        <x:v>Pending review</x:v>
      </x:c>
      <x:c r="N221" s="71" t="str">
        <x:v>Normal</x:v>
      </x:c>
      <x:c r="O221" s="71" t="str">
        <x:v>app/journey/discover/discovery-browser.tsx</x:v>
      </x:c>
      <x:c r="P221" s="71" t="str">
        <x:v>imageQueriesFor:39</x:v>
      </x:c>
      <x:c r="Q221" s="71" t="str">
        <x:v>EN (default / shared)</x:v>
      </x:c>
      <x:c r="R221" s="71" t="str">
        <x:v>Already clear and direct; suggested wording intentionally keeps the current copy. Dynamic traveller or trip value is represented as a token; user-generated values are excluded.</x:v>
      </x:c>
      <x:c r="S221" s="75" t="str">
        <x:v>Not applied — review required</x:v>
      </x:c>
    </x:row>
    <x:row r="222">
      <x:c r="A222" s="71" t="str">
        <x:v>MRV-400D0687E7</x:v>
      </x:c>
      <x:c r="B222" s="71" t="str">
        <x:v>Acquisition</x:v>
      </x:c>
      <x:c r="C222" s="71" t="str">
        <x:v>Discover / Routes index</x:v>
      </x:c>
      <x:c r="D222" s="71" t="str">
        <x:v>/journey/discover/discovery-browser</x:v>
      </x:c>
      <x:c r="E222" s="71" t="str">
        <x:v>imageQueriesFor</x:v>
      </x:c>
      <x:c r="F222" s="71" t="str">
        <x:v>Default</x:v>
      </x:c>
      <x:c r="G222" s="71" t="str">
        <x:v>Body copy</x:v>
      </x:c>
      <x:c r="H222" s="71" t="str">
        <x:v>{route.countries[0]} travel</x:v>
      </x:c>
      <x:c r="I222" s="71" t="str">
        <x:v>{route.countries[0]} travel</x:v>
      </x:c>
      <x:c r="J222" s="73"/>
      <x:c r="K222" s="74" t="str">
        <x:f>IF(J222="",H222,IF(J222=I222,I222,J222))</x:f>
        <x:v>{route.countries[0]} travel</x:v>
      </x:c>
      <x:c r="L222" s="74" t="str">
        <x:f>IF(J222="","Keep current",IF(J222=I222,"Use suggestion","Custom"))</x:f>
        <x:v>Keep current</x:v>
      </x:c>
      <x:c r="M222" s="71" t="str">
        <x:v>Pending review</x:v>
      </x:c>
      <x:c r="N222" s="71" t="str">
        <x:v>Normal</x:v>
      </x:c>
      <x:c r="O222" s="71" t="str">
        <x:v>app/journey/discover/discovery-browser.tsx</x:v>
      </x:c>
      <x:c r="P222" s="71" t="str">
        <x:v>imageQueriesFor:39</x:v>
      </x:c>
      <x:c r="Q222" s="71" t="str">
        <x:v>EN (default / shared)</x:v>
      </x:c>
      <x:c r="R222" s="71" t="str">
        <x:v>Already clear and direct; suggested wording intentionally keeps the current copy. Dynamic traveller or trip value is represented as a token; user-generated values are excluded.</x:v>
      </x:c>
      <x:c r="S222" s="75" t="str">
        <x:v>Not applied — review required</x:v>
      </x:c>
    </x:row>
    <x:row r="223">
      <x:c r="A223" s="71" t="str">
        <x:v>MRV-F9361A54B0</x:v>
      </x:c>
      <x:c r="B223" s="71" t="str">
        <x:v>Acquisition</x:v>
      </x:c>
      <x:c r="C223" s="71" t="str">
        <x:v>Discover / Routes index</x:v>
      </x:c>
      <x:c r="D223" s="71" t="str">
        <x:v>/journey/discover/discovery-browser</x:v>
      </x:c>
      <x:c r="E223" s="71" t="str">
        <x:v>travelStyles</x:v>
      </x:c>
      <x:c r="F223" s="71" t="str">
        <x:v>Default</x:v>
      </x:c>
      <x:c r="G223" s="71" t="str">
        <x:v>Label</x:v>
      </x:c>
      <x:c r="H223" s="71" t="str">
        <x:v>Food-led routes</x:v>
      </x:c>
      <x:c r="I223" s="71" t="str">
        <x:v>Food-led routes</x:v>
      </x:c>
      <x:c r="J223" s="73"/>
      <x:c r="K223" s="74" t="str">
        <x:f>IF(J223="",H223,IF(J223=I223,I223,J223))</x:f>
        <x:v>Food-led routes</x:v>
      </x:c>
      <x:c r="L223" s="74" t="str">
        <x:f>IF(J223="","Keep current",IF(J223=I223,"Use suggestion","Custom"))</x:f>
        <x:v>Keep current</x:v>
      </x:c>
      <x:c r="M223" s="71" t="str">
        <x:v>Pending review</x:v>
      </x:c>
      <x:c r="N223" s="71" t="str">
        <x:v>Normal</x:v>
      </x:c>
      <x:c r="O223" s="71" t="str">
        <x:v>app/journey/discover/discovery-browser.tsx</x:v>
      </x:c>
      <x:c r="P223" s="71" t="str">
        <x:v>travelStyles:103</x:v>
      </x:c>
      <x:c r="Q223" s="71" t="str">
        <x:v>EN (default / shared)</x:v>
      </x:c>
      <x:c r="R223" s="71" t="str">
        <x:v>Already clear and direct; suggested wording intentionally keeps the current copy.</x:v>
      </x:c>
      <x:c r="S223" s="75" t="str">
        <x:v>Not applied — review required</x:v>
      </x:c>
    </x:row>
    <x:row r="224">
      <x:c r="A224" s="71" t="str">
        <x:v>MRV-658A339912</x:v>
      </x:c>
      <x:c r="B224" s="71" t="str">
        <x:v>Acquisition</x:v>
      </x:c>
      <x:c r="C224" s="71" t="str">
        <x:v>Discover / Routes index</x:v>
      </x:c>
      <x:c r="D224" s="71" t="str">
        <x:v>/journey/discover/discovery-browser</x:v>
      </x:c>
      <x:c r="E224" s="71" t="str">
        <x:v>travelStyles</x:v>
      </x:c>
      <x:c r="F224" s="71" t="str">
        <x:v>Default</x:v>
      </x:c>
      <x:c r="G224" s="71" t="str">
        <x:v>Label</x:v>
      </x:c>
      <x:c r="H224" s="71" t="str">
        <x:v>Rail journeys</x:v>
      </x:c>
      <x:c r="I224" s="71" t="str">
        <x:v>Rail journeys</x:v>
      </x:c>
      <x:c r="J224" s="73"/>
      <x:c r="K224" s="74" t="str">
        <x:f>IF(J224="",H224,IF(J224=I224,I224,J224))</x:f>
        <x:v>Rail journeys</x:v>
      </x:c>
      <x:c r="L224" s="74" t="str">
        <x:f>IF(J224="","Keep current",IF(J224=I224,"Use suggestion","Custom"))</x:f>
        <x:v>Keep current</x:v>
      </x:c>
      <x:c r="M224" s="71" t="str">
        <x:v>Pending review</x:v>
      </x:c>
      <x:c r="N224" s="71" t="str">
        <x:v>Normal</x:v>
      </x:c>
      <x:c r="O224" s="71" t="str">
        <x:v>app/journey/discover/discovery-browser.tsx</x:v>
      </x:c>
      <x:c r="P224" s="71" t="str">
        <x:v>travelStyles:104</x:v>
      </x:c>
      <x:c r="Q224" s="71" t="str">
        <x:v>EN (default / shared)</x:v>
      </x:c>
      <x:c r="R224" s="71" t="str">
        <x:v>Already clear and direct; suggested wording intentionally keeps the current copy. Duplicate wording: appears 2 times. Terminology watch: ‘trip’ and ‘journey’ both describe the same plan. Terminology watch: ‘stops’, ‘destinations’ and ‘places’ overlap.</x:v>
      </x:c>
      <x:c r="S224" s="75" t="str">
        <x:v>Not applied — review required</x:v>
      </x:c>
    </x:row>
    <x:row r="225">
      <x:c r="A225" s="71" t="str">
        <x:v>MRV-0D8B39914D</x:v>
      </x:c>
      <x:c r="B225" s="71" t="str">
        <x:v>Acquisition</x:v>
      </x:c>
      <x:c r="C225" s="71" t="str">
        <x:v>Discover / Routes index</x:v>
      </x:c>
      <x:c r="D225" s="71" t="str">
        <x:v>/journey/discover/discovery-browser</x:v>
      </x:c>
      <x:c r="E225" s="71" t="str">
        <x:v>travelStyles</x:v>
      </x:c>
      <x:c r="F225" s="71" t="str">
        <x:v>Default</x:v>
      </x:c>
      <x:c r="G225" s="71" t="str">
        <x:v>Label</x:v>
      </x:c>
      <x:c r="H225" s="71" t="str">
        <x:v>Nature routes</x:v>
      </x:c>
      <x:c r="I225" s="71" t="str">
        <x:v>Nature routes</x:v>
      </x:c>
      <x:c r="J225" s="73"/>
      <x:c r="K225" s="74" t="str">
        <x:f>IF(J225="",H225,IF(J225=I225,I225,J225))</x:f>
        <x:v>Nature routes</x:v>
      </x:c>
      <x:c r="L225" s="74" t="str">
        <x:f>IF(J225="","Keep current",IF(J225=I225,"Use suggestion","Custom"))</x:f>
        <x:v>Keep current</x:v>
      </x:c>
      <x:c r="M225" s="71" t="str">
        <x:v>Pending review</x:v>
      </x:c>
      <x:c r="N225" s="71" t="str">
        <x:v>Normal</x:v>
      </x:c>
      <x:c r="O225" s="71" t="str">
        <x:v>app/journey/discover/discovery-browser.tsx</x:v>
      </x:c>
      <x:c r="P225" s="71" t="str">
        <x:v>travelStyles:105</x:v>
      </x:c>
      <x:c r="Q225" s="71" t="str">
        <x:v>EN (default / shared)</x:v>
      </x:c>
      <x:c r="R225" s="71" t="str">
        <x:v>Already clear and direct; suggested wording intentionally keeps the current copy.</x:v>
      </x:c>
      <x:c r="S225" s="75" t="str">
        <x:v>Not applied — review required</x:v>
      </x:c>
    </x:row>
    <x:row r="226">
      <x:c r="A226" s="71" t="str">
        <x:v>MRV-AE4DDEF0A2</x:v>
      </x:c>
      <x:c r="B226" s="71" t="str">
        <x:v>Acquisition</x:v>
      </x:c>
      <x:c r="C226" s="71" t="str">
        <x:v>Discover / Routes index</x:v>
      </x:c>
      <x:c r="D226" s="71" t="str">
        <x:v>/journey/discover/discovery-browser</x:v>
      </x:c>
      <x:c r="E226" s="71" t="str">
        <x:v>travelStyles</x:v>
      </x:c>
      <x:c r="F226" s="71" t="str">
        <x:v>Default</x:v>
      </x:c>
      <x:c r="G226" s="71" t="str">
        <x:v>Label</x:v>
      </x:c>
      <x:c r="H226" s="71" t="str">
        <x:v>Coastal calm</x:v>
      </x:c>
      <x:c r="I226" s="71" t="str">
        <x:v>Coastal calm</x:v>
      </x:c>
      <x:c r="J226" s="73"/>
      <x:c r="K226" s="74" t="str">
        <x:f>IF(J226="",H226,IF(J226=I226,I226,J226))</x:f>
        <x:v>Coastal calm</x:v>
      </x:c>
      <x:c r="L226" s="74" t="str">
        <x:f>IF(J226="","Keep current",IF(J226=I226,"Use suggestion","Custom"))</x:f>
        <x:v>Keep current</x:v>
      </x:c>
      <x:c r="M226" s="71" t="str">
        <x:v>Pending review</x:v>
      </x:c>
      <x:c r="N226" s="71" t="str">
        <x:v>Normal</x:v>
      </x:c>
      <x:c r="O226" s="71" t="str">
        <x:v>app/journey/discover/discovery-browser.tsx</x:v>
      </x:c>
      <x:c r="P226" s="71" t="str">
        <x:v>travelStyles:106</x:v>
      </x:c>
      <x:c r="Q226" s="71" t="str">
        <x:v>EN (default / shared)</x:v>
      </x:c>
      <x:c r="R226" s="71" t="str">
        <x:v>Already clear and direct; suggested wording intentionally keeps the current copy. Duplicate wording: appears 2 times.</x:v>
      </x:c>
      <x:c r="S226" s="75" t="str">
        <x:v>Not applied — review required</x:v>
      </x:c>
    </x:row>
    <x:row r="227">
      <x:c r="A227" s="71" t="str">
        <x:v>MRV-4D0A8198E9</x:v>
      </x:c>
      <x:c r="B227" s="71" t="str">
        <x:v>Acquisition</x:v>
      </x:c>
      <x:c r="C227" s="71" t="str">
        <x:v>Discover / Routes index</x:v>
      </x:c>
      <x:c r="D227" s="71" t="str">
        <x:v>/journey/discover/discovery-browser</x:v>
      </x:c>
      <x:c r="E227" s="71" t="str">
        <x:v>travelStyles</x:v>
      </x:c>
      <x:c r="F227" s="71" t="str">
        <x:v>Default</x:v>
      </x:c>
      <x:c r="G227" s="71" t="str">
        <x:v>Label</x:v>
      </x:c>
      <x:c r="H227" s="71" t="str">
        <x:v>Heritage routes</x:v>
      </x:c>
      <x:c r="I227" s="71" t="str">
        <x:v>Heritage routes</x:v>
      </x:c>
      <x:c r="J227" s="73"/>
      <x:c r="K227" s="74" t="str">
        <x:f>IF(J227="",H227,IF(J227=I227,I227,J227))</x:f>
        <x:v>Heritage routes</x:v>
      </x:c>
      <x:c r="L227" s="74" t="str">
        <x:f>IF(J227="","Keep current",IF(J227=I227,"Use suggestion","Custom"))</x:f>
        <x:v>Keep current</x:v>
      </x:c>
      <x:c r="M227" s="71" t="str">
        <x:v>Pending review</x:v>
      </x:c>
      <x:c r="N227" s="71" t="str">
        <x:v>Normal</x:v>
      </x:c>
      <x:c r="O227" s="71" t="str">
        <x:v>app/journey/discover/discovery-browser.tsx</x:v>
      </x:c>
      <x:c r="P227" s="71" t="str">
        <x:v>travelStyles:107</x:v>
      </x:c>
      <x:c r="Q227" s="71" t="str">
        <x:v>EN (default / shared)</x:v>
      </x:c>
      <x:c r="R227" s="71" t="str">
        <x:v>Already clear and direct; suggested wording intentionally keeps the current copy.</x:v>
      </x:c>
      <x:c r="S227" s="75" t="str">
        <x:v>Not applied — review required</x:v>
      </x:c>
    </x:row>
    <x:row r="228">
      <x:c r="A228" s="71" t="str">
        <x:v>MRV-8EF645366D</x:v>
      </x:c>
      <x:c r="B228" s="71" t="str">
        <x:v>Acquisition</x:v>
      </x:c>
      <x:c r="C228" s="71" t="str">
        <x:v>Discover / Routes index</x:v>
      </x:c>
      <x:c r="D228" s="71" t="str">
        <x:v>/journey/discover/discovery-browser</x:v>
      </x:c>
      <x:c r="E228" s="71" t="str">
        <x:v>collections</x:v>
      </x:c>
      <x:c r="F228" s="71" t="str">
        <x:v>Default</x:v>
      </x:c>
      <x:c r="G228" s="71" t="str">
        <x:v>Label</x:v>
      </x:c>
      <x:c r="H228" s="71" t="str">
        <x:v>Food-focused</x:v>
      </x:c>
      <x:c r="I228" s="71" t="str">
        <x:v>Food-focused</x:v>
      </x:c>
      <x:c r="J228" s="73"/>
      <x:c r="K228" s="74" t="str">
        <x:f>IF(J228="",H228,IF(J228=I228,I228,J228))</x:f>
        <x:v>Food-focused</x:v>
      </x:c>
      <x:c r="L228" s="74" t="str">
        <x:f>IF(J228="","Keep current",IF(J228=I228,"Use suggestion","Custom"))</x:f>
        <x:v>Keep current</x:v>
      </x:c>
      <x:c r="M228" s="71" t="str">
        <x:v>Pending review</x:v>
      </x:c>
      <x:c r="N228" s="71" t="str">
        <x:v>Normal</x:v>
      </x:c>
      <x:c r="O228" s="71" t="str">
        <x:v>app/journey/discover/discovery-browser.tsx</x:v>
      </x:c>
      <x:c r="P228" s="71" t="str">
        <x:v>collections:110</x:v>
      </x:c>
      <x:c r="Q228" s="71" t="str">
        <x:v>EN (default / shared)</x:v>
      </x:c>
      <x:c r="R228" s="71" t="str">
        <x:v>Already clear and direct; suggested wording intentionally keeps the current copy.</x:v>
      </x:c>
      <x:c r="S228" s="75" t="str">
        <x:v>Not applied — review required</x:v>
      </x:c>
    </x:row>
    <x:row r="229">
      <x:c r="A229" s="71" t="str">
        <x:v>MRV-217AE2C202</x:v>
      </x:c>
      <x:c r="B229" s="71" t="str">
        <x:v>Acquisition</x:v>
      </x:c>
      <x:c r="C229" s="71" t="str">
        <x:v>Discover / Routes index</x:v>
      </x:c>
      <x:c r="D229" s="71" t="str">
        <x:v>/journey/discover/discovery-browser</x:v>
      </x:c>
      <x:c r="E229" s="71" t="str">
        <x:v>collections</x:v>
      </x:c>
      <x:c r="F229" s="71" t="str">
        <x:v>Default</x:v>
      </x:c>
      <x:c r="G229" s="71" t="str">
        <x:v>Label</x:v>
      </x:c>
      <x:c r="H229" s="71" t="str">
        <x:v>Coastal calm</x:v>
      </x:c>
      <x:c r="I229" s="71" t="str">
        <x:v>Coastal calm</x:v>
      </x:c>
      <x:c r="J229" s="73"/>
      <x:c r="K229" s="74" t="str">
        <x:f>IF(J229="",H229,IF(J229=I229,I229,J229))</x:f>
        <x:v>Coastal calm</x:v>
      </x:c>
      <x:c r="L229" s="74" t="str">
        <x:f>IF(J229="","Keep current",IF(J229=I229,"Use suggestion","Custom"))</x:f>
        <x:v>Keep current</x:v>
      </x:c>
      <x:c r="M229" s="71" t="str">
        <x:v>Pending review</x:v>
      </x:c>
      <x:c r="N229" s="71" t="str">
        <x:v>Normal</x:v>
      </x:c>
      <x:c r="O229" s="71" t="str">
        <x:v>app/journey/discover/discovery-browser.tsx</x:v>
      </x:c>
      <x:c r="P229" s="71" t="str">
        <x:v>collections:111</x:v>
      </x:c>
      <x:c r="Q229" s="71" t="str">
        <x:v>EN (default / shared)</x:v>
      </x:c>
      <x:c r="R229" s="71" t="str">
        <x:v>Already clear and direct; suggested wording intentionally keeps the current copy. Duplicate wording: appears 2 times.</x:v>
      </x:c>
      <x:c r="S229" s="75" t="str">
        <x:v>Not applied — review required</x:v>
      </x:c>
    </x:row>
    <x:row r="230">
      <x:c r="A230" s="71" t="str">
        <x:v>MRV-9F4E14CDF3</x:v>
      </x:c>
      <x:c r="B230" s="71" t="str">
        <x:v>Acquisition</x:v>
      </x:c>
      <x:c r="C230" s="71" t="str">
        <x:v>Discover / Routes index</x:v>
      </x:c>
      <x:c r="D230" s="71" t="str">
        <x:v>/journey/discover/discovery-browser</x:v>
      </x:c>
      <x:c r="E230" s="71" t="str">
        <x:v>collections</x:v>
      </x:c>
      <x:c r="F230" s="71" t="str">
        <x:v>Default</x:v>
      </x:c>
      <x:c r="G230" s="71" t="str">
        <x:v>Label</x:v>
      </x:c>
      <x:c r="H230" s="71" t="str">
        <x:v>Culture-rich</x:v>
      </x:c>
      <x:c r="I230" s="71" t="str">
        <x:v>Culture-rich</x:v>
      </x:c>
      <x:c r="J230" s="73"/>
      <x:c r="K230" s="74" t="str">
        <x:f>IF(J230="",H230,IF(J230=I230,I230,J230))</x:f>
        <x:v>Culture-rich</x:v>
      </x:c>
      <x:c r="L230" s="74" t="str">
        <x:f>IF(J230="","Keep current",IF(J230=I230,"Use suggestion","Custom"))</x:f>
        <x:v>Keep current</x:v>
      </x:c>
      <x:c r="M230" s="71" t="str">
        <x:v>Pending review</x:v>
      </x:c>
      <x:c r="N230" s="71" t="str">
        <x:v>Normal</x:v>
      </x:c>
      <x:c r="O230" s="71" t="str">
        <x:v>app/journey/discover/discovery-browser.tsx</x:v>
      </x:c>
      <x:c r="P230" s="71" t="str">
        <x:v>collections:112</x:v>
      </x:c>
      <x:c r="Q230" s="71" t="str">
        <x:v>EN (default / shared)</x:v>
      </x:c>
      <x:c r="R230" s="71" t="str">
        <x:v>Already clear and direct; suggested wording intentionally keeps the current copy.</x:v>
      </x:c>
      <x:c r="S230" s="75" t="str">
        <x:v>Not applied — review required</x:v>
      </x:c>
    </x:row>
    <x:row r="231">
      <x:c r="A231" s="71" t="str">
        <x:v>MRV-2E2ECE48E5</x:v>
      </x:c>
      <x:c r="B231" s="71" t="str">
        <x:v>Acquisition</x:v>
      </x:c>
      <x:c r="C231" s="71" t="str">
        <x:v>Discover / Routes index</x:v>
      </x:c>
      <x:c r="D231" s="71" t="str">
        <x:v>/journey/discover/discovery-browser</x:v>
      </x:c>
      <x:c r="E231" s="71" t="str">
        <x:v>collections</x:v>
      </x:c>
      <x:c r="F231" s="71" t="str">
        <x:v>Default</x:v>
      </x:c>
      <x:c r="G231" s="71" t="str">
        <x:v>Label</x:v>
      </x:c>
      <x:c r="H231" s="71" t="str">
        <x:v>Mountain escapes</x:v>
      </x:c>
      <x:c r="I231" s="71" t="str">
        <x:v>Mountain escapes</x:v>
      </x:c>
      <x:c r="J231" s="73"/>
      <x:c r="K231" s="74" t="str">
        <x:f>IF(J231="",H231,IF(J231=I231,I231,J231))</x:f>
        <x:v>Mountain escapes</x:v>
      </x:c>
      <x:c r="L231" s="74" t="str">
        <x:f>IF(J231="","Keep current",IF(J231=I231,"Use suggestion","Custom"))</x:f>
        <x:v>Keep current</x:v>
      </x:c>
      <x:c r="M231" s="71" t="str">
        <x:v>Pending review</x:v>
      </x:c>
      <x:c r="N231" s="71" t="str">
        <x:v>Normal</x:v>
      </x:c>
      <x:c r="O231" s="71" t="str">
        <x:v>app/journey/discover/discovery-browser.tsx</x:v>
      </x:c>
      <x:c r="P231" s="71" t="str">
        <x:v>collections:113</x:v>
      </x:c>
      <x:c r="Q231" s="71" t="str">
        <x:v>EN (default / shared)</x:v>
      </x:c>
      <x:c r="R231" s="71" t="str">
        <x:v>Already clear and direct; suggested wording intentionally keeps the current copy.</x:v>
      </x:c>
      <x:c r="S231" s="75" t="str">
        <x:v>Not applied — review required</x:v>
      </x:c>
    </x:row>
    <x:row r="232">
      <x:c r="A232" s="71" t="str">
        <x:v>MRV-AB732C9ECE</x:v>
      </x:c>
      <x:c r="B232" s="71" t="str">
        <x:v>Acquisition</x:v>
      </x:c>
      <x:c r="C232" s="71" t="str">
        <x:v>Discover / Routes index</x:v>
      </x:c>
      <x:c r="D232" s="71" t="str">
        <x:v>/journey/discover/discovery-browser</x:v>
      </x:c>
      <x:c r="E232" s="71" t="str">
        <x:v>collections</x:v>
      </x:c>
      <x:c r="F232" s="71" t="str">
        <x:v>Default</x:v>
      </x:c>
      <x:c r="G232" s="71" t="str">
        <x:v>Label</x:v>
      </x:c>
      <x:c r="H232" s="71" t="str">
        <x:v>Wildlife routes</x:v>
      </x:c>
      <x:c r="I232" s="71" t="str">
        <x:v>Wildlife routes</x:v>
      </x:c>
      <x:c r="J232" s="73"/>
      <x:c r="K232" s="74" t="str">
        <x:f>IF(J232="",H232,IF(J232=I232,I232,J232))</x:f>
        <x:v>Wildlife routes</x:v>
      </x:c>
      <x:c r="L232" s="74" t="str">
        <x:f>IF(J232="","Keep current",IF(J232=I232,"Use suggestion","Custom"))</x:f>
        <x:v>Keep current</x:v>
      </x:c>
      <x:c r="M232" s="71" t="str">
        <x:v>Pending review</x:v>
      </x:c>
      <x:c r="N232" s="71" t="str">
        <x:v>Normal</x:v>
      </x:c>
      <x:c r="O232" s="71" t="str">
        <x:v>app/journey/discover/discovery-browser.tsx</x:v>
      </x:c>
      <x:c r="P232" s="71" t="str">
        <x:v>collections:114</x:v>
      </x:c>
      <x:c r="Q232" s="71" t="str">
        <x:v>EN (default / shared)</x:v>
      </x:c>
      <x:c r="R232" s="71" t="str">
        <x:v>Already clear and direct; suggested wording intentionally keeps the current copy.</x:v>
      </x:c>
      <x:c r="S232" s="75" t="str">
        <x:v>Not applied — review required</x:v>
      </x:c>
    </x:row>
    <x:row r="233">
      <x:c r="A233" s="71" t="str">
        <x:v>MRV-A07FC2A1C6</x:v>
      </x:c>
      <x:c r="B233" s="71" t="str">
        <x:v>Acquisition</x:v>
      </x:c>
      <x:c r="C233" s="71" t="str">
        <x:v>Discover / Routes index</x:v>
      </x:c>
      <x:c r="D233" s="71" t="str">
        <x:v>/journey/discover/discovery-browser</x:v>
      </x:c>
      <x:c r="E233" s="71" t="str">
        <x:v>collections</x:v>
      </x:c>
      <x:c r="F233" s="71" t="str">
        <x:v>Default</x:v>
      </x:c>
      <x:c r="G233" s="71" t="str">
        <x:v>Label</x:v>
      </x:c>
      <x:c r="H233" s="71" t="str">
        <x:v>Rail journeys</x:v>
      </x:c>
      <x:c r="I233" s="71" t="str">
        <x:v>Rail journeys</x:v>
      </x:c>
      <x:c r="J233" s="73"/>
      <x:c r="K233" s="74" t="str">
        <x:f>IF(J233="",H233,IF(J233=I233,I233,J233))</x:f>
        <x:v>Rail journeys</x:v>
      </x:c>
      <x:c r="L233" s="74" t="str">
        <x:f>IF(J233="","Keep current",IF(J233=I233,"Use suggestion","Custom"))</x:f>
        <x:v>Keep current</x:v>
      </x:c>
      <x:c r="M233" s="71" t="str">
        <x:v>Pending review</x:v>
      </x:c>
      <x:c r="N233" s="71" t="str">
        <x:v>Normal</x:v>
      </x:c>
      <x:c r="O233" s="71" t="str">
        <x:v>app/journey/discover/discovery-browser.tsx</x:v>
      </x:c>
      <x:c r="P233" s="71" t="str">
        <x:v>collections:115</x:v>
      </x:c>
      <x:c r="Q233" s="71" t="str">
        <x:v>EN (default / shared)</x:v>
      </x:c>
      <x:c r="R233" s="71" t="str">
        <x:v>Already clear and direct; suggested wording intentionally keeps the current copy. Duplicate wording: appears 2 times. Terminology watch: ‘trip’ and ‘journey’ both describe the same plan. Terminology watch: ‘stops’, ‘destinations’ and ‘places’ overlap.</x:v>
      </x:c>
      <x:c r="S233" s="75" t="str">
        <x:v>Not applied — review required</x:v>
      </x:c>
    </x:row>
    <x:row r="234">
      <x:c r="A234" s="71" t="str">
        <x:v>MRV-2A73EC1D9D</x:v>
      </x:c>
      <x:c r="B234" s="71" t="str">
        <x:v>Acquisition</x:v>
      </x:c>
      <x:c r="C234" s="71" t="str">
        <x:v>Discover / Routes index</x:v>
      </x:c>
      <x:c r="D234" s="71" t="str">
        <x:v>/journey/discover/discovery-browser</x:v>
      </x:c>
      <x:c r="E234" s="71" t="str">
        <x:v>routeCard</x:v>
      </x:c>
      <x:c r="F234" s="71" t="str">
        <x:v>Accessibility / input support</x:v>
      </x:c>
      <x:c r="G234" s="71" t="str">
        <x:v>Accessibility label</x:v>
      </x:c>
      <x:c r="H234" s="71" t="str">
        <x:v>See {route.title}</x:v>
      </x:c>
      <x:c r="I234" s="71" t="str">
        <x:v>See {route.title}</x:v>
      </x:c>
      <x:c r="J234" s="73"/>
      <x:c r="K234" s="74" t="str">
        <x:f>IF(J234="",H234,IF(J234=I234,I234,J234))</x:f>
        <x:v>See {route.title}</x:v>
      </x:c>
      <x:c r="L234" s="74" t="str">
        <x:f>IF(J234="","Keep current",IF(J234=I234,"Use suggestion","Custom"))</x:f>
        <x:v>Keep current</x:v>
      </x:c>
      <x:c r="M234" s="71" t="str">
        <x:v>Pending review</x:v>
      </x:c>
      <x:c r="N234" s="71" t="str">
        <x:v>Medium</x:v>
      </x:c>
      <x:c r="O234" s="71" t="str">
        <x:v>app/journey/discover/discovery-browser.tsx</x:v>
      </x:c>
      <x:c r="P234" s="71" t="str">
        <x:v>routeCard:122</x:v>
      </x:c>
      <x:c r="Q234" s="71" t="str">
        <x:v>EN (default / shared)</x:v>
      </x:c>
      <x:c r="R234" s="71" t="str">
        <x:v>Already clear and direct; suggested wording intentionally keeps the current copy. Dynamic traveller or trip value is represented as a token; user-generated values are excluded.</x:v>
      </x:c>
      <x:c r="S234" s="75" t="str">
        <x:v>Not applied — review required</x:v>
      </x:c>
    </x:row>
    <x:row r="235">
      <x:c r="A235" s="71" t="str">
        <x:v>MRV-038511A162</x:v>
      </x:c>
      <x:c r="B235" s="71" t="str">
        <x:v>Acquisition</x:v>
      </x:c>
      <x:c r="C235" s="71" t="str">
        <x:v>Discover / Routes index</x:v>
      </x:c>
      <x:c r="D235" s="71" t="str">
        <x:v>/journey/discover/discovery-browser</x:v>
      </x:c>
      <x:c r="E235" s="71" t="str">
        <x:v>routeCard</x:v>
      </x:c>
      <x:c r="F235" s="71" t="str">
        <x:v>Default</x:v>
      </x:c>
      <x:c r="G235" s="71" t="str">
        <x:v>Label</x:v>
      </x:c>
      <x:c r="H235" s="71" t="str">
        <x:v>· {first} → {last}</x:v>
      </x:c>
      <x:c r="I235" s="71" t="str">
        <x:v>· {first} → {last}</x:v>
      </x:c>
      <x:c r="J235" s="73"/>
      <x:c r="K235" s="74" t="str">
        <x:f>IF(J235="",H235,IF(J235=I235,I235,J235))</x:f>
        <x:v>· {first} → {last}</x:v>
      </x:c>
      <x:c r="L235" s="74" t="str">
        <x:f>IF(J235="","Keep current",IF(J235=I235,"Use suggestion","Custom"))</x:f>
        <x:v>Keep current</x:v>
      </x:c>
      <x:c r="M235" s="71" t="str">
        <x:v>Pending review</x:v>
      </x:c>
      <x:c r="N235" s="71" t="str">
        <x:v>Normal</x:v>
      </x:c>
      <x:c r="O235" s="71" t="str">
        <x:v>app/journey/discover/discovery-browser.tsx</x:v>
      </x:c>
      <x:c r="P235" s="71" t="str">
        <x:v>routeCard:129</x:v>
      </x:c>
      <x:c r="Q235" s="71" t="str">
        <x:v>EN (default / shared)</x:v>
      </x:c>
      <x:c r="R235" s="71" t="str">
        <x:v>Already clear and direct; suggested wording intentionally keeps the current copy. Dynamic traveller or trip value is represented as a token; user-generated values are excluded.</x:v>
      </x:c>
      <x:c r="S235" s="75" t="str">
        <x:v>Not applied — review required</x:v>
      </x:c>
    </x:row>
    <x:row r="236">
      <x:c r="A236" s="71" t="str">
        <x:v>MRV-B7EDCF03BB</x:v>
      </x:c>
      <x:c r="B236" s="71" t="str">
        <x:v>Acquisition</x:v>
      </x:c>
      <x:c r="C236" s="71" t="str">
        <x:v>Discover / Routes index</x:v>
      </x:c>
      <x:c r="D236" s="71" t="str">
        <x:v>/journey/discover/discovery-browser</x:v>
      </x:c>
      <x:c r="E236" s="71" t="str">
        <x:v>DiscoveryBrowser</x:v>
      </x:c>
      <x:c r="F236" s="71" t="str">
        <x:v>Default</x:v>
      </x:c>
      <x:c r="G236" s="71" t="str">
        <x:v>Label</x:v>
      </x:c>
      <x:c r="H236" s="71" t="str">
        <x:v>WHAT PULLS YOU IN</x:v>
      </x:c>
      <x:c r="I236" s="71" t="str">
        <x:v>WHAT PULLS YOU IN</x:v>
      </x:c>
      <x:c r="J236" s="73"/>
      <x:c r="K236" s="74" t="str">
        <x:f>IF(J236="",H236,IF(J236=I236,I236,J236))</x:f>
        <x:v>WHAT PULLS YOU IN</x:v>
      </x:c>
      <x:c r="L236" s="74" t="str">
        <x:f>IF(J236="","Keep current",IF(J236=I236,"Use suggestion","Custom"))</x:f>
        <x:v>Keep current</x:v>
      </x:c>
      <x:c r="M236" s="71" t="str">
        <x:v>Pending review</x:v>
      </x:c>
      <x:c r="N236" s="71" t="str">
        <x:v>Normal</x:v>
      </x:c>
      <x:c r="O236" s="71" t="str">
        <x:v>app/journey/discover/discovery-browser.tsx</x:v>
      </x:c>
      <x:c r="P236" s="71" t="str">
        <x:v>DiscoveryBrowser:142</x:v>
      </x:c>
      <x:c r="Q236" s="71" t="str">
        <x:v>EN (default / shared)</x:v>
      </x:c>
      <x:c r="R236" s="71" t="str">
        <x:v>Already clear and direct; suggested wording intentionally keeps the current copy. Duplicate wording: appears 2 times.</x:v>
      </x:c>
      <x:c r="S236" s="75" t="str">
        <x:v>Not applied — review required</x:v>
      </x:c>
    </x:row>
    <x:row r="237">
      <x:c r="A237" s="71" t="str">
        <x:v>MRV-868B5B6ADF</x:v>
      </x:c>
      <x:c r="B237" s="71" t="str">
        <x:v>Acquisition</x:v>
      </x:c>
      <x:c r="C237" s="71" t="str">
        <x:v>Discover / Routes index</x:v>
      </x:c>
      <x:c r="D237" s="71" t="str">
        <x:v>/journey/discover/discovery-browser</x:v>
      </x:c>
      <x:c r="E237" s="71" t="str">
        <x:v>DiscoveryBrowser</x:v>
      </x:c>
      <x:c r="F237" s="71" t="str">
        <x:v>Default</x:v>
      </x:c>
      <x:c r="G237" s="71" t="str">
        <x:v>Label</x:v>
      </x:c>
      <x:c r="H237" s="71" t="str">
        <x:v>Any country</x:v>
      </x:c>
      <x:c r="I237" s="71" t="str">
        <x:v>Any country</x:v>
      </x:c>
      <x:c r="J237" s="73"/>
      <x:c r="K237" s="74" t="str">
        <x:f>IF(J237="",H237,IF(J237=I237,I237,J237))</x:f>
        <x:v>Any country</x:v>
      </x:c>
      <x:c r="L237" s="74" t="str">
        <x:f>IF(J237="","Keep current",IF(J237=I237,"Use suggestion","Custom"))</x:f>
        <x:v>Keep current</x:v>
      </x:c>
      <x:c r="M237" s="71" t="str">
        <x:v>Pending review</x:v>
      </x:c>
      <x:c r="N237" s="71" t="str">
        <x:v>Normal</x:v>
      </x:c>
      <x:c r="O237" s="71" t="str">
        <x:v>app/journey/discover/discovery-browser.tsx</x:v>
      </x:c>
      <x:c r="P237" s="71" t="str">
        <x:v>DiscoveryBrowser:143</x:v>
      </x:c>
      <x:c r="Q237" s="71" t="str">
        <x:v>EN (default / shared)</x:v>
      </x:c>
      <x:c r="R237" s="71" t="str">
        <x:v>Already clear and direct; suggested wording intentionally keeps the current copy.</x:v>
      </x:c>
      <x:c r="S237" s="75" t="str">
        <x:v>Not applied — review required</x:v>
      </x:c>
    </x:row>
    <x:row r="238">
      <x:c r="A238" s="71" t="str">
        <x:v>MRV-99CDBF1C99</x:v>
      </x:c>
      <x:c r="B238" s="71" t="str">
        <x:v>Acquisition</x:v>
      </x:c>
      <x:c r="C238" s="71" t="str">
        <x:v>Discover / Routes index</x:v>
      </x:c>
      <x:c r="D238" s="71" t="str">
        <x:v>/journey/discover/discovery-browser</x:v>
      </x:c>
      <x:c r="E238" s="71" t="str">
        <x:v>DiscoveryBrowser</x:v>
      </x:c>
      <x:c r="F238" s="71" t="str">
        <x:v>Default</x:v>
      </x:c>
      <x:c r="G238" s="71" t="str">
        <x:v>Label</x:v>
      </x:c>
      <x:c r="H238" s="71" t="str">
        <x:v>Quick picks for you</x:v>
      </x:c>
      <x:c r="I238" s="71" t="str">
        <x:v>Quick picks for you</x:v>
      </x:c>
      <x:c r="J238" s="73"/>
      <x:c r="K238" s="74" t="str">
        <x:f>IF(J238="",H238,IF(J238=I238,I238,J238))</x:f>
        <x:v>Quick picks for you</x:v>
      </x:c>
      <x:c r="L238" s="74" t="str">
        <x:f>IF(J238="","Keep current",IF(J238=I238,"Use suggestion","Custom"))</x:f>
        <x:v>Keep current</x:v>
      </x:c>
      <x:c r="M238" s="71" t="str">
        <x:v>Pending review</x:v>
      </x:c>
      <x:c r="N238" s="71" t="str">
        <x:v>Normal</x:v>
      </x:c>
      <x:c r="O238" s="71" t="str">
        <x:v>app/journey/discover/discovery-browser.tsx</x:v>
      </x:c>
      <x:c r="P238" s="71" t="str">
        <x:v>DiscoveryBrowser:145</x:v>
      </x:c>
      <x:c r="Q238" s="71" t="str">
        <x:v>EN (default / shared)</x:v>
      </x:c>
      <x:c r="R238" s="71" t="str">
        <x:v>Already clear and direct; suggested wording intentionally keeps the current copy.</x:v>
      </x:c>
      <x:c r="S238" s="75" t="str">
        <x:v>Not applied — review required</x:v>
      </x:c>
    </x:row>
    <x:row r="239">
      <x:c r="A239" s="71" t="str">
        <x:v>MRV-E3308FD4E1</x:v>
      </x:c>
      <x:c r="B239" s="71" t="str">
        <x:v>Acquisition</x:v>
      </x:c>
      <x:c r="C239" s="71" t="str">
        <x:v>Discover / Routes index</x:v>
      </x:c>
      <x:c r="D239" s="71" t="str">
        <x:v>/journey/discover/discovery-browser</x:v>
      </x:c>
      <x:c r="E239" s="71" t="str">
        <x:v>DiscoveryBrowser</x:v>
      </x:c>
      <x:c r="F239" s="71" t="str">
        <x:v>Default</x:v>
      </x:c>
      <x:c r="G239" s="71" t="str">
        <x:v>Label</x:v>
      </x:c>
      <x:c r="H239" s="71" t="str">
        <x:v>Stories worth following</x:v>
      </x:c>
      <x:c r="I239" s="71" t="str">
        <x:v>Stories worth following</x:v>
      </x:c>
      <x:c r="J239" s="73"/>
      <x:c r="K239" s="74" t="str">
        <x:f>IF(J239="",H239,IF(J239=I239,I239,J239))</x:f>
        <x:v>Stories worth following</x:v>
      </x:c>
      <x:c r="L239" s="74" t="str">
        <x:f>IF(J239="","Keep current",IF(J239=I239,"Use suggestion","Custom"))</x:f>
        <x:v>Keep current</x:v>
      </x:c>
      <x:c r="M239" s="71" t="str">
        <x:v>Pending review</x:v>
      </x:c>
      <x:c r="N239" s="71" t="str">
        <x:v>Normal</x:v>
      </x:c>
      <x:c r="O239" s="71" t="str">
        <x:v>app/journey/discover/discovery-browser.tsx</x:v>
      </x:c>
      <x:c r="P239" s="71" t="str">
        <x:v>DiscoveryBrowser:149</x:v>
      </x:c>
      <x:c r="Q239" s="71" t="str">
        <x:v>EN (default / shared)</x:v>
      </x:c>
      <x:c r="R239" s="71" t="str">
        <x:v>Already clear and direct; suggested wording intentionally keeps the current copy.</x:v>
      </x:c>
      <x:c r="S239" s="75" t="str">
        <x:v>Not applied — review required</x:v>
      </x:c>
    </x:row>
    <x:row r="240">
      <x:c r="A240" s="71" t="str">
        <x:v>MRV-46C31FE882</x:v>
      </x:c>
      <x:c r="B240" s="71" t="str">
        <x:v>Acquisition</x:v>
      </x:c>
      <x:c r="C240" s="71" t="str">
        <x:v>Discover / Routes index</x:v>
      </x:c>
      <x:c r="D240" s="71" t="str">
        <x:v>/journey/discover/discovery-browser</x:v>
      </x:c>
      <x:c r="E240" s="71" t="str">
        <x:v>DiscoveryBrowser</x:v>
      </x:c>
      <x:c r="F240" s="71" t="str">
        <x:v>Default</x:v>
      </x:c>
      <x:c r="G240" s="71" t="str">
        <x:v>Label</x:v>
      </x:c>
      <x:c r="H240" s="71" t="str">
        <x:v>Read the route story</x:v>
      </x:c>
      <x:c r="I240" s="71" t="str">
        <x:v>Read the route story</x:v>
      </x:c>
      <x:c r="J240" s="73"/>
      <x:c r="K240" s="74" t="str">
        <x:f>IF(J240="",H240,IF(J240=I240,I240,J240))</x:f>
        <x:v>Read the route story</x:v>
      </x:c>
      <x:c r="L240" s="74" t="str">
        <x:f>IF(J240="","Keep current",IF(J240=I240,"Use suggestion","Custom"))</x:f>
        <x:v>Keep current</x:v>
      </x:c>
      <x:c r="M240" s="71" t="str">
        <x:v>Pending review</x:v>
      </x:c>
      <x:c r="N240" s="71" t="str">
        <x:v>Normal</x:v>
      </x:c>
      <x:c r="O240" s="71" t="str">
        <x:v>app/journey/discover/discovery-browser.tsx</x:v>
      </x:c>
      <x:c r="P240" s="71" t="str">
        <x:v>DiscoveryBrowser:152</x:v>
      </x:c>
      <x:c r="Q240" s="71" t="str">
        <x:v>EN (default / shared)</x:v>
      </x:c>
      <x:c r="R240" s="71" t="str">
        <x:v>Already clear and direct; suggested wording intentionally keeps the current copy.</x:v>
      </x:c>
      <x:c r="S240" s="75" t="str">
        <x:v>Not applied — review required</x:v>
      </x:c>
    </x:row>
    <x:row r="241">
      <x:c r="A241" s="71" t="str">
        <x:v>MRV-B03477F2B6</x:v>
      </x:c>
      <x:c r="B241" s="71" t="str">
        <x:v>Acquisition</x:v>
      </x:c>
      <x:c r="C241" s="71" t="str">
        <x:v>Discover / Routes index</x:v>
      </x:c>
      <x:c r="D241" s="71" t="str">
        <x:v>/journey/discover/discovery-browser</x:v>
      </x:c>
      <x:c r="E241" s="71" t="str">
        <x:v>DiscoveryBrowser</x:v>
      </x:c>
      <x:c r="F241" s="71" t="str">
        <x:v>Default</x:v>
      </x:c>
      <x:c r="G241" s="71" t="str">
        <x:v>Label</x:v>
      </x:c>
      <x:c r="H241" s="71" t="str">
        <x:v>Browse by travel style</x:v>
      </x:c>
      <x:c r="I241" s="71" t="str">
        <x:v>Browse by travel style</x:v>
      </x:c>
      <x:c r="J241" s="73"/>
      <x:c r="K241" s="74" t="str">
        <x:f>IF(J241="",H241,IF(J241=I241,I241,J241))</x:f>
        <x:v>Browse by travel style</x:v>
      </x:c>
      <x:c r="L241" s="74" t="str">
        <x:f>IF(J241="","Keep current",IF(J241=I241,"Use suggestion","Custom"))</x:f>
        <x:v>Keep current</x:v>
      </x:c>
      <x:c r="M241" s="71" t="str">
        <x:v>Pending review</x:v>
      </x:c>
      <x:c r="N241" s="71" t="str">
        <x:v>Normal</x:v>
      </x:c>
      <x:c r="O241" s="71" t="str">
        <x:v>app/journey/discover/discovery-browser.tsx</x:v>
      </x:c>
      <x:c r="P241" s="71" t="str">
        <x:v>DiscoveryBrowser:159</x:v>
      </x:c>
      <x:c r="Q241" s="71" t="str">
        <x:v>EN (default / shared)</x:v>
      </x:c>
      <x:c r="R241" s="71" t="str">
        <x:v>Already clear and direct; suggested wording intentionally keeps the current copy.</x:v>
      </x:c>
      <x:c r="S241" s="75" t="str">
        <x:v>Not applied — review required</x:v>
      </x:c>
    </x:row>
    <x:row r="242">
      <x:c r="A242" s="71" t="str">
        <x:v>MRV-8543690D3C</x:v>
      </x:c>
      <x:c r="B242" s="71" t="str">
        <x:v>Acquisition</x:v>
      </x:c>
      <x:c r="C242" s="71" t="str">
        <x:v>Discover / Routes index</x:v>
      </x:c>
      <x:c r="D242" s="71" t="str">
        <x:v>/journey/discover/discovery-browser</x:v>
      </x:c>
      <x:c r="E242" s="71" t="str">
        <x:v>DiscoveryBrowser</x:v>
      </x:c>
      <x:c r="F242" s="71" t="str">
        <x:v>Default</x:v>
      </x:c>
      <x:c r="G242" s="71" t="str">
        <x:v>Label</x:v>
      </x:c>
      <x:c r="H242" s="71" t="str">
        <x:v>Curated collections</x:v>
      </x:c>
      <x:c r="I242" s="71" t="str">
        <x:v>Curated collections</x:v>
      </x:c>
      <x:c r="J242" s="73"/>
      <x:c r="K242" s="74" t="str">
        <x:f>IF(J242="",H242,IF(J242=I242,I242,J242))</x:f>
        <x:v>Curated collections</x:v>
      </x:c>
      <x:c r="L242" s="74" t="str">
        <x:f>IF(J242="","Keep current",IF(J242=I242,"Use suggestion","Custom"))</x:f>
        <x:v>Keep current</x:v>
      </x:c>
      <x:c r="M242" s="71" t="str">
        <x:v>Pending review</x:v>
      </x:c>
      <x:c r="N242" s="71" t="str">
        <x:v>Normal</x:v>
      </x:c>
      <x:c r="O242" s="71" t="str">
        <x:v>app/journey/discover/discovery-browser.tsx</x:v>
      </x:c>
      <x:c r="P242" s="71" t="str">
        <x:v>DiscoveryBrowser:164</x:v>
      </x:c>
      <x:c r="Q242" s="71" t="str">
        <x:v>EN (default / shared)</x:v>
      </x:c>
      <x:c r="R242" s="71" t="str">
        <x:v>Already clear and direct; suggested wording intentionally keeps the current copy.</x:v>
      </x:c>
      <x:c r="S242" s="75" t="str">
        <x:v>Not applied — review required</x:v>
      </x:c>
    </x:row>
    <x:row r="243">
      <x:c r="A243" s="71" t="str">
        <x:v>MRV-843BE1AC6D</x:v>
      </x:c>
      <x:c r="B243" s="71" t="str">
        <x:v>Acquisition</x:v>
      </x:c>
      <x:c r="C243" s="71" t="str">
        <x:v>Discover / Routes index</x:v>
      </x:c>
      <x:c r="D243" s="71" t="str">
        <x:v>/journey/discover/discovery-browser</x:v>
      </x:c>
      <x:c r="E243" s="71" t="str">
        <x:v>DiscoveryBrowser</x:v>
      </x:c>
      <x:c r="F243" s="71" t="str">
        <x:v>Default</x:v>
      </x:c>
      <x:c r="G243" s="71" t="str">
        <x:v>Label</x:v>
      </x:c>
      <x:c r="H243" s="71" t="str">
        <x:v>ALL ROUTES</x:v>
      </x:c>
      <x:c r="I243" s="71" t="str">
        <x:v>ALL ROUTES</x:v>
      </x:c>
      <x:c r="J243" s="73"/>
      <x:c r="K243" s="74" t="str">
        <x:f>IF(J243="",H243,IF(J243=I243,I243,J243))</x:f>
        <x:v>ALL ROUTES</x:v>
      </x:c>
      <x:c r="L243" s="74" t="str">
        <x:f>IF(J243="","Keep current",IF(J243=I243,"Use suggestion","Custom"))</x:f>
        <x:v>Keep current</x:v>
      </x:c>
      <x:c r="M243" s="71" t="str">
        <x:v>Pending review</x:v>
      </x:c>
      <x:c r="N243" s="71" t="str">
        <x:v>Normal</x:v>
      </x:c>
      <x:c r="O243" s="71" t="str">
        <x:v>app/journey/discover/discovery-browser.tsx</x:v>
      </x:c>
      <x:c r="P243" s="71" t="str">
        <x:v>DiscoveryBrowser:169</x:v>
      </x:c>
      <x:c r="Q243" s="71" t="str">
        <x:v>EN (default / shared)</x:v>
      </x:c>
      <x:c r="R243" s="71" t="str">
        <x:v>Already clear and direct; suggested wording intentionally keeps the current copy.</x:v>
      </x:c>
      <x:c r="S243" s="75" t="str">
        <x:v>Not applied — review required</x:v>
      </x:c>
    </x:row>
    <x:row r="244">
      <x:c r="A244" s="71" t="str">
        <x:v>MRV-FDEE87237D</x:v>
      </x:c>
      <x:c r="B244" s="71" t="str">
        <x:v>Acquisition</x:v>
      </x:c>
      <x:c r="C244" s="71" t="str">
        <x:v>Discover / Routes index</x:v>
      </x:c>
      <x:c r="D244" s="71" t="str">
        <x:v>/journey/discover/discovery-browser</x:v>
      </x:c>
      <x:c r="E244" s="71" t="str">
        <x:v>DiscoveryBrowser</x:v>
      </x:c>
      <x:c r="F244" s="71" t="str">
        <x:v>Default</x:v>
      </x:c>
      <x:c r="G244" s="71" t="str">
        <x:v>Label</x:v>
      </x:c>
      <x:c r="H244" s="71" t="str">
        <x:v>Keep exploring</x:v>
      </x:c>
      <x:c r="I244" s="71" t="str">
        <x:v>Keep exploring</x:v>
      </x:c>
      <x:c r="J244" s="73"/>
      <x:c r="K244" s="74" t="str">
        <x:f>IF(J244="",H244,IF(J244=I244,I244,J244))</x:f>
        <x:v>Keep exploring</x:v>
      </x:c>
      <x:c r="L244" s="74" t="str">
        <x:f>IF(J244="","Keep current",IF(J244=I244,"Use suggestion","Custom"))</x:f>
        <x:v>Keep current</x:v>
      </x:c>
      <x:c r="M244" s="71" t="str">
        <x:v>Pending review</x:v>
      </x:c>
      <x:c r="N244" s="71" t="str">
        <x:v>Normal</x:v>
      </x:c>
      <x:c r="O244" s="71" t="str">
        <x:v>app/journey/discover/discovery-browser.tsx</x:v>
      </x:c>
      <x:c r="P244" s="71" t="str">
        <x:v>DiscoveryBrowser:169</x:v>
      </x:c>
      <x:c r="Q244" s="71" t="str">
        <x:v>EN (default / shared)</x:v>
      </x:c>
      <x:c r="R244" s="71" t="str">
        <x:v>Already clear and direct; suggested wording intentionally keeps the current copy.</x:v>
      </x:c>
      <x:c r="S244" s="75" t="str">
        <x:v>Not applied — review required</x:v>
      </x:c>
    </x:row>
    <x:row r="245">
      <x:c r="A245" s="71" t="str">
        <x:v>MRV-1EA482DB8E</x:v>
      </x:c>
      <x:c r="B245" s="71" t="str">
        <x:v>Acquisition</x:v>
      </x:c>
      <x:c r="C245" s="71" t="str">
        <x:v>Discover / Routes index</x:v>
      </x:c>
      <x:c r="D245" s="71" t="str">
        <x:v>/journey/discover/discovery-browser</x:v>
      </x:c>
      <x:c r="E245" s="71" t="str">
        <x:v>DiscoveryBrowser</x:v>
      </x:c>
      <x:c r="F245" s="71" t="str">
        <x:v>Empty state</x:v>
      </x:c>
      <x:c r="G245" s="71" t="str">
        <x:v>Body copy</x:v>
      </x:c>
      <x:c r="H245" s="71" t="str">
        <x:v>Nothing matches that combination yet.</x:v>
      </x:c>
      <x:c r="I245" s="71" t="str">
        <x:v>Nothing matches that combination yet.</x:v>
      </x:c>
      <x:c r="J245" s="73"/>
      <x:c r="K245" s="74" t="str">
        <x:f>IF(J245="",H245,IF(J245=I245,I245,J245))</x:f>
        <x:v>Nothing matches that combination yet.</x:v>
      </x:c>
      <x:c r="L245" s="74" t="str">
        <x:f>IF(J245="","Keep current",IF(J245=I245,"Use suggestion","Custom"))</x:f>
        <x:v>Keep current</x:v>
      </x:c>
      <x:c r="M245" s="71" t="str">
        <x:v>Pending review</x:v>
      </x:c>
      <x:c r="N245" s="71" t="str">
        <x:v>Normal</x:v>
      </x:c>
      <x:c r="O245" s="71" t="str">
        <x:v>app/journey/discover/discovery-browser.tsx</x:v>
      </x:c>
      <x:c r="P245" s="71" t="str">
        <x:v>DiscoveryBrowser:177</x:v>
      </x:c>
      <x:c r="Q245" s="71" t="str">
        <x:v>EN (default / shared)</x:v>
      </x:c>
      <x:c r="R245" s="71" t="str">
        <x:v>Already clear and direct; suggested wording intentionally keeps the current copy.</x:v>
      </x:c>
      <x:c r="S245" s="75" t="str">
        <x:v>Not applied — review required</x:v>
      </x:c>
    </x:row>
    <x:row r="246">
      <x:c r="A246" s="71" t="str">
        <x:v>MRV-D66487C30A</x:v>
      </x:c>
      <x:c r="B246" s="71" t="str">
        <x:v>Acquisition</x:v>
      </x:c>
      <x:c r="C246" s="71" t="str">
        <x:v>Discover / Routes index</x:v>
      </x:c>
      <x:c r="D246" s="71" t="str">
        <x:v>/journey/discover/discovery-browser</x:v>
      </x:c>
      <x:c r="E246" s="71" t="str">
        <x:v>DiscoveryBrowser</x:v>
      </x:c>
      <x:c r="F246" s="71" t="str">
        <x:v>Default</x:v>
      </x:c>
      <x:c r="G246" s="71" t="str">
        <x:v>Body copy</x:v>
      </x:c>
      <x:c r="H246" s="71" t="str">
        <x:v>Try a broader region or feeling.</x:v>
      </x:c>
      <x:c r="I246" s="71" t="str">
        <x:v>Try a broader region or feeling.</x:v>
      </x:c>
      <x:c r="J246" s="73"/>
      <x:c r="K246" s="74" t="str">
        <x:f>IF(J246="",H246,IF(J246=I246,I246,J246))</x:f>
        <x:v>Try a broader region or feeling.</x:v>
      </x:c>
      <x:c r="L246" s="74" t="str">
        <x:f>IF(J246="","Keep current",IF(J246=I246,"Use suggestion","Custom"))</x:f>
        <x:v>Keep current</x:v>
      </x:c>
      <x:c r="M246" s="71" t="str">
        <x:v>Pending review</x:v>
      </x:c>
      <x:c r="N246" s="71" t="str">
        <x:v>Normal</x:v>
      </x:c>
      <x:c r="O246" s="71" t="str">
        <x:v>app/journey/discover/discovery-browser.tsx</x:v>
      </x:c>
      <x:c r="P246" s="71" t="str">
        <x:v>DiscoveryBrowser:177</x:v>
      </x:c>
      <x:c r="Q246" s="71" t="str">
        <x:v>EN (default / shared)</x:v>
      </x:c>
      <x:c r="R246" s="71" t="str">
        <x:v>Already clear and direct; suggested wording intentionally keeps the current copy.</x:v>
      </x:c>
      <x:c r="S246" s="75" t="str">
        <x:v>Not applied — review required</x:v>
      </x:c>
    </x:row>
    <x:row r="247">
      <x:c r="A247" s="71" t="str">
        <x:v>MRV-53F4F92644</x:v>
      </x:c>
      <x:c r="B247" s="71" t="str">
        <x:v>Acquisition</x:v>
      </x:c>
      <x:c r="C247" s="71" t="str">
        <x:v>Discover / Routes index</x:v>
      </x:c>
      <x:c r="D247" s="71" t="str">
        <x:v>/journey/discover/discovery-browser</x:v>
      </x:c>
      <x:c r="E247" s="71" t="str">
        <x:v>DiscoveryBrowser</x:v>
      </x:c>
      <x:c r="F247" s="71" t="str">
        <x:v>Default</x:v>
      </x:c>
      <x:c r="G247" s="71" t="str">
        <x:v>CTA / button</x:v>
      </x:c>
      <x:c r="H247" s="71" t="str">
        <x:v>BUILD FROM ANY STARTING POINT</x:v>
      </x:c>
      <x:c r="I247" s="71" t="str">
        <x:v>BUILD FROM ANY STARTING POINT</x:v>
      </x:c>
      <x:c r="J247" s="73"/>
      <x:c r="K247" s="74" t="str">
        <x:f>IF(J247="",H247,IF(J247=I247,I247,J247))</x:f>
        <x:v>BUILD FROM ANY STARTING POINT</x:v>
      </x:c>
      <x:c r="L247" s="74" t="str">
        <x:f>IF(J247="","Keep current",IF(J247=I247,"Use suggestion","Custom"))</x:f>
        <x:v>Keep current</x:v>
      </x:c>
      <x:c r="M247" s="71" t="str">
        <x:v>Pending review</x:v>
      </x:c>
      <x:c r="N247" s="71" t="str">
        <x:v>Medium</x:v>
      </x:c>
      <x:c r="O247" s="71" t="str">
        <x:v>app/journey/discover/discovery-browser.tsx</x:v>
      </x:c>
      <x:c r="P247" s="71" t="str">
        <x:v>DiscoveryBrowser:178</x:v>
      </x:c>
      <x:c r="Q247" s="71" t="str">
        <x:v>EN (default / shared)</x:v>
      </x:c>
      <x:c r="R247" s="71" t="str">
        <x:v>Already clear and direct; suggested wording intentionally keeps the current copy.</x:v>
      </x:c>
      <x:c r="S247" s="75" t="str">
        <x:v>Not applied — review required</x:v>
      </x:c>
    </x:row>
    <x:row r="248">
      <x:c r="A248" s="71" t="str">
        <x:v>MRV-22AB1AD0A0</x:v>
      </x:c>
      <x:c r="B248" s="71" t="str">
        <x:v>Acquisition</x:v>
      </x:c>
      <x:c r="C248" s="71" t="str">
        <x:v>Discover / Routes index</x:v>
      </x:c>
      <x:c r="D248" s="71" t="str">
        <x:v>/journey/discover/discovery-browser</x:v>
      </x:c>
      <x:c r="E248" s="71" t="str">
        <x:v>DiscoveryBrowser</x:v>
      </x:c>
      <x:c r="F248" s="71" t="str">
        <x:v>Default</x:v>
      </x:c>
      <x:c r="G248" s="71" t="str">
        <x:v>Label</x:v>
      </x:c>
      <x:c r="H248" s="71" t="str">
        <x:v>Your trip, your way</x:v>
      </x:c>
      <x:c r="I248" s="71" t="str">
        <x:v>Your trip, your way</x:v>
      </x:c>
      <x:c r="J248" s="73"/>
      <x:c r="K248" s="74" t="str">
        <x:f>IF(J248="",H248,IF(J248=I248,I248,J248))</x:f>
        <x:v>Your trip, your way</x:v>
      </x:c>
      <x:c r="L248" s="74" t="str">
        <x:f>IF(J248="","Keep current",IF(J248=I248,"Use suggestion","Custom"))</x:f>
        <x:v>Keep current</x:v>
      </x:c>
      <x:c r="M248" s="71" t="str">
        <x:v>Pending review</x:v>
      </x:c>
      <x:c r="N248" s="71" t="str">
        <x:v>Normal</x:v>
      </x:c>
      <x:c r="O248" s="71" t="str">
        <x:v>app/journey/discover/discovery-browser.tsx</x:v>
      </x:c>
      <x:c r="P248" s="71" t="str">
        <x:v>DiscoveryBrowser:178</x:v>
      </x:c>
      <x:c r="Q248" s="71" t="str">
        <x:v>EN (default / shared)</x:v>
      </x:c>
      <x:c r="R248" s="71" t="str">
        <x:v>Already clear and direct; suggested wording intentionally keeps the current copy. Terminology watch: ‘trip’ and ‘journey’ both describe the same plan. Terminology watch: ‘stops’, ‘destinations’ and ‘places’ overlap.</x:v>
      </x:c>
      <x:c r="S248" s="75" t="str">
        <x:v>Not applied — review required</x:v>
      </x:c>
    </x:row>
    <x:row r="249">
      <x:c r="A249" s="71" t="str">
        <x:v>MRV-9BC441D505</x:v>
      </x:c>
      <x:c r="B249" s="71" t="str">
        <x:v>Acquisition</x:v>
      </x:c>
      <x:c r="C249" s="71" t="str">
        <x:v>Discover / Routes index</x:v>
      </x:c>
      <x:c r="D249" s="71" t="str">
        <x:v>/journey/discover/discovery-browser</x:v>
      </x:c>
      <x:c r="E249" s="71" t="str">
        <x:v>DiscoveryBrowser</x:v>
      </x:c>
      <x:c r="F249" s="71" t="str">
        <x:v>Default</x:v>
      </x:c>
      <x:c r="G249" s="71" t="str">
        <x:v>Body copy</x:v>
      </x:c>
      <x:c r="H249" s="71" t="str">
        <x:v>Every route is fully editable - change pace, swap places, add days.</x:v>
      </x:c>
      <x:c r="I249" s="71" t="str">
        <x:v>Every route is fully editable - change pace, swap places, add days.</x:v>
      </x:c>
      <x:c r="J249" s="73"/>
      <x:c r="K249" s="74" t="str">
        <x:f>IF(J249="",H249,IF(J249=I249,I249,J249))</x:f>
        <x:v>Every route is fully editable - change pace, swap places, add days.</x:v>
      </x:c>
      <x:c r="L249" s="74" t="str">
        <x:f>IF(J249="","Keep current",IF(J249=I249,"Use suggestion","Custom"))</x:f>
        <x:v>Keep current</x:v>
      </x:c>
      <x:c r="M249" s="71" t="str">
        <x:v>Pending review</x:v>
      </x:c>
      <x:c r="N249" s="71" t="str">
        <x:v>Normal</x:v>
      </x:c>
      <x:c r="O249" s="71" t="str">
        <x:v>app/journey/discover/discovery-browser.tsx</x:v>
      </x:c>
      <x:c r="P249" s="71" t="str">
        <x:v>DiscoveryBrowser:178</x:v>
      </x:c>
      <x:c r="Q249" s="71" t="str">
        <x:v>EN (default / shared)</x:v>
      </x:c>
      <x:c r="R249" s="71" t="str">
        <x:v>Already clear and direct; suggested wording intentionally keeps the current copy. Terminology watch: ‘trip’ and ‘journey’ both describe the same plan. Terminology watch: ‘stops’, ‘destinations’ and ‘places’ overlap.</x:v>
      </x:c>
      <x:c r="S249" s="75" t="str">
        <x:v>Not applied — review required</x:v>
      </x:c>
    </x:row>
    <x:row r="250">
      <x:c r="A250" s="71" t="str">
        <x:v>MRV-55B28EC7A3</x:v>
      </x:c>
      <x:c r="B250" s="71" t="str">
        <x:v>Acquisition</x:v>
      </x:c>
      <x:c r="C250" s="71" t="str">
        <x:v>Discover / Routes index</x:v>
      </x:c>
      <x:c r="D250" s="71" t="str">
        <x:v>/journey/discover/discovery-browser</x:v>
      </x:c>
      <x:c r="E250" s="71" t="str">
        <x:v>DiscoveryBrowser</x:v>
      </x:c>
      <x:c r="F250" s="71" t="str">
        <x:v>Default</x:v>
      </x:c>
      <x:c r="G250" s="71" t="str">
        <x:v>CTA / button</x:v>
      </x:c>
      <x:c r="H250" s="71" t="str">
        <x:v>Start exploring</x:v>
      </x:c>
      <x:c r="I250" s="71" t="str">
        <x:v>Start exploring</x:v>
      </x:c>
      <x:c r="J250" s="73"/>
      <x:c r="K250" s="74" t="str">
        <x:f>IF(J250="",H250,IF(J250=I250,I250,J250))</x:f>
        <x:v>Start exploring</x:v>
      </x:c>
      <x:c r="L250" s="74" t="str">
        <x:f>IF(J250="","Keep current",IF(J250=I250,"Use suggestion","Custom"))</x:f>
        <x:v>Keep current</x:v>
      </x:c>
      <x:c r="M250" s="71" t="str">
        <x:v>Pending review</x:v>
      </x:c>
      <x:c r="N250" s="71" t="str">
        <x:v>Medium</x:v>
      </x:c>
      <x:c r="O250" s="71" t="str">
        <x:v>app/journey/discover/discovery-browser.tsx</x:v>
      </x:c>
      <x:c r="P250" s="71" t="str">
        <x:v>DiscoveryBrowser:178</x:v>
      </x:c>
      <x:c r="Q250" s="71" t="str">
        <x:v>EN (default / shared)</x:v>
      </x:c>
      <x:c r="R250" s="71" t="str">
        <x:v>Already clear and direct; suggested wording intentionally keeps the current copy.</x:v>
      </x:c>
      <x:c r="S250" s="75" t="str">
        <x:v>Not applied — review required</x:v>
      </x:c>
    </x:row>
    <x:row r="251">
      <x:c r="A251" s="71" t="str">
        <x:v>MRV-1DE7E3E9ED</x:v>
      </x:c>
      <x:c r="B251" s="71" t="str">
        <x:v>Acquisition</x:v>
      </x:c>
      <x:c r="C251" s="71" t="str">
        <x:v>Discover / Routes index</x:v>
      </x:c>
      <x:c r="D251" s="71" t="str">
        <x:v>/journey/discover</x:v>
      </x:c>
      <x:c r="E251" s="71" t="str">
        <x:v>metadata</x:v>
      </x:c>
      <x:c r="F251" s="71" t="str">
        <x:v>Default</x:v>
      </x:c>
      <x:c r="G251" s="71" t="str">
        <x:v>Tooltip</x:v>
      </x:c>
      <x:c r="H251" s="71" t="str">
        <x:v>Find your route</x:v>
      </x:c>
      <x:c r="I251" s="71" t="str">
        <x:v>Find your route</x:v>
      </x:c>
      <x:c r="J251" s="73"/>
      <x:c r="K251" s="74" t="str">
        <x:f>IF(J251="",H251,IF(J251=I251,I251,J251))</x:f>
        <x:v>Find your route</x:v>
      </x:c>
      <x:c r="L251" s="74" t="str">
        <x:f>IF(J251="","Keep current",IF(J251=I251,"Use suggestion","Custom"))</x:f>
        <x:v>Keep current</x:v>
      </x:c>
      <x:c r="M251" s="71" t="str">
        <x:v>Pending review</x:v>
      </x:c>
      <x:c r="N251" s="71" t="str">
        <x:v>Normal</x:v>
      </x:c>
      <x:c r="O251" s="71" t="str">
        <x:v>app/journey/discover/page.tsx</x:v>
      </x:c>
      <x:c r="P251" s="71" t="str">
        <x:v>metadata:11</x:v>
      </x:c>
      <x:c r="Q251" s="71" t="str">
        <x:v>EN (default / shared)</x:v>
      </x:c>
      <x:c r="R251" s="71" t="str">
        <x:v>Already clear and direct; suggested wording intentionally keeps the current copy. Duplicate wording: appears 2 times.</x:v>
      </x:c>
      <x:c r="S251" s="75" t="str">
        <x:v>Not applied — review required</x:v>
      </x:c>
    </x:row>
    <x:row r="252">
      <x:c r="A252" s="71" t="str">
        <x:v>MRV-F177B3A8F4</x:v>
      </x:c>
      <x:c r="B252" s="71" t="str">
        <x:v>Acquisition</x:v>
      </x:c>
      <x:c r="C252" s="71" t="str">
        <x:v>Discover / Routes index</x:v>
      </x:c>
      <x:c r="D252" s="71" t="str">
        <x:v>/journey/discover</x:v>
      </x:c>
      <x:c r="E252" s="71" t="str">
        <x:v>metadata</x:v>
      </x:c>
      <x:c r="F252" s="71" t="str">
        <x:v>Default</x:v>
      </x:c>
      <x:c r="G252" s="71" t="str">
        <x:v>Tooltip</x:v>
      </x:c>
      <x:c r="H252" s="71" t="str">
        <x:v>Find your route</x:v>
      </x:c>
      <x:c r="I252" s="71" t="str">
        <x:v>Find your route</x:v>
      </x:c>
      <x:c r="J252" s="73"/>
      <x:c r="K252" s="74" t="str">
        <x:f>IF(J252="",H252,IF(J252=I252,I252,J252))</x:f>
        <x:v>Find your route</x:v>
      </x:c>
      <x:c r="L252" s="74" t="str">
        <x:f>IF(J252="","Keep current",IF(J252=I252,"Use suggestion","Custom"))</x:f>
        <x:v>Keep current</x:v>
      </x:c>
      <x:c r="M252" s="71" t="str">
        <x:v>Pending review</x:v>
      </x:c>
      <x:c r="N252" s="71" t="str">
        <x:v>Normal</x:v>
      </x:c>
      <x:c r="O252" s="71" t="str">
        <x:v>app/journey/discover/page.tsx</x:v>
      </x:c>
      <x:c r="P252" s="71" t="str">
        <x:v>metadata:15</x:v>
      </x:c>
      <x:c r="Q252" s="71" t="str">
        <x:v>EN (default / shared)</x:v>
      </x:c>
      <x:c r="R252" s="71" t="str">
        <x:v>Already clear and direct; suggested wording intentionally keeps the current copy. Duplicate wording: appears 2 times.</x:v>
      </x:c>
      <x:c r="S252" s="75" t="str">
        <x:v>Not applied — review required</x:v>
      </x:c>
    </x:row>
    <x:row r="253">
      <x:c r="A253" s="71" t="str">
        <x:v>MRV-44CA3D194E</x:v>
      </x:c>
      <x:c r="B253" s="71" t="str">
        <x:v>Acquisition</x:v>
      </x:c>
      <x:c r="C253" s="71" t="str">
        <x:v>Discover / Routes index</x:v>
      </x:c>
      <x:c r="D253" s="71" t="str">
        <x:v>/journey/discover</x:v>
      </x:c>
      <x:c r="E253" s="71" t="str">
        <x:v>DiscoveryPage</x:v>
      </x:c>
      <x:c r="F253" s="71" t="str">
        <x:v>Default</x:v>
      </x:c>
      <x:c r="G253" s="71" t="str">
        <x:v>Label</x:v>
      </x:c>
      <x:c r="H253" s="71" t="str">
        <x:v>Discover routes that make</x:v>
      </x:c>
      <x:c r="I253" s="71" t="str">
        <x:v>Discover routes that make</x:v>
      </x:c>
      <x:c r="J253" s="73"/>
      <x:c r="K253" s="74" t="str">
        <x:f>IF(J253="",H253,IF(J253=I253,I253,J253))</x:f>
        <x:v>Discover routes that make</x:v>
      </x:c>
      <x:c r="L253" s="74" t="str">
        <x:f>IF(J253="","Keep current",IF(J253=I253,"Use suggestion","Custom"))</x:f>
        <x:v>Keep current</x:v>
      </x:c>
      <x:c r="M253" s="71" t="str">
        <x:v>Pending review</x:v>
      </x:c>
      <x:c r="N253" s="71" t="str">
        <x:v>Normal</x:v>
      </x:c>
      <x:c r="O253" s="71" t="str">
        <x:v>app/journey/discover/page.tsx</x:v>
      </x:c>
      <x:c r="P253" s="71" t="str">
        <x:v>DiscoveryPage:36</x:v>
      </x:c>
      <x:c r="Q253" s="71" t="str">
        <x:v>EN (default / shared)</x:v>
      </x:c>
      <x:c r="R253" s="71" t="str">
        <x:v>Already clear and direct; suggested wording intentionally keeps the current copy.</x:v>
      </x:c>
      <x:c r="S253" s="75" t="str">
        <x:v>Not applied — review required</x:v>
      </x:c>
    </x:row>
    <x:row r="254">
      <x:c r="A254" s="71" t="str">
        <x:v>MRV-D679C41250</x:v>
      </x:c>
      <x:c r="B254" s="71" t="str">
        <x:v>Acquisition</x:v>
      </x:c>
      <x:c r="C254" s="71" t="str">
        <x:v>Discover / Routes index</x:v>
      </x:c>
      <x:c r="D254" s="71" t="str">
        <x:v>/journey/discover</x:v>
      </x:c>
      <x:c r="E254" s="71" t="str">
        <x:v>DiscoveryPage</x:v>
      </x:c>
      <x:c r="F254" s="71" t="str">
        <x:v>Default</x:v>
      </x:c>
      <x:c r="G254" s="71" t="str">
        <x:v>Body copy</x:v>
      </x:c>
      <x:c r="H254" s="71" t="str">
        <x:v>Handpicked route ideas for the way you want to travel. Every one is 100% editable.</x:v>
      </x:c>
      <x:c r="I254" s="71" t="str">
        <x:v>Handpicked route ideas for the way you want to travel. Every one is 100% editable.</x:v>
      </x:c>
      <x:c r="J254" s="73"/>
      <x:c r="K254" s="74" t="str">
        <x:f>IF(J254="",H254,IF(J254=I254,I254,J254))</x:f>
        <x:v>Handpicked route ideas for the way you want to travel. Every one is 100% editable.</x:v>
      </x:c>
      <x:c r="L254" s="74" t="str">
        <x:f>IF(J254="","Keep current",IF(J254=I254,"Use suggestion","Custom"))</x:f>
        <x:v>Keep current</x:v>
      </x:c>
      <x:c r="M254" s="71" t="str">
        <x:v>Pending review</x:v>
      </x:c>
      <x:c r="N254" s="71" t="str">
        <x:v>Normal</x:v>
      </x:c>
      <x:c r="O254" s="71" t="str">
        <x:v>app/journey/discover/page.tsx</x:v>
      </x:c>
      <x:c r="P254" s="71" t="str">
        <x:v>DiscoveryPage:37</x:v>
      </x:c>
      <x:c r="Q254" s="71" t="str">
        <x:v>EN (default / shared)</x:v>
      </x:c>
      <x:c r="R254" s="71" t="str">
        <x:v>Already clear and direct; suggested wording intentionally keeps the current copy.</x:v>
      </x:c>
      <x:c r="S254" s="75" t="str">
        <x:v>Not applied — review required</x:v>
      </x:c>
    </x:row>
    <x:row r="255">
      <x:c r="A255" s="71" t="str">
        <x:v>MRV-7A82FE2817</x:v>
      </x:c>
      <x:c r="B255" s="71" t="str">
        <x:v>Acquisition</x:v>
      </x:c>
      <x:c r="C255" s="71" t="str">
        <x:v>Discover / Routes index</x:v>
      </x:c>
      <x:c r="D255" s="71" t="str">
        <x:v>/journey/discover</x:v>
      </x:c>
      <x:c r="E255" s="71" t="str">
        <x:v>DiscoveryPage</x:v>
      </x:c>
      <x:c r="F255" s="71" t="str">
        <x:v>Default</x:v>
      </x:c>
      <x:c r="G255" s="71" t="str">
        <x:v>Label</x:v>
      </x:c>
      <x:c r="H255" s="71" t="str">
        <x:v>days ·</x:v>
      </x:c>
      <x:c r="I255" s="71" t="str">
        <x:v>days ·</x:v>
      </x:c>
      <x:c r="J255" s="73"/>
      <x:c r="K255" s="74" t="str">
        <x:f>IF(J255="",H255,IF(J255=I255,I255,J255))</x:f>
        <x:v>days ·</x:v>
      </x:c>
      <x:c r="L255" s="74" t="str">
        <x:f>IF(J255="","Keep current",IF(J255=I255,"Use suggestion","Custom"))</x:f>
        <x:v>Keep current</x:v>
      </x:c>
      <x:c r="M255" s="71" t="str">
        <x:v>Pending review</x:v>
      </x:c>
      <x:c r="N255" s="71" t="str">
        <x:v>Normal</x:v>
      </x:c>
      <x:c r="O255" s="71" t="str">
        <x:v>app/journey/discover/page.tsx</x:v>
      </x:c>
      <x:c r="P255" s="71" t="str">
        <x:v>DiscoveryPage:49</x:v>
      </x:c>
      <x:c r="Q255" s="71" t="str">
        <x:v>EN (default / shared)</x:v>
      </x:c>
      <x:c r="R255" s="71" t="str">
        <x:v>Already clear and direct; suggested wording intentionally keeps the current copy. Duplicate wording: appears 2 times.</x:v>
      </x:c>
      <x:c r="S255" s="75" t="str">
        <x:v>Not applied — review required</x:v>
      </x:c>
    </x:row>
    <x:row r="256">
      <x:c r="A256" s="71" t="str">
        <x:v>MRV-E0FC90378C</x:v>
      </x:c>
      <x:c r="B256" s="71" t="str">
        <x:v>Acquisition</x:v>
      </x:c>
      <x:c r="C256" s="71" t="str">
        <x:v>Discover / Routes index</x:v>
      </x:c>
      <x:c r="D256" s="71" t="str">
        <x:v>/journey/discover</x:v>
      </x:c>
      <x:c r="E256" s="71" t="str">
        <x:v>DiscoveryPage</x:v>
      </x:c>
      <x:c r="F256" s="71" t="str">
        <x:v>Default</x:v>
      </x:c>
      <x:c r="G256" s="71" t="str">
        <x:v>Label</x:v>
      </x:c>
      <x:c r="H256" s="71" t="str">
        <x:v>See the route</x:v>
      </x:c>
      <x:c r="I256" s="71" t="str">
        <x:v>See the route</x:v>
      </x:c>
      <x:c r="J256" s="73"/>
      <x:c r="K256" s="74" t="str">
        <x:f>IF(J256="",H256,IF(J256=I256,I256,J256))</x:f>
        <x:v>See the route</x:v>
      </x:c>
      <x:c r="L256" s="74" t="str">
        <x:f>IF(J256="","Keep current",IF(J256=I256,"Use suggestion","Custom"))</x:f>
        <x:v>Keep current</x:v>
      </x:c>
      <x:c r="M256" s="71" t="str">
        <x:v>Pending review</x:v>
      </x:c>
      <x:c r="N256" s="71" t="str">
        <x:v>Normal</x:v>
      </x:c>
      <x:c r="O256" s="71" t="str">
        <x:v>app/journey/discover/page.tsx</x:v>
      </x:c>
      <x:c r="P256" s="71" t="str">
        <x:v>DiscoveryPage:52</x:v>
      </x:c>
      <x:c r="Q256" s="71" t="str">
        <x:v>EN (default / shared)</x:v>
      </x:c>
      <x:c r="R256" s="71" t="str">
        <x:v>Already clear and direct; suggested wording intentionally keeps the current copy.</x:v>
      </x:c>
      <x:c r="S256" s="75" t="str">
        <x:v>Not applied — review required</x:v>
      </x:c>
    </x:row>
    <x:row r="257">
      <x:c r="A257" s="71" t="str">
        <x:v>MRV-8617E6C6A9</x:v>
      </x:c>
      <x:c r="B257" s="71" t="str">
        <x:v>Global</x:v>
      </x:c>
      <x:c r="C257" s="71" t="str">
        <x:v>Primary navigation</x:v>
      </x:c>
      <x:c r="D257" s="71" t="str">
        <x:v>/journey/easyt-navigation</x:v>
      </x:c>
      <x:c r="E257" s="71" t="str">
        <x:v>EasyTNavigation</x:v>
      </x:c>
      <x:c r="F257" s="71" t="str">
        <x:v>Accessibility / input support</x:v>
      </x:c>
      <x:c r="G257" s="71" t="str">
        <x:v>Accessibility label</x:v>
      </x:c>
      <x:c r="H257" s="71" t="str">
        <x:v>Morrovia home</x:v>
      </x:c>
      <x:c r="I257" s="71" t="str">
        <x:v>Morrovia home</x:v>
      </x:c>
      <x:c r="J257" s="73"/>
      <x:c r="K257" s="74" t="str">
        <x:f>IF(J257="",H257,IF(J257=I257,I257,J257))</x:f>
        <x:v>Morrovia home</x:v>
      </x:c>
      <x:c r="L257" s="74" t="str">
        <x:f>IF(J257="","Keep current",IF(J257=I257,"Use suggestion","Custom"))</x:f>
        <x:v>Keep current</x:v>
      </x:c>
      <x:c r="M257" s="71" t="str">
        <x:v>Pending review</x:v>
      </x:c>
      <x:c r="N257" s="71" t="str">
        <x:v>Medium</x:v>
      </x:c>
      <x:c r="O257" s="71" t="str">
        <x:v>app/journey/easyt-navigation.tsx</x:v>
      </x:c>
      <x:c r="P257" s="71" t="str">
        <x:v>EasyTNavigation:139</x:v>
      </x:c>
      <x:c r="Q257" s="71" t="str">
        <x:v>EN (default / shared)</x:v>
      </x:c>
      <x:c r="R257" s="71" t="str">
        <x:v>Already clear and direct; suggested wording intentionally keeps the current copy. Duplicate wording: appears 3 times.</x:v>
      </x:c>
      <x:c r="S257" s="75" t="str">
        <x:v>Not applied — review required</x:v>
      </x:c>
    </x:row>
    <x:row r="258">
      <x:c r="A258" s="71" t="str">
        <x:v>MRV-7F81D29916</x:v>
      </x:c>
      <x:c r="B258" s="71" t="str">
        <x:v>Global</x:v>
      </x:c>
      <x:c r="C258" s="71" t="str">
        <x:v>Primary navigation</x:v>
      </x:c>
      <x:c r="D258" s="71" t="str">
        <x:v>/journey/easyt-navigation</x:v>
      </x:c>
      <x:c r="E258" s="71" t="str">
        <x:v>EasyTNavigation</x:v>
      </x:c>
      <x:c r="F258" s="71" t="str">
        <x:v>Accessibility / input support</x:v>
      </x:c>
      <x:c r="G258" s="71" t="str">
        <x:v>Accessibility label</x:v>
      </x:c>
      <x:c r="H258" s="71" t="str">
        <x:v>Morrovia navigation</x:v>
      </x:c>
      <x:c r="I258" s="71" t="str">
        <x:v>Morrovia navigation</x:v>
      </x:c>
      <x:c r="J258" s="73"/>
      <x:c r="K258" s="74" t="str">
        <x:f>IF(J258="",H258,IF(J258=I258,I258,J258))</x:f>
        <x:v>Morrovia navigation</x:v>
      </x:c>
      <x:c r="L258" s="74" t="str">
        <x:f>IF(J258="","Keep current",IF(J258=I258,"Use suggestion","Custom"))</x:f>
        <x:v>Keep current</x:v>
      </x:c>
      <x:c r="M258" s="71" t="str">
        <x:v>Pending review</x:v>
      </x:c>
      <x:c r="N258" s="71" t="str">
        <x:v>Medium</x:v>
      </x:c>
      <x:c r="O258" s="71" t="str">
        <x:v>app/journey/easyt-navigation.tsx</x:v>
      </x:c>
      <x:c r="P258" s="71" t="str">
        <x:v>EasyTNavigation:144</x:v>
      </x:c>
      <x:c r="Q258" s="71" t="str">
        <x:v>EN (default / shared)</x:v>
      </x:c>
      <x:c r="R258" s="71" t="str">
        <x:v>Already clear and direct; suggested wording intentionally keeps the current copy.</x:v>
      </x:c>
      <x:c r="S258" s="75" t="str">
        <x:v>Not applied — review required</x:v>
      </x:c>
    </x:row>
    <x:row r="259">
      <x:c r="A259" s="71" t="str">
        <x:v>MRV-C4CD7EA67E</x:v>
      </x:c>
      <x:c r="B259" s="71" t="str">
        <x:v>Global</x:v>
      </x:c>
      <x:c r="C259" s="71" t="str">
        <x:v>Primary navigation</x:v>
      </x:c>
      <x:c r="D259" s="71" t="str">
        <x:v>/journey/easyt-navigation</x:v>
      </x:c>
      <x:c r="E259" s="71" t="str">
        <x:v>EasyTNavigation</x:v>
      </x:c>
      <x:c r="F259" s="71" t="str">
        <x:v>Default</x:v>
      </x:c>
      <x:c r="G259" s="71" t="str">
        <x:v>Label</x:v>
      </x:c>
      <x:c r="H259" s="71" t="str">
        <x:v>Cómo funciona</x:v>
      </x:c>
      <x:c r="I259" s="71" t="str">
        <x:v>Cómo funciona</x:v>
      </x:c>
      <x:c r="J259" s="73"/>
      <x:c r="K259" s="74" t="str">
        <x:f>IF(J259="",H259,IF(J259=I259,I259,J259))</x:f>
        <x:v>Cómo funciona</x:v>
      </x:c>
      <x:c r="L259" s="74" t="str">
        <x:f>IF(J259="","Keep current",IF(J259=I259,"Use suggestion","Custom"))</x:f>
        <x:v>Keep current</x:v>
      </x:c>
      <x:c r="M259" s="71" t="str">
        <x:v>Pending review</x:v>
      </x:c>
      <x:c r="N259" s="71" t="str">
        <x:v>Normal</x:v>
      </x:c>
      <x:c r="O259" s="71" t="str">
        <x:v>app/journey/easyt-navigation.tsx</x:v>
      </x:c>
      <x:c r="P259" s="71" t="str">
        <x:v>EasyTNavigation:154</x:v>
      </x:c>
      <x:c r="Q259" s="71" t="str">
        <x:v>ES</x:v>
      </x:c>
      <x:c r="R259" s="71" t="str">
        <x:v>Already clear and direct; suggested wording intentionally keeps the current copy. Duplicate wording: appears 2 times.</x:v>
      </x:c>
      <x:c r="S259" s="75" t="str">
        <x:v>Not applied — review required</x:v>
      </x:c>
    </x:row>
    <x:row r="260">
      <x:c r="A260" s="71" t="str">
        <x:v>MRV-1FE685A06C</x:v>
      </x:c>
      <x:c r="B260" s="71" t="str">
        <x:v>Global</x:v>
      </x:c>
      <x:c r="C260" s="71" t="str">
        <x:v>Primary navigation</x:v>
      </x:c>
      <x:c r="D260" s="71" t="str">
        <x:v>/journey/easyt-navigation</x:v>
      </x:c>
      <x:c r="E260" s="71" t="str">
        <x:v>EasyTNavigation</x:v>
      </x:c>
      <x:c r="F260" s="71" t="str">
        <x:v>Default</x:v>
      </x:c>
      <x:c r="G260" s="71" t="str">
        <x:v>Label</x:v>
      </x:c>
      <x:c r="H260" s="71" t="str">
        <x:v>How it works</x:v>
      </x:c>
      <x:c r="I260" s="71" t="str">
        <x:v>How it works</x:v>
      </x:c>
      <x:c r="J260" s="73"/>
      <x:c r="K260" s="74" t="str">
        <x:f>IF(J260="",H260,IF(J260=I260,I260,J260))</x:f>
        <x:v>How it works</x:v>
      </x:c>
      <x:c r="L260" s="74" t="str">
        <x:f>IF(J260="","Keep current",IF(J260=I260,"Use suggestion","Custom"))</x:f>
        <x:v>Keep current</x:v>
      </x:c>
      <x:c r="M260" s="71" t="str">
        <x:v>Pending review</x:v>
      </x:c>
      <x:c r="N260" s="71" t="str">
        <x:v>Normal</x:v>
      </x:c>
      <x:c r="O260" s="71" t="str">
        <x:v>app/journey/easyt-navigation.tsx</x:v>
      </x:c>
      <x:c r="P260" s="71" t="str">
        <x:v>EasyTNavigation:154</x:v>
      </x:c>
      <x:c r="Q260" s="71" t="str">
        <x:v>EN</x:v>
      </x:c>
      <x:c r="R260" s="71" t="str">
        <x:v>Already clear and direct; suggested wording intentionally keeps the current copy. Duplicate wording: appears 2 times.</x:v>
      </x:c>
      <x:c r="S260" s="75" t="str">
        <x:v>Not applied — review required</x:v>
      </x:c>
    </x:row>
    <x:row r="261">
      <x:c r="A261" s="71" t="str">
        <x:v>MRV-1B2E491747</x:v>
      </x:c>
      <x:c r="B261" s="71" t="str">
        <x:v>Global</x:v>
      </x:c>
      <x:c r="C261" s="71" t="str">
        <x:v>Primary navigation</x:v>
      </x:c>
      <x:c r="D261" s="71" t="str">
        <x:v>/journey/easyt-navigation</x:v>
      </x:c>
      <x:c r="E261" s="71" t="str">
        <x:v>EasyTNavigation</x:v>
      </x:c>
      <x:c r="F261" s="71" t="str">
        <x:v>Default</x:v>
      </x:c>
      <x:c r="G261" s="71" t="str">
        <x:v>Label</x:v>
      </x:c>
      <x:c r="H261" s="71" t="str">
        <x:v>Rutas</x:v>
      </x:c>
      <x:c r="I261" s="71" t="str">
        <x:v>Rutas</x:v>
      </x:c>
      <x:c r="J261" s="73"/>
      <x:c r="K261" s="74" t="str">
        <x:f>IF(J261="",H261,IF(J261=I261,I261,J261))</x:f>
        <x:v>Rutas</x:v>
      </x:c>
      <x:c r="L261" s="74" t="str">
        <x:f>IF(J261="","Keep current",IF(J261=I261,"Use suggestion","Custom"))</x:f>
        <x:v>Keep current</x:v>
      </x:c>
      <x:c r="M261" s="71" t="str">
        <x:v>Pending review</x:v>
      </x:c>
      <x:c r="N261" s="71" t="str">
        <x:v>Normal</x:v>
      </x:c>
      <x:c r="O261" s="71" t="str">
        <x:v>app/journey/easyt-navigation.tsx</x:v>
      </x:c>
      <x:c r="P261" s="71" t="str">
        <x:v>EasyTNavigation:155</x:v>
      </x:c>
      <x:c r="Q261" s="71" t="str">
        <x:v>ES</x:v>
      </x:c>
      <x:c r="R261" s="71" t="str">
        <x:v>Already clear and direct; suggested wording intentionally keeps the current copy. Duplicate wording: appears 2 times.</x:v>
      </x:c>
      <x:c r="S261" s="75" t="str">
        <x:v>Not applied — review required</x:v>
      </x:c>
    </x:row>
    <x:row r="262">
      <x:c r="A262" s="71" t="str">
        <x:v>MRV-0803E42A2E</x:v>
      </x:c>
      <x:c r="B262" s="71" t="str">
        <x:v>Global</x:v>
      </x:c>
      <x:c r="C262" s="71" t="str">
        <x:v>Primary navigation</x:v>
      </x:c>
      <x:c r="D262" s="71" t="str">
        <x:v>/journey/easyt-navigation</x:v>
      </x:c>
      <x:c r="E262" s="71" t="str">
        <x:v>EasyTNavigation</x:v>
      </x:c>
      <x:c r="F262" s="71" t="str">
        <x:v>Default</x:v>
      </x:c>
      <x:c r="G262" s="71" t="str">
        <x:v>Label</x:v>
      </x:c>
      <x:c r="H262" s="71" t="str">
        <x:v>Routes</x:v>
      </x:c>
      <x:c r="I262" s="71" t="str">
        <x:v>Routes</x:v>
      </x:c>
      <x:c r="J262" s="73"/>
      <x:c r="K262" s="74" t="str">
        <x:f>IF(J262="",H262,IF(J262=I262,I262,J262))</x:f>
        <x:v>Routes</x:v>
      </x:c>
      <x:c r="L262" s="74" t="str">
        <x:f>IF(J262="","Keep current",IF(J262=I262,"Use suggestion","Custom"))</x:f>
        <x:v>Keep current</x:v>
      </x:c>
      <x:c r="M262" s="71" t="str">
        <x:v>Pending review</x:v>
      </x:c>
      <x:c r="N262" s="71" t="str">
        <x:v>Normal</x:v>
      </x:c>
      <x:c r="O262" s="71" t="str">
        <x:v>app/journey/easyt-navigation.tsx</x:v>
      </x:c>
      <x:c r="P262" s="71" t="str">
        <x:v>EasyTNavigation:155</x:v>
      </x:c>
      <x:c r="Q262" s="71" t="str">
        <x:v>EN</x:v>
      </x:c>
      <x:c r="R262" s="71" t="str">
        <x:v>Already clear and direct; suggested wording intentionally keeps the current copy. Duplicate wording: appears 2 times.</x:v>
      </x:c>
      <x:c r="S262" s="75" t="str">
        <x:v>Not applied — review required</x:v>
      </x:c>
    </x:row>
    <x:row r="263">
      <x:c r="A263" s="71" t="str">
        <x:v>MRV-29B91F3E02</x:v>
      </x:c>
      <x:c r="B263" s="71" t="str">
        <x:v>Global</x:v>
      </x:c>
      <x:c r="C263" s="71" t="str">
        <x:v>Primary navigation</x:v>
      </x:c>
      <x:c r="D263" s="71" t="str">
        <x:v>/journey/easyt-navigation</x:v>
      </x:c>
      <x:c r="E263" s="71" t="str">
        <x:v>EasyTNavigation</x:v>
      </x:c>
      <x:c r="F263" s="71" t="str">
        <x:v>Default</x:v>
      </x:c>
      <x:c r="G263" s="71" t="str">
        <x:v>Label</x:v>
      </x:c>
      <x:c r="H263" s="71" t="str">
        <x:v>Información de pasaporte</x:v>
      </x:c>
      <x:c r="I263" s="71" t="str">
        <x:v>Información de pasaporte</x:v>
      </x:c>
      <x:c r="J263" s="73"/>
      <x:c r="K263" s="74" t="str">
        <x:f>IF(J263="",H263,IF(J263=I263,I263,J263))</x:f>
        <x:v>Información de pasaporte</x:v>
      </x:c>
      <x:c r="L263" s="74" t="str">
        <x:f>IF(J263="","Keep current",IF(J263=I263,"Use suggestion","Custom"))</x:f>
        <x:v>Keep current</x:v>
      </x:c>
      <x:c r="M263" s="71" t="str">
        <x:v>Pending review</x:v>
      </x:c>
      <x:c r="N263" s="71" t="str">
        <x:v>Normal</x:v>
      </x:c>
      <x:c r="O263" s="71" t="str">
        <x:v>app/journey/easyt-navigation.tsx</x:v>
      </x:c>
      <x:c r="P263" s="71" t="str">
        <x:v>EasyTNavigation:157</x:v>
      </x:c>
      <x:c r="Q263" s="71" t="str">
        <x:v>ES</x:v>
      </x:c>
      <x:c r="R263" s="71" t="str">
        <x:v>Already clear and direct; suggested wording intentionally keeps the current copy. Duplicate wording: appears 2 times.</x:v>
      </x:c>
      <x:c r="S263" s="75" t="str">
        <x:v>Not applied — review required</x:v>
      </x:c>
    </x:row>
    <x:row r="264">
      <x:c r="A264" s="71" t="str">
        <x:v>MRV-77942EFB7E</x:v>
      </x:c>
      <x:c r="B264" s="71" t="str">
        <x:v>Global</x:v>
      </x:c>
      <x:c r="C264" s="71" t="str">
        <x:v>Primary navigation</x:v>
      </x:c>
      <x:c r="D264" s="71" t="str">
        <x:v>/journey/easyt-navigation</x:v>
      </x:c>
      <x:c r="E264" s="71" t="str">
        <x:v>EasyTNavigation</x:v>
      </x:c>
      <x:c r="F264" s="71" t="str">
        <x:v>Default</x:v>
      </x:c>
      <x:c r="G264" s="71" t="str">
        <x:v>Label</x:v>
      </x:c>
      <x:c r="H264" s="71" t="str">
        <x:v>Passport info</x:v>
      </x:c>
      <x:c r="I264" s="71" t="str">
        <x:v>Passport info</x:v>
      </x:c>
      <x:c r="J264" s="73"/>
      <x:c r="K264" s="74" t="str">
        <x:f>IF(J264="",H264,IF(J264=I264,I264,J264))</x:f>
        <x:v>Passport info</x:v>
      </x:c>
      <x:c r="L264" s="74" t="str">
        <x:f>IF(J264="","Keep current",IF(J264=I264,"Use suggestion","Custom"))</x:f>
        <x:v>Keep current</x:v>
      </x:c>
      <x:c r="M264" s="71" t="str">
        <x:v>Pending review</x:v>
      </x:c>
      <x:c r="N264" s="71" t="str">
        <x:v>High</x:v>
      </x:c>
      <x:c r="O264" s="71" t="str">
        <x:v>app/journey/easyt-navigation.tsx</x:v>
      </x:c>
      <x:c r="P264" s="71" t="str">
        <x:v>EasyTNavigation:157</x:v>
      </x:c>
      <x:c r="Q264" s="71" t="str">
        <x:v>EN</x:v>
      </x:c>
      <x:c r="R264" s="71" t="str">
        <x:v>Already clear and direct; suggested wording intentionally keeps the current copy. Duplicate wording: appears 2 times.</x:v>
      </x:c>
      <x:c r="S264" s="75" t="str">
        <x:v>Not applied — review required</x:v>
      </x:c>
    </x:row>
    <x:row r="265">
      <x:c r="A265" s="71" t="str">
        <x:v>MRV-AA7FC77ED3</x:v>
      </x:c>
      <x:c r="B265" s="71" t="str">
        <x:v>Global</x:v>
      </x:c>
      <x:c r="C265" s="71" t="str">
        <x:v>Primary navigation</x:v>
      </x:c>
      <x:c r="D265" s="71" t="str">
        <x:v>/journey/easyt-navigation</x:v>
      </x:c>
      <x:c r="E265" s="71" t="str">
        <x:v>EasyTNavigation</x:v>
      </x:c>
      <x:c r="F265" s="71" t="str">
        <x:v>Default</x:v>
      </x:c>
      <x:c r="G265" s="71" t="str">
        <x:v>Label</x:v>
      </x:c>
      <x:c r="H265" s="71" t="str">
        <x:v>Preparativos</x:v>
      </x:c>
      <x:c r="I265" s="71" t="str">
        <x:v>Preparativos</x:v>
      </x:c>
      <x:c r="J265" s="73"/>
      <x:c r="K265" s="74" t="str">
        <x:f>IF(J265="",H265,IF(J265=I265,I265,J265))</x:f>
        <x:v>Preparativos</x:v>
      </x:c>
      <x:c r="L265" s="74" t="str">
        <x:f>IF(J265="","Keep current",IF(J265=I265,"Use suggestion","Custom"))</x:f>
        <x:v>Keep current</x:v>
      </x:c>
      <x:c r="M265" s="71" t="str">
        <x:v>Pending review</x:v>
      </x:c>
      <x:c r="N265" s="71" t="str">
        <x:v>Normal</x:v>
      </x:c>
      <x:c r="O265" s="71" t="str">
        <x:v>app/journey/easyt-navigation.tsx</x:v>
      </x:c>
      <x:c r="P265" s="71" t="str">
        <x:v>EasyTNavigation:173</x:v>
      </x:c>
      <x:c r="Q265" s="71" t="str">
        <x:v>ES</x:v>
      </x:c>
      <x:c r="R265" s="71" t="str">
        <x:v>Already clear and direct; suggested wording intentionally keeps the current copy.</x:v>
      </x:c>
      <x:c r="S265" s="75" t="str">
        <x:v>Not applied — review required</x:v>
      </x:c>
    </x:row>
    <x:row r="266">
      <x:c r="A266" s="71" t="str">
        <x:v>MRV-92DAABCC7E</x:v>
      </x:c>
      <x:c r="B266" s="71" t="str">
        <x:v>Global</x:v>
      </x:c>
      <x:c r="C266" s="71" t="str">
        <x:v>Primary navigation</x:v>
      </x:c>
      <x:c r="D266" s="71" t="str">
        <x:v>/journey/easyt-navigation</x:v>
      </x:c>
      <x:c r="E266" s="71" t="str">
        <x:v>EasyTNavigation</x:v>
      </x:c>
      <x:c r="F266" s="71" t="str">
        <x:v>Default</x:v>
      </x:c>
      <x:c r="G266" s="71" t="str">
        <x:v>Label</x:v>
      </x:c>
      <x:c r="H266" s="71" t="str">
        <x:v>Travel prep</x:v>
      </x:c>
      <x:c r="I266" s="71" t="str">
        <x:v>Travel prep</x:v>
      </x:c>
      <x:c r="J266" s="73"/>
      <x:c r="K266" s="74" t="str">
        <x:f>IF(J266="",H266,IF(J266=I266,I266,J266))</x:f>
        <x:v>Travel prep</x:v>
      </x:c>
      <x:c r="L266" s="74" t="str">
        <x:f>IF(J266="","Keep current",IF(J266=I266,"Use suggestion","Custom"))</x:f>
        <x:v>Keep current</x:v>
      </x:c>
      <x:c r="M266" s="71" t="str">
        <x:v>Pending review</x:v>
      </x:c>
      <x:c r="N266" s="71" t="str">
        <x:v>Normal</x:v>
      </x:c>
      <x:c r="O266" s="71" t="str">
        <x:v>app/journey/easyt-navigation.tsx</x:v>
      </x:c>
      <x:c r="P266" s="71" t="str">
        <x:v>EasyTNavigation:173</x:v>
      </x:c>
      <x:c r="Q266" s="71" t="str">
        <x:v>EN</x:v>
      </x:c>
      <x:c r="R266" s="71" t="str">
        <x:v>Already clear and direct; suggested wording intentionally keeps the current copy.</x:v>
      </x:c>
      <x:c r="S266" s="75" t="str">
        <x:v>Not applied — review required</x:v>
      </x:c>
    </x:row>
    <x:row r="267">
      <x:c r="A267" s="71" t="str">
        <x:v>MRV-22F4082C5A</x:v>
      </x:c>
      <x:c r="B267" s="71" t="str">
        <x:v>Global</x:v>
      </x:c>
      <x:c r="C267" s="71" t="str">
        <x:v>Primary navigation</x:v>
      </x:c>
      <x:c r="D267" s="71" t="str">
        <x:v>/journey/easyt-navigation</x:v>
      </x:c>
      <x:c r="E267" s="71" t="str">
        <x:v>EasyTNavigation</x:v>
      </x:c>
      <x:c r="F267" s="71" t="str">
        <x:v>Default</x:v>
      </x:c>
      <x:c r="G267" s="71" t="str">
        <x:v>Label</x:v>
      </x:c>
      <x:c r="H267" s="71" t="str">
        <x:v>Admin</x:v>
      </x:c>
      <x:c r="I267" s="71" t="str">
        <x:v>Admin</x:v>
      </x:c>
      <x:c r="J267" s="73"/>
      <x:c r="K267" s="74" t="str">
        <x:f>IF(J267="",H267,IF(J267=I267,I267,J267))</x:f>
        <x:v>Admin</x:v>
      </x:c>
      <x:c r="L267" s="74" t="str">
        <x:f>IF(J267="","Keep current",IF(J267=I267,"Use suggestion","Custom"))</x:f>
        <x:v>Keep current</x:v>
      </x:c>
      <x:c r="M267" s="71" t="str">
        <x:v>Pending review</x:v>
      </x:c>
      <x:c r="N267" s="71" t="str">
        <x:v>Normal</x:v>
      </x:c>
      <x:c r="O267" s="71" t="str">
        <x:v>app/journey/easyt-navigation.tsx</x:v>
      </x:c>
      <x:c r="P267" s="71" t="str">
        <x:v>EasyTNavigation:176</x:v>
      </x:c>
      <x:c r="Q267" s="71" t="str">
        <x:v>EN (default / shared)</x:v>
      </x:c>
      <x:c r="R267" s="71" t="str">
        <x:v>Already clear and direct; suggested wording intentionally keeps the current copy.</x:v>
      </x:c>
      <x:c r="S267" s="75" t="str">
        <x:v>Not applied — review required</x:v>
      </x:c>
    </x:row>
    <x:row r="268">
      <x:c r="A268" s="71" t="str">
        <x:v>MRV-0F9AA93184</x:v>
      </x:c>
      <x:c r="B268" s="71" t="str">
        <x:v>Global</x:v>
      </x:c>
      <x:c r="C268" s="71" t="str">
        <x:v>Primary navigation</x:v>
      </x:c>
      <x:c r="D268" s="71" t="str">
        <x:v>/journey/easyt-navigation</x:v>
      </x:c>
      <x:c r="E268" s="71" t="str">
        <x:v>EasyTNavigation</x:v>
      </x:c>
      <x:c r="F268" s="71" t="str">
        <x:v>Default</x:v>
      </x:c>
      <x:c r="G268" s="71" t="str">
        <x:v>Label</x:v>
      </x:c>
      <x:c r="H268" s="71" t="str">
        <x:v>Iniciar sesión</x:v>
      </x:c>
      <x:c r="I268" s="71" t="str">
        <x:v>Iniciar sesión</x:v>
      </x:c>
      <x:c r="J268" s="73"/>
      <x:c r="K268" s="74" t="str">
        <x:f>IF(J268="",H268,IF(J268=I268,I268,J268))</x:f>
        <x:v>Iniciar sesión</x:v>
      </x:c>
      <x:c r="L268" s="74" t="str">
        <x:f>IF(J268="","Keep current",IF(J268=I268,"Use suggestion","Custom"))</x:f>
        <x:v>Keep current</x:v>
      </x:c>
      <x:c r="M268" s="71" t="str">
        <x:v>Pending review</x:v>
      </x:c>
      <x:c r="N268" s="71" t="str">
        <x:v>Normal</x:v>
      </x:c>
      <x:c r="O268" s="71" t="str">
        <x:v>app/journey/easyt-navigation.tsx</x:v>
      </x:c>
      <x:c r="P268" s="71" t="str">
        <x:v>EasyTNavigation:179</x:v>
      </x:c>
      <x:c r="Q268" s="71" t="str">
        <x:v>ES</x:v>
      </x:c>
      <x:c r="R268" s="71" t="str">
        <x:v>Already clear and direct; suggested wording intentionally keeps the current copy. Duplicate wording: appears 3 times.</x:v>
      </x:c>
      <x:c r="S268" s="75" t="str">
        <x:v>Not applied — review required</x:v>
      </x:c>
    </x:row>
    <x:row r="269">
      <x:c r="A269" s="71" t="str">
        <x:v>MRV-187E426F19</x:v>
      </x:c>
      <x:c r="B269" s="71" t="str">
        <x:v>Global</x:v>
      </x:c>
      <x:c r="C269" s="71" t="str">
        <x:v>Primary navigation</x:v>
      </x:c>
      <x:c r="D269" s="71" t="str">
        <x:v>/journey/easyt-navigation</x:v>
      </x:c>
      <x:c r="E269" s="71" t="str">
        <x:v>EasyTNavigation</x:v>
      </x:c>
      <x:c r="F269" s="71" t="str">
        <x:v>Default</x:v>
      </x:c>
      <x:c r="G269" s="71" t="str">
        <x:v>CTA / button</x:v>
      </x:c>
      <x:c r="H269" s="71" t="str">
        <x:v>Sign in</x:v>
      </x:c>
      <x:c r="I269" s="71" t="str">
        <x:v>Sign in</x:v>
      </x:c>
      <x:c r="J269" s="73"/>
      <x:c r="K269" s="74" t="str">
        <x:f>IF(J269="",H269,IF(J269=I269,I269,J269))</x:f>
        <x:v>Sign in</x:v>
      </x:c>
      <x:c r="L269" s="74" t="str">
        <x:f>IF(J269="","Keep current",IF(J269=I269,"Use suggestion","Custom"))</x:f>
        <x:v>Keep current</x:v>
      </x:c>
      <x:c r="M269" s="71" t="str">
        <x:v>Pending review</x:v>
      </x:c>
      <x:c r="N269" s="71" t="str">
        <x:v>Medium</x:v>
      </x:c>
      <x:c r="O269" s="71" t="str">
        <x:v>app/journey/easyt-navigation.tsx</x:v>
      </x:c>
      <x:c r="P269" s="71" t="str">
        <x:v>EasyTNavigation:179</x:v>
      </x:c>
      <x:c r="Q269" s="71" t="str">
        <x:v>EN</x:v>
      </x:c>
      <x:c r="R269" s="71" t="str">
        <x:v>Already clear and direct; suggested wording intentionally keeps the current copy. Duplicate wording: appears 5 times.</x:v>
      </x:c>
      <x:c r="S269" s="75" t="str">
        <x:v>Not applied — review required</x:v>
      </x:c>
    </x:row>
    <x:row r="270">
      <x:c r="A270" s="71" t="str">
        <x:v>MRV-3665BEE469</x:v>
      </x:c>
      <x:c r="B270" s="71" t="str">
        <x:v>Global</x:v>
      </x:c>
      <x:c r="C270" s="71" t="str">
        <x:v>Primary navigation</x:v>
      </x:c>
      <x:c r="D270" s="71" t="str">
        <x:v>/journey/easyt-navigation</x:v>
      </x:c>
      <x:c r="E270" s="71" t="str">
        <x:v>EasyTNavigation</x:v>
      </x:c>
      <x:c r="F270" s="71" t="str">
        <x:v>Accessibility / input support</x:v>
      </x:c>
      <x:c r="G270" s="71" t="str">
        <x:v>Accessibility label</x:v>
      </x:c>
      <x:c r="H270" s="71" t="str">
        <x:v>Abrir navegación</x:v>
      </x:c>
      <x:c r="I270" s="71" t="str">
        <x:v>Abrir navegación</x:v>
      </x:c>
      <x:c r="J270" s="73"/>
      <x:c r="K270" s="74" t="str">
        <x:f>IF(J270="",H270,IF(J270=I270,I270,J270))</x:f>
        <x:v>Abrir navegación</x:v>
      </x:c>
      <x:c r="L270" s="74" t="str">
        <x:f>IF(J270="","Keep current",IF(J270=I270,"Use suggestion","Custom"))</x:f>
        <x:v>Keep current</x:v>
      </x:c>
      <x:c r="M270" s="71" t="str">
        <x:v>Pending review</x:v>
      </x:c>
      <x:c r="N270" s="71" t="str">
        <x:v>Medium</x:v>
      </x:c>
      <x:c r="O270" s="71" t="str">
        <x:v>app/journey/easyt-navigation.tsx</x:v>
      </x:c>
      <x:c r="P270" s="71" t="str">
        <x:v>EasyTNavigation:188</x:v>
      </x:c>
      <x:c r="Q270" s="71" t="str">
        <x:v>ES</x:v>
      </x:c>
      <x:c r="R270" s="71" t="str">
        <x:v>Already clear and direct; suggested wording intentionally keeps the current copy.</x:v>
      </x:c>
      <x:c r="S270" s="75" t="str">
        <x:v>Not applied — review required</x:v>
      </x:c>
    </x:row>
    <x:row r="271">
      <x:c r="A271" s="71" t="str">
        <x:v>MRV-D3D5EC408E</x:v>
      </x:c>
      <x:c r="B271" s="71" t="str">
        <x:v>Global</x:v>
      </x:c>
      <x:c r="C271" s="71" t="str">
        <x:v>Primary navigation</x:v>
      </x:c>
      <x:c r="D271" s="71" t="str">
        <x:v>/journey/easyt-navigation</x:v>
      </x:c>
      <x:c r="E271" s="71" t="str">
        <x:v>EasyTNavigation</x:v>
      </x:c>
      <x:c r="F271" s="71" t="str">
        <x:v>Accessibility / input support</x:v>
      </x:c>
      <x:c r="G271" s="71" t="str">
        <x:v>Accessibility label</x:v>
      </x:c>
      <x:c r="H271" s="71" t="str">
        <x:v>Open navigation</x:v>
      </x:c>
      <x:c r="I271" s="71" t="str">
        <x:v>Open navigation</x:v>
      </x:c>
      <x:c r="J271" s="73"/>
      <x:c r="K271" s="74" t="str">
        <x:f>IF(J271="",H271,IF(J271=I271,I271,J271))</x:f>
        <x:v>Open navigation</x:v>
      </x:c>
      <x:c r="L271" s="74" t="str">
        <x:f>IF(J271="","Keep current",IF(J271=I271,"Use suggestion","Custom"))</x:f>
        <x:v>Keep current</x:v>
      </x:c>
      <x:c r="M271" s="71" t="str">
        <x:v>Pending review</x:v>
      </x:c>
      <x:c r="N271" s="71" t="str">
        <x:v>Medium</x:v>
      </x:c>
      <x:c r="O271" s="71" t="str">
        <x:v>app/journey/easyt-navigation.tsx</x:v>
      </x:c>
      <x:c r="P271" s="71" t="str">
        <x:v>EasyTNavigation:188</x:v>
      </x:c>
      <x:c r="Q271" s="71" t="str">
        <x:v>EN</x:v>
      </x:c>
      <x:c r="R271" s="71" t="str">
        <x:v>Already clear and direct; suggested wording intentionally keeps the current copy.</x:v>
      </x:c>
      <x:c r="S271" s="75" t="str">
        <x:v>Not applied — review required</x:v>
      </x:c>
    </x:row>
    <x:row r="272">
      <x:c r="A272" s="71" t="str">
        <x:v>MRV-7930E2BE84</x:v>
      </x:c>
      <x:c r="B272" s="71" t="str">
        <x:v>Global</x:v>
      </x:c>
      <x:c r="C272" s="71" t="str">
        <x:v>Primary navigation</x:v>
      </x:c>
      <x:c r="D272" s="71" t="str">
        <x:v>/journey/easyt-navigation</x:v>
      </x:c>
      <x:c r="E272" s="71" t="str">
        <x:v>EasyTNavigation</x:v>
      </x:c>
      <x:c r="F272" s="71" t="str">
        <x:v>Default</x:v>
      </x:c>
      <x:c r="G272" s="71" t="str">
        <x:v>Label</x:v>
      </x:c>
      <x:c r="H272" s="71" t="str">
        <x:v>Menú</x:v>
      </x:c>
      <x:c r="I272" s="71" t="str">
        <x:v>Menú</x:v>
      </x:c>
      <x:c r="J272" s="73"/>
      <x:c r="K272" s="74" t="str">
        <x:f>IF(J272="",H272,IF(J272=I272,I272,J272))</x:f>
        <x:v>Menú</x:v>
      </x:c>
      <x:c r="L272" s="74" t="str">
        <x:f>IF(J272="","Keep current",IF(J272=I272,"Use suggestion","Custom"))</x:f>
        <x:v>Keep current</x:v>
      </x:c>
      <x:c r="M272" s="71" t="str">
        <x:v>Pending review</x:v>
      </x:c>
      <x:c r="N272" s="71" t="str">
        <x:v>Normal</x:v>
      </x:c>
      <x:c r="O272" s="71" t="str">
        <x:v>app/journey/easyt-navigation.tsx</x:v>
      </x:c>
      <x:c r="P272" s="71" t="str">
        <x:v>EasyTNavigation:190</x:v>
      </x:c>
      <x:c r="Q272" s="71" t="str">
        <x:v>ES</x:v>
      </x:c>
      <x:c r="R272" s="71" t="str">
        <x:v>Already clear and direct; suggested wording intentionally keeps the current copy.</x:v>
      </x:c>
      <x:c r="S272" s="75" t="str">
        <x:v>Not applied — review required</x:v>
      </x:c>
    </x:row>
    <x:row r="273">
      <x:c r="A273" s="71" t="str">
        <x:v>MRV-EC0CC773AC</x:v>
      </x:c>
      <x:c r="B273" s="71" t="str">
        <x:v>Global</x:v>
      </x:c>
      <x:c r="C273" s="71" t="str">
        <x:v>Primary navigation</x:v>
      </x:c>
      <x:c r="D273" s="71" t="str">
        <x:v>/journey/easyt-navigation</x:v>
      </x:c>
      <x:c r="E273" s="71" t="str">
        <x:v>EasyTNavigation</x:v>
      </x:c>
      <x:c r="F273" s="71" t="str">
        <x:v>Default</x:v>
      </x:c>
      <x:c r="G273" s="71" t="str">
        <x:v>Label</x:v>
      </x:c>
      <x:c r="H273" s="71" t="str">
        <x:v>Menu</x:v>
      </x:c>
      <x:c r="I273" s="71" t="str">
        <x:v>Menu</x:v>
      </x:c>
      <x:c r="J273" s="73"/>
      <x:c r="K273" s="74" t="str">
        <x:f>IF(J273="",H273,IF(J273=I273,I273,J273))</x:f>
        <x:v>Menu</x:v>
      </x:c>
      <x:c r="L273" s="74" t="str">
        <x:f>IF(J273="","Keep current",IF(J273=I273,"Use suggestion","Custom"))</x:f>
        <x:v>Keep current</x:v>
      </x:c>
      <x:c r="M273" s="71" t="str">
        <x:v>Pending review</x:v>
      </x:c>
      <x:c r="N273" s="71" t="str">
        <x:v>Normal</x:v>
      </x:c>
      <x:c r="O273" s="71" t="str">
        <x:v>app/journey/easyt-navigation.tsx</x:v>
      </x:c>
      <x:c r="P273" s="71" t="str">
        <x:v>EasyTNavigation:190</x:v>
      </x:c>
      <x:c r="Q273" s="71" t="str">
        <x:v>EN</x:v>
      </x:c>
      <x:c r="R273" s="71" t="str">
        <x:v>Already clear and direct; suggested wording intentionally keeps the current copy.</x:v>
      </x:c>
      <x:c r="S273" s="75" t="str">
        <x:v>Not applied — review required</x:v>
      </x:c>
    </x:row>
    <x:row r="274">
      <x:c r="A274" s="71" t="str">
        <x:v>MRV-3C6E74B7B0</x:v>
      </x:c>
      <x:c r="B274" s="71" t="str">
        <x:v>Global</x:v>
      </x:c>
      <x:c r="C274" s="71" t="str">
        <x:v>Primary navigation</x:v>
      </x:c>
      <x:c r="D274" s="71" t="str">
        <x:v>/journey/easyt-navigation</x:v>
      </x:c>
      <x:c r="E274" s="71" t="str">
        <x:v>EasyTNavigation</x:v>
      </x:c>
      <x:c r="F274" s="71" t="str">
        <x:v>Default</x:v>
      </x:c>
      <x:c r="G274" s="71" t="str">
        <x:v>Label</x:v>
      </x:c>
      <x:c r="H274" s="71" t="str">
        <x:v>Cómo funciona</x:v>
      </x:c>
      <x:c r="I274" s="71" t="str">
        <x:v>Cómo funciona</x:v>
      </x:c>
      <x:c r="J274" s="73"/>
      <x:c r="K274" s="74" t="str">
        <x:f>IF(J274="",H274,IF(J274=I274,I274,J274))</x:f>
        <x:v>Cómo funciona</x:v>
      </x:c>
      <x:c r="L274" s="74" t="str">
        <x:f>IF(J274="","Keep current",IF(J274=I274,"Use suggestion","Custom"))</x:f>
        <x:v>Keep current</x:v>
      </x:c>
      <x:c r="M274" s="71" t="str">
        <x:v>Pending review</x:v>
      </x:c>
      <x:c r="N274" s="71" t="str">
        <x:v>Normal</x:v>
      </x:c>
      <x:c r="O274" s="71" t="str">
        <x:v>app/journey/easyt-navigation.tsx</x:v>
      </x:c>
      <x:c r="P274" s="71" t="str">
        <x:v>EasyTNavigation:194</x:v>
      </x:c>
      <x:c r="Q274" s="71" t="str">
        <x:v>ES</x:v>
      </x:c>
      <x:c r="R274" s="71" t="str">
        <x:v>Already clear and direct; suggested wording intentionally keeps the current copy. Duplicate wording: appears 2 times.</x:v>
      </x:c>
      <x:c r="S274" s="75" t="str">
        <x:v>Not applied — review required</x:v>
      </x:c>
    </x:row>
    <x:row r="275">
      <x:c r="A275" s="71" t="str">
        <x:v>MRV-020C0E8448</x:v>
      </x:c>
      <x:c r="B275" s="71" t="str">
        <x:v>Global</x:v>
      </x:c>
      <x:c r="C275" s="71" t="str">
        <x:v>Primary navigation</x:v>
      </x:c>
      <x:c r="D275" s="71" t="str">
        <x:v>/journey/easyt-navigation</x:v>
      </x:c>
      <x:c r="E275" s="71" t="str">
        <x:v>EasyTNavigation</x:v>
      </x:c>
      <x:c r="F275" s="71" t="str">
        <x:v>Default</x:v>
      </x:c>
      <x:c r="G275" s="71" t="str">
        <x:v>Label</x:v>
      </x:c>
      <x:c r="H275" s="71" t="str">
        <x:v>How it works</x:v>
      </x:c>
      <x:c r="I275" s="71" t="str">
        <x:v>How it works</x:v>
      </x:c>
      <x:c r="J275" s="73"/>
      <x:c r="K275" s="74" t="str">
        <x:f>IF(J275="",H275,IF(J275=I275,I275,J275))</x:f>
        <x:v>How it works</x:v>
      </x:c>
      <x:c r="L275" s="74" t="str">
        <x:f>IF(J275="","Keep current",IF(J275=I275,"Use suggestion","Custom"))</x:f>
        <x:v>Keep current</x:v>
      </x:c>
      <x:c r="M275" s="71" t="str">
        <x:v>Pending review</x:v>
      </x:c>
      <x:c r="N275" s="71" t="str">
        <x:v>Normal</x:v>
      </x:c>
      <x:c r="O275" s="71" t="str">
        <x:v>app/journey/easyt-navigation.tsx</x:v>
      </x:c>
      <x:c r="P275" s="71" t="str">
        <x:v>EasyTNavigation:194</x:v>
      </x:c>
      <x:c r="Q275" s="71" t="str">
        <x:v>EN</x:v>
      </x:c>
      <x:c r="R275" s="71" t="str">
        <x:v>Already clear and direct; suggested wording intentionally keeps the current copy. Duplicate wording: appears 2 times.</x:v>
      </x:c>
      <x:c r="S275" s="75" t="str">
        <x:v>Not applied — review required</x:v>
      </x:c>
    </x:row>
    <x:row r="276">
      <x:c r="A276" s="71" t="str">
        <x:v>MRV-92F9B7EC9D</x:v>
      </x:c>
      <x:c r="B276" s="71" t="str">
        <x:v>Global</x:v>
      </x:c>
      <x:c r="C276" s="71" t="str">
        <x:v>Primary navigation</x:v>
      </x:c>
      <x:c r="D276" s="71" t="str">
        <x:v>/journey/easyt-navigation</x:v>
      </x:c>
      <x:c r="E276" s="71" t="str">
        <x:v>EasyTNavigation</x:v>
      </x:c>
      <x:c r="F276" s="71" t="str">
        <x:v>Default</x:v>
      </x:c>
      <x:c r="G276" s="71" t="str">
        <x:v>Label</x:v>
      </x:c>
      <x:c r="H276" s="71" t="str">
        <x:v>Rutas</x:v>
      </x:c>
      <x:c r="I276" s="71" t="str">
        <x:v>Rutas</x:v>
      </x:c>
      <x:c r="J276" s="73"/>
      <x:c r="K276" s="74" t="str">
        <x:f>IF(J276="",H276,IF(J276=I276,I276,J276))</x:f>
        <x:v>Rutas</x:v>
      </x:c>
      <x:c r="L276" s="74" t="str">
        <x:f>IF(J276="","Keep current",IF(J276=I276,"Use suggestion","Custom"))</x:f>
        <x:v>Keep current</x:v>
      </x:c>
      <x:c r="M276" s="71" t="str">
        <x:v>Pending review</x:v>
      </x:c>
      <x:c r="N276" s="71" t="str">
        <x:v>Normal</x:v>
      </x:c>
      <x:c r="O276" s="71" t="str">
        <x:v>app/journey/easyt-navigation.tsx</x:v>
      </x:c>
      <x:c r="P276" s="71" t="str">
        <x:v>EasyTNavigation:195</x:v>
      </x:c>
      <x:c r="Q276" s="71" t="str">
        <x:v>ES</x:v>
      </x:c>
      <x:c r="R276" s="71" t="str">
        <x:v>Already clear and direct; suggested wording intentionally keeps the current copy. Duplicate wording: appears 2 times.</x:v>
      </x:c>
      <x:c r="S276" s="75" t="str">
        <x:v>Not applied — review required</x:v>
      </x:c>
    </x:row>
    <x:row r="277">
      <x:c r="A277" s="71" t="str">
        <x:v>MRV-EAE286E0B1</x:v>
      </x:c>
      <x:c r="B277" s="71" t="str">
        <x:v>Global</x:v>
      </x:c>
      <x:c r="C277" s="71" t="str">
        <x:v>Primary navigation</x:v>
      </x:c>
      <x:c r="D277" s="71" t="str">
        <x:v>/journey/easyt-navigation</x:v>
      </x:c>
      <x:c r="E277" s="71" t="str">
        <x:v>EasyTNavigation</x:v>
      </x:c>
      <x:c r="F277" s="71" t="str">
        <x:v>Default</x:v>
      </x:c>
      <x:c r="G277" s="71" t="str">
        <x:v>Label</x:v>
      </x:c>
      <x:c r="H277" s="71" t="str">
        <x:v>Routes</x:v>
      </x:c>
      <x:c r="I277" s="71" t="str">
        <x:v>Routes</x:v>
      </x:c>
      <x:c r="J277" s="73"/>
      <x:c r="K277" s="74" t="str">
        <x:f>IF(J277="",H277,IF(J277=I277,I277,J277))</x:f>
        <x:v>Routes</x:v>
      </x:c>
      <x:c r="L277" s="74" t="str">
        <x:f>IF(J277="","Keep current",IF(J277=I277,"Use suggestion","Custom"))</x:f>
        <x:v>Keep current</x:v>
      </x:c>
      <x:c r="M277" s="71" t="str">
        <x:v>Pending review</x:v>
      </x:c>
      <x:c r="N277" s="71" t="str">
        <x:v>Normal</x:v>
      </x:c>
      <x:c r="O277" s="71" t="str">
        <x:v>app/journey/easyt-navigation.tsx</x:v>
      </x:c>
      <x:c r="P277" s="71" t="str">
        <x:v>EasyTNavigation:195</x:v>
      </x:c>
      <x:c r="Q277" s="71" t="str">
        <x:v>EN</x:v>
      </x:c>
      <x:c r="R277" s="71" t="str">
        <x:v>Already clear and direct; suggested wording intentionally keeps the current copy. Duplicate wording: appears 2 times.</x:v>
      </x:c>
      <x:c r="S277" s="75" t="str">
        <x:v>Not applied — review required</x:v>
      </x:c>
    </x:row>
    <x:row r="278">
      <x:c r="A278" s="71" t="str">
        <x:v>MRV-274AF0FBBE</x:v>
      </x:c>
      <x:c r="B278" s="71" t="str">
        <x:v>Global</x:v>
      </x:c>
      <x:c r="C278" s="71" t="str">
        <x:v>Primary navigation</x:v>
      </x:c>
      <x:c r="D278" s="71" t="str">
        <x:v>/journey/easyt-navigation</x:v>
      </x:c>
      <x:c r="E278" s="71" t="str">
        <x:v>EasyTNavigation</x:v>
      </x:c>
      <x:c r="F278" s="71" t="str">
        <x:v>Default</x:v>
      </x:c>
      <x:c r="G278" s="71" t="str">
        <x:v>Label</x:v>
      </x:c>
      <x:c r="H278" s="71" t="str">
        <x:v>Información de pasaporte</x:v>
      </x:c>
      <x:c r="I278" s="71" t="str">
        <x:v>Información de pasaporte</x:v>
      </x:c>
      <x:c r="J278" s="73"/>
      <x:c r="K278" s="74" t="str">
        <x:f>IF(J278="",H278,IF(J278=I278,I278,J278))</x:f>
        <x:v>Información de pasaporte</x:v>
      </x:c>
      <x:c r="L278" s="74" t="str">
        <x:f>IF(J278="","Keep current",IF(J278=I278,"Use suggestion","Custom"))</x:f>
        <x:v>Keep current</x:v>
      </x:c>
      <x:c r="M278" s="71" t="str">
        <x:v>Pending review</x:v>
      </x:c>
      <x:c r="N278" s="71" t="str">
        <x:v>Normal</x:v>
      </x:c>
      <x:c r="O278" s="71" t="str">
        <x:v>app/journey/easyt-navigation.tsx</x:v>
      </x:c>
      <x:c r="P278" s="71" t="str">
        <x:v>EasyTNavigation:197</x:v>
      </x:c>
      <x:c r="Q278" s="71" t="str">
        <x:v>ES</x:v>
      </x:c>
      <x:c r="R278" s="71" t="str">
        <x:v>Already clear and direct; suggested wording intentionally keeps the current copy. Duplicate wording: appears 2 times.</x:v>
      </x:c>
      <x:c r="S278" s="75" t="str">
        <x:v>Not applied — review required</x:v>
      </x:c>
    </x:row>
    <x:row r="279">
      <x:c r="A279" s="71" t="str">
        <x:v>MRV-987D460216</x:v>
      </x:c>
      <x:c r="B279" s="71" t="str">
        <x:v>Global</x:v>
      </x:c>
      <x:c r="C279" s="71" t="str">
        <x:v>Primary navigation</x:v>
      </x:c>
      <x:c r="D279" s="71" t="str">
        <x:v>/journey/easyt-navigation</x:v>
      </x:c>
      <x:c r="E279" s="71" t="str">
        <x:v>EasyTNavigation</x:v>
      </x:c>
      <x:c r="F279" s="71" t="str">
        <x:v>Default</x:v>
      </x:c>
      <x:c r="G279" s="71" t="str">
        <x:v>Label</x:v>
      </x:c>
      <x:c r="H279" s="71" t="str">
        <x:v>Passport info</x:v>
      </x:c>
      <x:c r="I279" s="71" t="str">
        <x:v>Passport info</x:v>
      </x:c>
      <x:c r="J279" s="73"/>
      <x:c r="K279" s="74" t="str">
        <x:f>IF(J279="",H279,IF(J279=I279,I279,J279))</x:f>
        <x:v>Passport info</x:v>
      </x:c>
      <x:c r="L279" s="74" t="str">
        <x:f>IF(J279="","Keep current",IF(J279=I279,"Use suggestion","Custom"))</x:f>
        <x:v>Keep current</x:v>
      </x:c>
      <x:c r="M279" s="71" t="str">
        <x:v>Pending review</x:v>
      </x:c>
      <x:c r="N279" s="71" t="str">
        <x:v>High</x:v>
      </x:c>
      <x:c r="O279" s="71" t="str">
        <x:v>app/journey/easyt-navigation.tsx</x:v>
      </x:c>
      <x:c r="P279" s="71" t="str">
        <x:v>EasyTNavigation:197</x:v>
      </x:c>
      <x:c r="Q279" s="71" t="str">
        <x:v>EN</x:v>
      </x:c>
      <x:c r="R279" s="71" t="str">
        <x:v>Already clear and direct; suggested wording intentionally keeps the current copy. Duplicate wording: appears 2 times.</x:v>
      </x:c>
      <x:c r="S279" s="75" t="str">
        <x:v>Not applied — review required</x:v>
      </x:c>
    </x:row>
    <x:row r="280">
      <x:c r="A280" s="71" t="str">
        <x:v>MRV-B16FACBA59</x:v>
      </x:c>
      <x:c r="B280" s="71" t="str">
        <x:v>Global</x:v>
      </x:c>
      <x:c r="C280" s="71" t="str">
        <x:v>Primary navigation</x:v>
      </x:c>
      <x:c r="D280" s="71" t="str">
        <x:v>/journey/easyt-navigation</x:v>
      </x:c>
      <x:c r="E280" s="71" t="str">
        <x:v>EasyTNavigation</x:v>
      </x:c>
      <x:c r="F280" s="71" t="str">
        <x:v>Default</x:v>
      </x:c>
      <x:c r="G280" s="71" t="str">
        <x:v>Label</x:v>
      </x:c>
      <x:c r="H280" s="71" t="str">
        <x:v>Iniciar sesión</x:v>
      </x:c>
      <x:c r="I280" s="71" t="str">
        <x:v>Iniciar sesión</x:v>
      </x:c>
      <x:c r="J280" s="73"/>
      <x:c r="K280" s="74" t="str">
        <x:f>IF(J280="",H280,IF(J280=I280,I280,J280))</x:f>
        <x:v>Iniciar sesión</x:v>
      </x:c>
      <x:c r="L280" s="74" t="str">
        <x:f>IF(J280="","Keep current",IF(J280=I280,"Use suggestion","Custom"))</x:f>
        <x:v>Keep current</x:v>
      </x:c>
      <x:c r="M280" s="71" t="str">
        <x:v>Pending review</x:v>
      </x:c>
      <x:c r="N280" s="71" t="str">
        <x:v>Normal</x:v>
      </x:c>
      <x:c r="O280" s="71" t="str">
        <x:v>app/journey/easyt-navigation.tsx</x:v>
      </x:c>
      <x:c r="P280" s="71" t="str">
        <x:v>EasyTNavigation:204</x:v>
      </x:c>
      <x:c r="Q280" s="71" t="str">
        <x:v>ES</x:v>
      </x:c>
      <x:c r="R280" s="71" t="str">
        <x:v>Already clear and direct; suggested wording intentionally keeps the current copy. Duplicate wording: appears 3 times.</x:v>
      </x:c>
      <x:c r="S280" s="75" t="str">
        <x:v>Not applied — review required</x:v>
      </x:c>
    </x:row>
    <x:row r="281">
      <x:c r="A281" s="71" t="str">
        <x:v>MRV-F48C76C49D</x:v>
      </x:c>
      <x:c r="B281" s="71" t="str">
        <x:v>Global</x:v>
      </x:c>
      <x:c r="C281" s="71" t="str">
        <x:v>Primary navigation</x:v>
      </x:c>
      <x:c r="D281" s="71" t="str">
        <x:v>/journey/easyt-navigation</x:v>
      </x:c>
      <x:c r="E281" s="71" t="str">
        <x:v>EasyTNavigation</x:v>
      </x:c>
      <x:c r="F281" s="71" t="str">
        <x:v>Default</x:v>
      </x:c>
      <x:c r="G281" s="71" t="str">
        <x:v>CTA / button</x:v>
      </x:c>
      <x:c r="H281" s="71" t="str">
        <x:v>Sign in</x:v>
      </x:c>
      <x:c r="I281" s="71" t="str">
        <x:v>Sign in</x:v>
      </x:c>
      <x:c r="J281" s="73"/>
      <x:c r="K281" s="74" t="str">
        <x:f>IF(J281="",H281,IF(J281=I281,I281,J281))</x:f>
        <x:v>Sign in</x:v>
      </x:c>
      <x:c r="L281" s="74" t="str">
        <x:f>IF(J281="","Keep current",IF(J281=I281,"Use suggestion","Custom"))</x:f>
        <x:v>Keep current</x:v>
      </x:c>
      <x:c r="M281" s="71" t="str">
        <x:v>Pending review</x:v>
      </x:c>
      <x:c r="N281" s="71" t="str">
        <x:v>Medium</x:v>
      </x:c>
      <x:c r="O281" s="71" t="str">
        <x:v>app/journey/easyt-navigation.tsx</x:v>
      </x:c>
      <x:c r="P281" s="71" t="str">
        <x:v>EasyTNavigation:204</x:v>
      </x:c>
      <x:c r="Q281" s="71" t="str">
        <x:v>EN</x:v>
      </x:c>
      <x:c r="R281" s="71" t="str">
        <x:v>Already clear and direct; suggested wording intentionally keeps the current copy. Duplicate wording: appears 5 times.</x:v>
      </x:c>
      <x:c r="S281" s="75" t="str">
        <x:v>Not applied — review required</x:v>
      </x:c>
    </x:row>
    <x:row r="282">
      <x:c r="A282" s="71" t="str">
        <x:v>MRV-B4ACE7EAFB</x:v>
      </x:c>
      <x:c r="B282" s="71" t="str">
        <x:v>Global</x:v>
      </x:c>
      <x:c r="C282" s="71" t="str">
        <x:v>Primary navigation</x:v>
      </x:c>
      <x:c r="D282" s="71" t="str">
        <x:v>/journey/easyt-navigation</x:v>
      </x:c>
      <x:c r="E282" s="71" t="str">
        <x:v>EasyTNavigation</x:v>
      </x:c>
      <x:c r="F282" s="71" t="str">
        <x:v>Accessibility / input support</x:v>
      </x:c>
      <x:c r="G282" s="71" t="str">
        <x:v>Accessibility label</x:v>
      </x:c>
      <x:c r="H282" s="71" t="str">
        <x:v>Morrovia mobile navigation</x:v>
      </x:c>
      <x:c r="I282" s="71" t="str">
        <x:v>Morrovia mobile navigation</x:v>
      </x:c>
      <x:c r="J282" s="73"/>
      <x:c r="K282" s="74" t="str">
        <x:f>IF(J282="",H282,IF(J282=I282,I282,J282))</x:f>
        <x:v>Morrovia mobile navigation</x:v>
      </x:c>
      <x:c r="L282" s="74" t="str">
        <x:f>IF(J282="","Keep current",IF(J282=I282,"Use suggestion","Custom"))</x:f>
        <x:v>Keep current</x:v>
      </x:c>
      <x:c r="M282" s="71" t="str">
        <x:v>Pending review</x:v>
      </x:c>
      <x:c r="N282" s="71" t="str">
        <x:v>Medium</x:v>
      </x:c>
      <x:c r="O282" s="71" t="str">
        <x:v>app/journey/easyt-navigation.tsx</x:v>
      </x:c>
      <x:c r="P282" s="71" t="str">
        <x:v>EasyTNavigation:217</x:v>
      </x:c>
      <x:c r="Q282" s="71" t="str">
        <x:v>EN (default / shared)</x:v>
      </x:c>
      <x:c r="R282" s="71" t="str">
        <x:v>Already clear and direct; suggested wording intentionally keeps the current copy.</x:v>
      </x:c>
      <x:c r="S282" s="75" t="str">
        <x:v>Not applied — review required</x:v>
      </x:c>
    </x:row>
    <x:row r="283">
      <x:c r="A283" s="71" t="str">
        <x:v>MRV-F813B94570</x:v>
      </x:c>
      <x:c r="B283" s="71" t="str">
        <x:v>Global</x:v>
      </x:c>
      <x:c r="C283" s="71" t="str">
        <x:v>Primary navigation</x:v>
      </x:c>
      <x:c r="D283" s="71" t="str">
        <x:v>/journey/easyt-navigation</x:v>
      </x:c>
      <x:c r="E283" s="71" t="str">
        <x:v>EasyTNavigation</x:v>
      </x:c>
      <x:c r="F283" s="71" t="str">
        <x:v>Default</x:v>
      </x:c>
      <x:c r="G283" s="71" t="str">
        <x:v>Label</x:v>
      </x:c>
      <x:c r="H283" s="71" t="str">
        <x:v>Pasaporte</x:v>
      </x:c>
      <x:c r="I283" s="71" t="str">
        <x:v>Pasaporte</x:v>
      </x:c>
      <x:c r="J283" s="73"/>
      <x:c r="K283" s="74" t="str">
        <x:f>IF(J283="",H283,IF(J283=I283,I283,J283))</x:f>
        <x:v>Pasaporte</x:v>
      </x:c>
      <x:c r="L283" s="74" t="str">
        <x:f>IF(J283="","Keep current",IF(J283=I283,"Use suggestion","Custom"))</x:f>
        <x:v>Keep current</x:v>
      </x:c>
      <x:c r="M283" s="71" t="str">
        <x:v>Pending review</x:v>
      </x:c>
      <x:c r="N283" s="71" t="str">
        <x:v>Normal</x:v>
      </x:c>
      <x:c r="O283" s="71" t="str">
        <x:v>app/journey/easyt-navigation.tsx</x:v>
      </x:c>
      <x:c r="P283" s="71" t="str">
        <x:v>EasyTNavigation:248</x:v>
      </x:c>
      <x:c r="Q283" s="71" t="str">
        <x:v>ES</x:v>
      </x:c>
      <x:c r="R283" s="71" t="str">
        <x:v>Already clear and direct; suggested wording intentionally keeps the current copy.</x:v>
      </x:c>
      <x:c r="S283" s="75" t="str">
        <x:v>Not applied — review required</x:v>
      </x:c>
    </x:row>
    <x:row r="284">
      <x:c r="A284" s="71" t="str">
        <x:v>MRV-EFB205D113</x:v>
      </x:c>
      <x:c r="B284" s="71" t="str">
        <x:v>Global</x:v>
      </x:c>
      <x:c r="C284" s="71" t="str">
        <x:v>Primary navigation</x:v>
      </x:c>
      <x:c r="D284" s="71" t="str">
        <x:v>/journey/easyt-navigation</x:v>
      </x:c>
      <x:c r="E284" s="71" t="str">
        <x:v>EasyTNavigation</x:v>
      </x:c>
      <x:c r="F284" s="71" t="str">
        <x:v>Default</x:v>
      </x:c>
      <x:c r="G284" s="71" t="str">
        <x:v>Label</x:v>
      </x:c>
      <x:c r="H284" s="71" t="str">
        <x:v>Passport</x:v>
      </x:c>
      <x:c r="I284" s="71" t="str">
        <x:v>Passport</x:v>
      </x:c>
      <x:c r="J284" s="73"/>
      <x:c r="K284" s="74" t="str">
        <x:f>IF(J284="",H284,IF(J284=I284,I284,J284))</x:f>
        <x:v>Passport</x:v>
      </x:c>
      <x:c r="L284" s="74" t="str">
        <x:f>IF(J284="","Keep current",IF(J284=I284,"Use suggestion","Custom"))</x:f>
        <x:v>Keep current</x:v>
      </x:c>
      <x:c r="M284" s="71" t="str">
        <x:v>Pending review</x:v>
      </x:c>
      <x:c r="N284" s="71" t="str">
        <x:v>High</x:v>
      </x:c>
      <x:c r="O284" s="71" t="str">
        <x:v>app/journey/easyt-navigation.tsx</x:v>
      </x:c>
      <x:c r="P284" s="71" t="str">
        <x:v>EasyTNavigation:248</x:v>
      </x:c>
      <x:c r="Q284" s="71" t="str">
        <x:v>EN</x:v>
      </x:c>
      <x:c r="R284" s="71" t="str">
        <x:v>Already clear and direct; suggested wording intentionally keeps the current copy.</x:v>
      </x:c>
      <x:c r="S284" s="75" t="str">
        <x:v>Not applied — review required</x:v>
      </x:c>
    </x:row>
    <x:row r="285">
      <x:c r="A285" s="71" t="str">
        <x:v>MRV-F3F04A2230</x:v>
      </x:c>
      <x:c r="B285" s="71" t="str">
        <x:v>System</x:v>
      </x:c>
      <x:c r="C285" s="71" t="str">
        <x:v>Shared recovery / system</x:v>
      </x:c>
      <x:c r="D285" s="71" t="str">
        <x:v>/journey</x:v>
      </x:c>
      <x:c r="E285" s="71" t="str">
        <x:v>JourneyError</x:v>
      </x:c>
      <x:c r="F285" s="71" t="str">
        <x:v>System recovery</x:v>
      </x:c>
      <x:c r="G285" s="71" t="str">
        <x:v>Label</x:v>
      </x:c>
      <x:c r="H285" s="71" t="str">
        <x:v>Morrovia</x:v>
      </x:c>
      <x:c r="I285" s="71" t="str">
        <x:v>Morrovia</x:v>
      </x:c>
      <x:c r="J285" s="73"/>
      <x:c r="K285" s="74" t="str">
        <x:f>IF(J285="",H285,IF(J285=I285,I285,J285))</x:f>
        <x:v>Morrovia</x:v>
      </x:c>
      <x:c r="L285" s="74" t="str">
        <x:f>IF(J285="","Keep current",IF(J285=I285,"Use suggestion","Custom"))</x:f>
        <x:v>Keep current</x:v>
      </x:c>
      <x:c r="M285" s="71" t="str">
        <x:v>Pending review</x:v>
      </x:c>
      <x:c r="N285" s="71" t="str">
        <x:v>High</x:v>
      </x:c>
      <x:c r="O285" s="71" t="str">
        <x:v>app/journey/error.tsx</x:v>
      </x:c>
      <x:c r="P285" s="71" t="str">
        <x:v>JourneyError:14</x:v>
      </x:c>
      <x:c r="Q285" s="71" t="str">
        <x:v>EN (default / shared)</x:v>
      </x:c>
      <x:c r="R285" s="71" t="str">
        <x:v>Already clear and direct; suggested wording intentionally keeps the current copy. Duplicate wording: appears 2 times.</x:v>
      </x:c>
      <x:c r="S285" s="75" t="str">
        <x:v>Not applied — review required</x:v>
      </x:c>
    </x:row>
    <x:row r="286">
      <x:c r="A286" s="71" t="str">
        <x:v>MRV-36943DAFF1</x:v>
      </x:c>
      <x:c r="B286" s="71" t="str">
        <x:v>System</x:v>
      </x:c>
      <x:c r="C286" s="71" t="str">
        <x:v>Shared recovery / system</x:v>
      </x:c>
      <x:c r="D286" s="71" t="str">
        <x:v>/journey</x:v>
      </x:c>
      <x:c r="E286" s="71" t="str">
        <x:v>JourneyError</x:v>
      </x:c>
      <x:c r="F286" s="71" t="str">
        <x:v>System recovery</x:v>
      </x:c>
      <x:c r="G286" s="71" t="str">
        <x:v>Body copy</x:v>
      </x:c>
      <x:c r="H286" s="71" t="str">
        <x:v>Something went off route.</x:v>
      </x:c>
      <x:c r="I286" s="71" t="str">
        <x:v>Something went off route.</x:v>
      </x:c>
      <x:c r="J286" s="73"/>
      <x:c r="K286" s="74" t="str">
        <x:f>IF(J286="",H286,IF(J286=I286,I286,J286))</x:f>
        <x:v>Something went off route.</x:v>
      </x:c>
      <x:c r="L286" s="74" t="str">
        <x:f>IF(J286="","Keep current",IF(J286=I286,"Use suggestion","Custom"))</x:f>
        <x:v>Keep current</x:v>
      </x:c>
      <x:c r="M286" s="71" t="str">
        <x:v>Pending review</x:v>
      </x:c>
      <x:c r="N286" s="71" t="str">
        <x:v>High</x:v>
      </x:c>
      <x:c r="O286" s="71" t="str">
        <x:v>app/journey/error.tsx</x:v>
      </x:c>
      <x:c r="P286" s="71" t="str">
        <x:v>JourneyError:15</x:v>
      </x:c>
      <x:c r="Q286" s="71" t="str">
        <x:v>EN (default / shared)</x:v>
      </x:c>
      <x:c r="R286" s="71" t="str">
        <x:v>Already clear and direct; suggested wording intentionally keeps the current copy.</x:v>
      </x:c>
      <x:c r="S286" s="75" t="str">
        <x:v>Not applied — review required</x:v>
      </x:c>
    </x:row>
    <x:row r="287">
      <x:c r="A287" s="71" t="str">
        <x:v>MRV-D16ABBB23D</x:v>
      </x:c>
      <x:c r="B287" s="71" t="str">
        <x:v>System</x:v>
      </x:c>
      <x:c r="C287" s="71" t="str">
        <x:v>Shared recovery / system</x:v>
      </x:c>
      <x:c r="D287" s="71" t="str">
        <x:v>/journey</x:v>
      </x:c>
      <x:c r="E287" s="71" t="str">
        <x:v>JourneyError</x:v>
      </x:c>
      <x:c r="F287" s="71" t="str">
        <x:v>System recovery</x:v>
      </x:c>
      <x:c r="G287" s="71" t="str">
        <x:v>Body copy</x:v>
      </x:c>
      <x:c r="H287" s="71" t="str">
        <x:v>Try the page again first. Any trip already saved on this device will still be here.</x:v>
      </x:c>
      <x:c r="I287" s="71" t="str">
        <x:v>Try the page again first. Any trip already saved on this device will still be here.</x:v>
      </x:c>
      <x:c r="J287" s="73"/>
      <x:c r="K287" s="74" t="str">
        <x:f>IF(J287="",H287,IF(J287=I287,I287,J287))</x:f>
        <x:v>Try the page again first. Any trip already saved on this device will still be here.</x:v>
      </x:c>
      <x:c r="L287" s="74" t="str">
        <x:f>IF(J287="","Keep current",IF(J287=I287,"Use suggestion","Custom"))</x:f>
        <x:v>Keep current</x:v>
      </x:c>
      <x:c r="M287" s="71" t="str">
        <x:v>Pending review</x:v>
      </x:c>
      <x:c r="N287" s="71" t="str">
        <x:v>High</x:v>
      </x:c>
      <x:c r="O287" s="71" t="str">
        <x:v>app/journey/error.tsx</x:v>
      </x:c>
      <x:c r="P287" s="71" t="str">
        <x:v>JourneyError:16</x:v>
      </x:c>
      <x:c r="Q287" s="71" t="str">
        <x:v>EN (default / shared)</x:v>
      </x:c>
      <x:c r="R287" s="71" t="str">
        <x:v>Already clear and direct; suggested wording intentionally keeps the current copy. Terminology watch: ‘trip’ and ‘journey’ both describe the same plan. Terminology watch: ‘stops’, ‘destinations’ and ‘places’ overlap.</x:v>
      </x:c>
      <x:c r="S287" s="75" t="str">
        <x:v>Not applied — review required</x:v>
      </x:c>
    </x:row>
    <x:row r="288">
      <x:c r="A288" s="71" t="str">
        <x:v>MRV-4090755A3A</x:v>
      </x:c>
      <x:c r="B288" s="71" t="str">
        <x:v>System</x:v>
      </x:c>
      <x:c r="C288" s="71" t="str">
        <x:v>Shared recovery / system</x:v>
      </x:c>
      <x:c r="D288" s="71" t="str">
        <x:v>/journey</x:v>
      </x:c>
      <x:c r="E288" s="71" t="str">
        <x:v>JourneyError</x:v>
      </x:c>
      <x:c r="F288" s="71" t="str">
        <x:v>Failure / recovery</x:v>
      </x:c>
      <x:c r="G288" s="71" t="str">
        <x:v>CTA / button</x:v>
      </x:c>
      <x:c r="H288" s="71" t="str">
        <x:v>Try again</x:v>
      </x:c>
      <x:c r="I288" s="71" t="str">
        <x:v>Try again</x:v>
      </x:c>
      <x:c r="J288" s="73"/>
      <x:c r="K288" s="74" t="str">
        <x:f>IF(J288="",H288,IF(J288=I288,I288,J288))</x:f>
        <x:v>Try again</x:v>
      </x:c>
      <x:c r="L288" s="74" t="str">
        <x:f>IF(J288="","Keep current",IF(J288=I288,"Use suggestion","Custom"))</x:f>
        <x:v>Keep current</x:v>
      </x:c>
      <x:c r="M288" s="71" t="str">
        <x:v>Pending review</x:v>
      </x:c>
      <x:c r="N288" s="71" t="str">
        <x:v>High</x:v>
      </x:c>
      <x:c r="O288" s="71" t="str">
        <x:v>app/journey/error.tsx</x:v>
      </x:c>
      <x:c r="P288" s="71" t="str">
        <x:v>JourneyError:18</x:v>
      </x:c>
      <x:c r="Q288" s="71" t="str">
        <x:v>EN (default / shared)</x:v>
      </x:c>
      <x:c r="R288" s="71" t="str">
        <x:v>Already clear and direct; suggested wording intentionally keeps the current copy. Duplicate wording: appears 7 times.</x:v>
      </x:c>
      <x:c r="S288" s="75" t="str">
        <x:v>Not applied — review required</x:v>
      </x:c>
    </x:row>
    <x:row r="289">
      <x:c r="A289" s="71" t="str">
        <x:v>MRV-82FB1BC8ED</x:v>
      </x:c>
      <x:c r="B289" s="71" t="str">
        <x:v>System</x:v>
      </x:c>
      <x:c r="C289" s="71" t="str">
        <x:v>Shared recovery / system</x:v>
      </x:c>
      <x:c r="D289" s="71" t="str">
        <x:v>/journey</x:v>
      </x:c>
      <x:c r="E289" s="71" t="str">
        <x:v>JourneyError</x:v>
      </x:c>
      <x:c r="F289" s="71" t="str">
        <x:v>System recovery</x:v>
      </x:c>
      <x:c r="G289" s="71" t="str">
        <x:v>CTA / button</x:v>
      </x:c>
      <x:c r="H289" s="71" t="str">
        <x:v>Go home</x:v>
      </x:c>
      <x:c r="I289" s="71" t="str">
        <x:v>Go home</x:v>
      </x:c>
      <x:c r="J289" s="73"/>
      <x:c r="K289" s="74" t="str">
        <x:f>IF(J289="",H289,IF(J289=I289,I289,J289))</x:f>
        <x:v>Go home</x:v>
      </x:c>
      <x:c r="L289" s="74" t="str">
        <x:f>IF(J289="","Keep current",IF(J289=I289,"Use suggestion","Custom"))</x:f>
        <x:v>Keep current</x:v>
      </x:c>
      <x:c r="M289" s="71" t="str">
        <x:v>Pending review</x:v>
      </x:c>
      <x:c r="N289" s="71" t="str">
        <x:v>High</x:v>
      </x:c>
      <x:c r="O289" s="71" t="str">
        <x:v>app/journey/error.tsx</x:v>
      </x:c>
      <x:c r="P289" s="71" t="str">
        <x:v>JourneyError:19</x:v>
      </x:c>
      <x:c r="Q289" s="71" t="str">
        <x:v>EN (default / shared)</x:v>
      </x:c>
      <x:c r="R289" s="71" t="str">
        <x:v>Already clear and direct; suggested wording intentionally keeps the current copy.</x:v>
      </x:c>
      <x:c r="S289" s="75" t="str">
        <x:v>Not applied — review required</x:v>
      </x:c>
    </x:row>
    <x:row r="290">
      <x:c r="A290" s="71" t="str">
        <x:v>MRV-B607D9CF46</x:v>
      </x:c>
      <x:c r="B290" s="71" t="str">
        <x:v>Account</x:v>
      </x:c>
      <x:c r="C290" s="71" t="str">
        <x:v>Sign in / recovery</x:v>
      </x:c>
      <x:c r="D290" s="71" t="str">
        <x:v>/journey/forgot-password</x:v>
      </x:c>
      <x:c r="E290" s="71" t="str">
        <x:v>submit</x:v>
      </x:c>
      <x:c r="F290" s="71" t="str">
        <x:v>Failure / recovery</x:v>
      </x:c>
      <x:c r="G290" s="71" t="str">
        <x:v>Body copy</x:v>
      </x:c>
      <x:c r="H290" s="71" t="str">
        <x:v>We couldn't send that email.</x:v>
      </x:c>
      <x:c r="I290" s="71" t="str">
        <x:v>We couldn't send that email.</x:v>
      </x:c>
      <x:c r="J290" s="73"/>
      <x:c r="K290" s="74" t="str">
        <x:f>IF(J290="",H290,IF(J290=I290,I290,J290))</x:f>
        <x:v>We couldn't send that email.</x:v>
      </x:c>
      <x:c r="L290" s="74" t="str">
        <x:f>IF(J290="","Keep current",IF(J290=I290,"Use suggestion","Custom"))</x:f>
        <x:v>Keep current</x:v>
      </x:c>
      <x:c r="M290" s="71" t="str">
        <x:v>Pending review</x:v>
      </x:c>
      <x:c r="N290" s="71" t="str">
        <x:v>High</x:v>
      </x:c>
      <x:c r="O290" s="71" t="str">
        <x:v>app/journey/forgot-password/page.tsx</x:v>
      </x:c>
      <x:c r="P290" s="71" t="str">
        <x:v>submit:19</x:v>
      </x:c>
      <x:c r="Q290" s="71" t="str">
        <x:v>EN (default / shared)</x:v>
      </x:c>
      <x:c r="R290" s="71" t="str">
        <x:v>Already clear and direct; suggested wording intentionally keeps the current copy.</x:v>
      </x:c>
      <x:c r="S290" s="75" t="str">
        <x:v>Not applied — review required</x:v>
      </x:c>
    </x:row>
    <x:row r="291">
      <x:c r="A291" s="71" t="str">
        <x:v>MRV-46D60347F9</x:v>
      </x:c>
      <x:c r="B291" s="71" t="str">
        <x:v>Account</x:v>
      </x:c>
      <x:c r="C291" s="71" t="str">
        <x:v>Sign in / recovery</x:v>
      </x:c>
      <x:c r="D291" s="71" t="str">
        <x:v>/journey/forgot-password</x:v>
      </x:c>
      <x:c r="E291" s="71" t="str">
        <x:v>ForgotPasswordPage</x:v>
      </x:c>
      <x:c r="F291" s="71" t="str">
        <x:v>Default</x:v>
      </x:c>
      <x:c r="G291" s="71" t="str">
        <x:v>Body copy</x:v>
      </x:c>
      <x:c r="H291" s="71" t="str">
        <x:v>Reset your password.</x:v>
      </x:c>
      <x:c r="I291" s="71" t="str">
        <x:v>Reset your password.</x:v>
      </x:c>
      <x:c r="J291" s="73"/>
      <x:c r="K291" s="74" t="str">
        <x:f>IF(J291="",H291,IF(J291=I291,I291,J291))</x:f>
        <x:v>Reset your password.</x:v>
      </x:c>
      <x:c r="L291" s="74" t="str">
        <x:f>IF(J291="","Keep current",IF(J291=I291,"Use suggestion","Custom"))</x:f>
        <x:v>Keep current</x:v>
      </x:c>
      <x:c r="M291" s="71" t="str">
        <x:v>Pending review</x:v>
      </x:c>
      <x:c r="N291" s="71" t="str">
        <x:v>Normal</x:v>
      </x:c>
      <x:c r="O291" s="71" t="str">
        <x:v>app/journey/forgot-password/page.tsx</x:v>
      </x:c>
      <x:c r="P291" s="71" t="str">
        <x:v>ForgotPasswordPage:24</x:v>
      </x:c>
      <x:c r="Q291" s="71" t="str">
        <x:v>EN (default / shared)</x:v>
      </x:c>
      <x:c r="R291" s="71" t="str">
        <x:v>Already clear and direct; suggested wording intentionally keeps the current copy.</x:v>
      </x:c>
      <x:c r="S291" s="75" t="str">
        <x:v>Not applied — review required</x:v>
      </x:c>
    </x:row>
    <x:row r="292">
      <x:c r="A292" s="71" t="str">
        <x:v>MRV-E9392819E5</x:v>
      </x:c>
      <x:c r="B292" s="71" t="str">
        <x:v>Account</x:v>
      </x:c>
      <x:c r="C292" s="71" t="str">
        <x:v>Sign in / recovery</x:v>
      </x:c>
      <x:c r="D292" s="71" t="str">
        <x:v>/journey/forgot-password</x:v>
      </x:c>
      <x:c r="E292" s="71" t="str">
        <x:v>ForgotPasswordPage</x:v>
      </x:c>
      <x:c r="F292" s="71" t="str">
        <x:v>Default</x:v>
      </x:c>
      <x:c r="G292" s="71" t="str">
        <x:v>Body copy</x:v>
      </x:c>
      <x:c r="H292" s="71" t="str">
        <x:v>If an account exists for that email, a reset link is on its way.</x:v>
      </x:c>
      <x:c r="I292" s="71" t="str">
        <x:v>If an account exists for that email, a reset link is on its way.</x:v>
      </x:c>
      <x:c r="J292" s="73"/>
      <x:c r="K292" s="74" t="str">
        <x:f>IF(J292="",H292,IF(J292=I292,I292,J292))</x:f>
        <x:v>If an account exists for that email, a reset link is on its way.</x:v>
      </x:c>
      <x:c r="L292" s="74" t="str">
        <x:f>IF(J292="","Keep current",IF(J292=I292,"Use suggestion","Custom"))</x:f>
        <x:v>Keep current</x:v>
      </x:c>
      <x:c r="M292" s="71" t="str">
        <x:v>Pending review</x:v>
      </x:c>
      <x:c r="N292" s="71" t="str">
        <x:v>Normal</x:v>
      </x:c>
      <x:c r="O292" s="71" t="str">
        <x:v>app/journey/forgot-password/page.tsx</x:v>
      </x:c>
      <x:c r="P292" s="71" t="str">
        <x:v>ForgotPasswordPage:25</x:v>
      </x:c>
      <x:c r="Q292" s="71" t="str">
        <x:v>EN (default / shared)</x:v>
      </x:c>
      <x:c r="R292" s="71" t="str">
        <x:v>Already clear and direct; suggested wording intentionally keeps the current copy.</x:v>
      </x:c>
      <x:c r="S292" s="75" t="str">
        <x:v>Not applied — review required</x:v>
      </x:c>
    </x:row>
    <x:row r="293">
      <x:c r="A293" s="71" t="str">
        <x:v>MRV-A6C280CA7B</x:v>
      </x:c>
      <x:c r="B293" s="71" t="str">
        <x:v>Account</x:v>
      </x:c>
      <x:c r="C293" s="71" t="str">
        <x:v>Sign in / recovery</x:v>
      </x:c>
      <x:c r="D293" s="71" t="str">
        <x:v>/journey/forgot-password</x:v>
      </x:c>
      <x:c r="E293" s="71" t="str">
        <x:v>ForgotPasswordPage</x:v>
      </x:c>
      <x:c r="F293" s="71" t="str">
        <x:v>Default</x:v>
      </x:c>
      <x:c r="G293" s="71" t="str">
        <x:v>Body copy</x:v>
      </x:c>
      <x:c r="H293" s="71" t="str">
        <x:v>Enter your email and we’ll send a secure reset link.</x:v>
      </x:c>
      <x:c r="I293" s="71" t="str">
        <x:v>Enter your email and we’ll send a secure reset link.</x:v>
      </x:c>
      <x:c r="J293" s="73"/>
      <x:c r="K293" s="74" t="str">
        <x:f>IF(J293="",H293,IF(J293=I293,I293,J293))</x:f>
        <x:v>Enter your email and we’ll send a secure reset link.</x:v>
      </x:c>
      <x:c r="L293" s="74" t="str">
        <x:f>IF(J293="","Keep current",IF(J293=I293,"Use suggestion","Custom"))</x:f>
        <x:v>Keep current</x:v>
      </x:c>
      <x:c r="M293" s="71" t="str">
        <x:v>Pending review</x:v>
      </x:c>
      <x:c r="N293" s="71" t="str">
        <x:v>Normal</x:v>
      </x:c>
      <x:c r="O293" s="71" t="str">
        <x:v>app/journey/forgot-password/page.tsx</x:v>
      </x:c>
      <x:c r="P293" s="71" t="str">
        <x:v>ForgotPasswordPage:25</x:v>
      </x:c>
      <x:c r="Q293" s="71" t="str">
        <x:v>EN (default / shared)</x:v>
      </x:c>
      <x:c r="R293" s="71" t="str">
        <x:v>Already clear and direct; suggested wording intentionally keeps the current copy.</x:v>
      </x:c>
      <x:c r="S293" s="75" t="str">
        <x:v>Not applied — review required</x:v>
      </x:c>
    </x:row>
    <x:row r="294">
      <x:c r="A294" s="71" t="str">
        <x:v>MRV-479F085B56</x:v>
      </x:c>
      <x:c r="B294" s="71" t="str">
        <x:v>Account</x:v>
      </x:c>
      <x:c r="C294" s="71" t="str">
        <x:v>Sign in / recovery</x:v>
      </x:c>
      <x:c r="D294" s="71" t="str">
        <x:v>/journey/forgot-password</x:v>
      </x:c>
      <x:c r="E294" s="71" t="str">
        <x:v>ForgotPasswordPage</x:v>
      </x:c>
      <x:c r="F294" s="71" t="str">
        <x:v>Default</x:v>
      </x:c>
      <x:c r="G294" s="71" t="str">
        <x:v>Label</x:v>
      </x:c>
      <x:c r="H294" s="71" t="str">
        <x:v>Email</x:v>
      </x:c>
      <x:c r="I294" s="71" t="str">
        <x:v>Email</x:v>
      </x:c>
      <x:c r="J294" s="73"/>
      <x:c r="K294" s="74" t="str">
        <x:f>IF(J294="",H294,IF(J294=I294,I294,J294))</x:f>
        <x:v>Email</x:v>
      </x:c>
      <x:c r="L294" s="74" t="str">
        <x:f>IF(J294="","Keep current",IF(J294=I294,"Use suggestion","Custom"))</x:f>
        <x:v>Keep current</x:v>
      </x:c>
      <x:c r="M294" s="71" t="str">
        <x:v>Pending review</x:v>
      </x:c>
      <x:c r="N294" s="71" t="str">
        <x:v>Normal</x:v>
      </x:c>
      <x:c r="O294" s="71" t="str">
        <x:v>app/journey/forgot-password/page.tsx</x:v>
      </x:c>
      <x:c r="P294" s="71" t="str">
        <x:v>ForgotPasswordPage:26</x:v>
      </x:c>
      <x:c r="Q294" s="71" t="str">
        <x:v>EN (default / shared)</x:v>
      </x:c>
      <x:c r="R294" s="71" t="str">
        <x:v>Already clear and direct; suggested wording intentionally keeps the current copy. Duplicate wording: appears 2 times.</x:v>
      </x:c>
      <x:c r="S294" s="75" t="str">
        <x:v>Not applied — review required</x:v>
      </x:c>
    </x:row>
    <x:row r="295">
      <x:c r="A295" s="71" t="str">
        <x:v>MRV-3C61C88BA3</x:v>
      </x:c>
      <x:c r="B295" s="71" t="str">
        <x:v>Account</x:v>
      </x:c>
      <x:c r="C295" s="71" t="str">
        <x:v>Sign in / recovery</x:v>
      </x:c>
      <x:c r="D295" s="71" t="str">
        <x:v>/journey/forgot-password</x:v>
      </x:c>
      <x:c r="E295" s="71" t="str">
        <x:v>ForgotPasswordPage</x:v>
      </x:c>
      <x:c r="F295" s="71" t="str">
        <x:v>Loading / in progress</x:v>
      </x:c>
      <x:c r="G295" s="71" t="str">
        <x:v>CTA / button</x:v>
      </x:c>
      <x:c r="H295" s="71" t="str">
        <x:v>Send reset link →</x:v>
      </x:c>
      <x:c r="I295" s="71" t="str">
        <x:v>Send reset link →</x:v>
      </x:c>
      <x:c r="J295" s="73"/>
      <x:c r="K295" s="74" t="str">
        <x:f>IF(J295="",H295,IF(J295=I295,I295,J295))</x:f>
        <x:v>Send reset link →</x:v>
      </x:c>
      <x:c r="L295" s="74" t="str">
        <x:f>IF(J295="","Keep current",IF(J295=I295,"Use suggestion","Custom"))</x:f>
        <x:v>Keep current</x:v>
      </x:c>
      <x:c r="M295" s="71" t="str">
        <x:v>Pending review</x:v>
      </x:c>
      <x:c r="N295" s="71" t="str">
        <x:v>Medium</x:v>
      </x:c>
      <x:c r="O295" s="71" t="str">
        <x:v>app/journey/forgot-password/page.tsx</x:v>
      </x:c>
      <x:c r="P295" s="71" t="str">
        <x:v>ForgotPasswordPage:26</x:v>
      </x:c>
      <x:c r="Q295" s="71" t="str">
        <x:v>EN (default / shared)</x:v>
      </x:c>
      <x:c r="R295" s="71" t="str">
        <x:v>Already clear and direct; suggested wording intentionally keeps the current copy.</x:v>
      </x:c>
      <x:c r="S295" s="75" t="str">
        <x:v>Not applied — review required</x:v>
      </x:c>
    </x:row>
    <x:row r="296">
      <x:c r="A296" s="71" t="str">
        <x:v>MRV-62BA8F5317</x:v>
      </x:c>
      <x:c r="B296" s="71" t="str">
        <x:v>Sharing</x:v>
      </x:c>
      <x:c r="C296" s="71" t="str">
        <x:v>Gift claim</x:v>
      </x:c>
      <x:c r="D296" s="71" t="str">
        <x:v>/journey/gift/[token]/claim-gift</x:v>
      </x:c>
      <x:c r="E296" s="71" t="str">
        <x:v>claim</x:v>
      </x:c>
      <x:c r="F296" s="71" t="str">
        <x:v>Failure / recovery</x:v>
      </x:c>
      <x:c r="G296" s="71" t="str">
        <x:v>Body copy</x:v>
      </x:c>
      <x:c r="H296" s="71" t="str">
        <x:v>Unable to claim this trip.</x:v>
      </x:c>
      <x:c r="I296" s="71" t="str">
        <x:v>Couldn't claim this trip.</x:v>
      </x:c>
      <x:c r="J296" s="73"/>
      <x:c r="K296" s="74" t="str">
        <x:f>IF(J296="",H296,IF(J296=I296,I296,J296))</x:f>
        <x:v>Unable to claim this trip.</x:v>
      </x:c>
      <x:c r="L296" s="74" t="str">
        <x:f>IF(J296="","Keep current",IF(J296=I296,"Use suggestion","Custom"))</x:f>
        <x:v>Keep current</x:v>
      </x:c>
      <x:c r="M296" s="71" t="str">
        <x:v>Pending review</x:v>
      </x:c>
      <x:c r="N296" s="71" t="str">
        <x:v>High</x:v>
      </x:c>
      <x:c r="O296" s="71" t="str">
        <x:v>app/journey/gift/[token]/claim-gift.tsx</x:v>
      </x:c>
      <x:c r="P296" s="71" t="str">
        <x:v>claim:23</x:v>
      </x:c>
      <x:c r="Q296" s="71" t="str">
        <x:v>EN (default / shared)</x:v>
      </x:c>
      <x:c r="R296" s="71" t="str">
        <x:v>Simplified for a warmer, more direct action or recovery message. Terminology watch: ‘trip’ and ‘journey’ both describe the same plan. Terminology watch: ‘stops’, ‘destinations’ and ‘places’ overlap.</x:v>
      </x:c>
      <x:c r="S296" s="75" t="str">
        <x:v>Not applied — review required</x:v>
      </x:c>
    </x:row>
    <x:row r="297">
      <x:c r="A297" s="71" t="str">
        <x:v>MRV-96E75AC0A2</x:v>
      </x:c>
      <x:c r="B297" s="71" t="str">
        <x:v>Sharing</x:v>
      </x:c>
      <x:c r="C297" s="71" t="str">
        <x:v>Gift claim</x:v>
      </x:c>
      <x:c r="D297" s="71" t="str">
        <x:v>/journey/gift/[token]/claim-gift</x:v>
      </x:c>
      <x:c r="E297" s="71" t="str">
        <x:v>ClaimGift</x:v>
      </x:c>
      <x:c r="F297" s="71" t="str">
        <x:v>Default</x:v>
      </x:c>
      <x:c r="G297" s="71" t="str">
        <x:v>CTA / button</x:v>
      </x:c>
      <x:c r="H297" s="71" t="str">
        <x:v>Adding to your trips…</x:v>
      </x:c>
      <x:c r="I297" s="71" t="str">
        <x:v>Adding to your trips…</x:v>
      </x:c>
      <x:c r="J297" s="73"/>
      <x:c r="K297" s="74" t="str">
        <x:f>IF(J297="",H297,IF(J297=I297,I297,J297))</x:f>
        <x:v>Adding to your trips…</x:v>
      </x:c>
      <x:c r="L297" s="74" t="str">
        <x:f>IF(J297="","Keep current",IF(J297=I297,"Use suggestion","Custom"))</x:f>
        <x:v>Keep current</x:v>
      </x:c>
      <x:c r="M297" s="71" t="str">
        <x:v>Pending review</x:v>
      </x:c>
      <x:c r="N297" s="71" t="str">
        <x:v>Medium</x:v>
      </x:c>
      <x:c r="O297" s="71" t="str">
        <x:v>app/journey/gift/[token]/claim-gift.tsx</x:v>
      </x:c>
      <x:c r="P297" s="71" t="str">
        <x:v>ClaimGift:35</x:v>
      </x:c>
      <x:c r="Q297" s="71" t="str">
        <x:v>EN (default / shared)</x:v>
      </x:c>
      <x:c r="R297" s="71" t="str">
        <x:v>Already clear and direct; suggested wording intentionally keeps the current copy. Terminology watch: ‘trip’ and ‘journey’ both describe the same plan. Terminology watch: ‘stops’, ‘destinations’ and ‘places’ overlap.</x:v>
      </x:c>
      <x:c r="S297" s="75" t="str">
        <x:v>Not applied — review required</x:v>
      </x:c>
    </x:row>
    <x:row r="298">
      <x:c r="A298" s="71" t="str">
        <x:v>MRV-F301533435</x:v>
      </x:c>
      <x:c r="B298" s="71" t="str">
        <x:v>Sharing</x:v>
      </x:c>
      <x:c r="C298" s="71" t="str">
        <x:v>Gift claim</x:v>
      </x:c>
      <x:c r="D298" s="71" t="str">
        <x:v>/journey/gift/[token]/claim-gift</x:v>
      </x:c>
      <x:c r="E298" s="71" t="str">
        <x:v>ClaimGift</x:v>
      </x:c>
      <x:c r="F298" s="71" t="str">
        <x:v>Default</x:v>
      </x:c>
      <x:c r="G298" s="71" t="str">
        <x:v>CTA / button</x:v>
      </x:c>
      <x:c r="H298" s="71" t="str">
        <x:v>Claim editable copy</x:v>
      </x:c>
      <x:c r="I298" s="71" t="str">
        <x:v>Claim editable copy</x:v>
      </x:c>
      <x:c r="J298" s="73"/>
      <x:c r="K298" s="74" t="str">
        <x:f>IF(J298="",H298,IF(J298=I298,I298,J298))</x:f>
        <x:v>Claim editable copy</x:v>
      </x:c>
      <x:c r="L298" s="74" t="str">
        <x:f>IF(J298="","Keep current",IF(J298=I298,"Use suggestion","Custom"))</x:f>
        <x:v>Keep current</x:v>
      </x:c>
      <x:c r="M298" s="71" t="str">
        <x:v>Pending review</x:v>
      </x:c>
      <x:c r="N298" s="71" t="str">
        <x:v>Medium</x:v>
      </x:c>
      <x:c r="O298" s="71" t="str">
        <x:v>app/journey/gift/[token]/claim-gift.tsx</x:v>
      </x:c>
      <x:c r="P298" s="71" t="str">
        <x:v>ClaimGift:35</x:v>
      </x:c>
      <x:c r="Q298" s="71" t="str">
        <x:v>EN (default / shared)</x:v>
      </x:c>
      <x:c r="R298" s="71" t="str">
        <x:v>Already clear and direct; suggested wording intentionally keeps the current copy.</x:v>
      </x:c>
      <x:c r="S298" s="75" t="str">
        <x:v>Not applied — review required</x:v>
      </x:c>
    </x:row>
    <x:row r="299">
      <x:c r="A299" s="71" t="str">
        <x:v>MRV-3191F654D1</x:v>
      </x:c>
      <x:c r="B299" s="71" t="str">
        <x:v>Sharing</x:v>
      </x:c>
      <x:c r="C299" s="71" t="str">
        <x:v>Gift claim</x:v>
      </x:c>
      <x:c r="D299" s="71" t="str">
        <x:v>/journey/gift/[token]</x:v>
      </x:c>
      <x:c r="E299" s="71" t="str">
        <x:v>metadata</x:v>
      </x:c>
      <x:c r="F299" s="71" t="str">
        <x:v>Default</x:v>
      </x:c>
      <x:c r="G299" s="71" t="str">
        <x:v>Tooltip</x:v>
      </x:c>
      <x:c r="H299" s="71" t="str">
        <x:v>A trip for you · Morrovia</x:v>
      </x:c>
      <x:c r="I299" s="71" t="str">
        <x:v>A trip for you · Morrovia</x:v>
      </x:c>
      <x:c r="J299" s="73"/>
      <x:c r="K299" s="74" t="str">
        <x:f>IF(J299="",H299,IF(J299=I299,I299,J299))</x:f>
        <x:v>A trip for you · Morrovia</x:v>
      </x:c>
      <x:c r="L299" s="74" t="str">
        <x:f>IF(J299="","Keep current",IF(J299=I299,"Use suggestion","Custom"))</x:f>
        <x:v>Keep current</x:v>
      </x:c>
      <x:c r="M299" s="71" t="str">
        <x:v>Pending review</x:v>
      </x:c>
      <x:c r="N299" s="71" t="str">
        <x:v>Normal</x:v>
      </x:c>
      <x:c r="O299" s="71" t="str">
        <x:v>app/journey/gift/[token]/page.tsx</x:v>
      </x:c>
      <x:c r="P299" s="71" t="str">
        <x:v>metadata:13</x:v>
      </x:c>
      <x:c r="Q299" s="71" t="str">
        <x:v>EN (default / shared)</x:v>
      </x:c>
      <x:c r="R299" s="71" t="str">
        <x:v>Already clear and direct; suggested wording intentionally keeps the current copy. Terminology watch: ‘trip’ and ‘journey’ both describe the same plan. Terminology watch: ‘stops’, ‘destinations’ and ‘places’ overlap.</x:v>
      </x:c>
      <x:c r="S299" s="75" t="str">
        <x:v>Not applied — review required</x:v>
      </x:c>
    </x:row>
    <x:row r="300">
      <x:c r="A300" s="71" t="str">
        <x:v>MRV-C3C6112EB7</x:v>
      </x:c>
      <x:c r="B300" s="71" t="str">
        <x:v>Sharing</x:v>
      </x:c>
      <x:c r="C300" s="71" t="str">
        <x:v>Gift claim</x:v>
      </x:c>
      <x:c r="D300" s="71" t="str">
        <x:v>/journey/gift/[token]</x:v>
      </x:c>
      <x:c r="E300" s="71" t="str">
        <x:v>maskEmail</x:v>
      </x:c>
      <x:c r="F300" s="71" t="str">
        <x:v>Default</x:v>
      </x:c>
      <x:c r="G300" s="71" t="str">
        <x:v>Label</x:v>
      </x:c>
      <x:c r="H300" s="71" t="str">
        <x:v>this email address</x:v>
      </x:c>
      <x:c r="I300" s="71" t="str">
        <x:v>this email address</x:v>
      </x:c>
      <x:c r="J300" s="73"/>
      <x:c r="K300" s="74" t="str">
        <x:f>IF(J300="",H300,IF(J300=I300,I300,J300))</x:f>
        <x:v>this email address</x:v>
      </x:c>
      <x:c r="L300" s="74" t="str">
        <x:f>IF(J300="","Keep current",IF(J300=I300,"Use suggestion","Custom"))</x:f>
        <x:v>Keep current</x:v>
      </x:c>
      <x:c r="M300" s="71" t="str">
        <x:v>Pending review</x:v>
      </x:c>
      <x:c r="N300" s="71" t="str">
        <x:v>Normal</x:v>
      </x:c>
      <x:c r="O300" s="71" t="str">
        <x:v>app/journey/gift/[token]/page.tsx</x:v>
      </x:c>
      <x:c r="P300" s="71" t="str">
        <x:v>maskEmail:19</x:v>
      </x:c>
      <x:c r="Q300" s="71" t="str">
        <x:v>EN (default / shared)</x:v>
      </x:c>
      <x:c r="R300" s="71" t="str">
        <x:v>Already clear and direct; suggested wording intentionally keeps the current copy.</x:v>
      </x:c>
      <x:c r="S300" s="75" t="str">
        <x:v>Not applied — review required</x:v>
      </x:c>
    </x:row>
    <x:row r="301">
      <x:c r="A301" s="71" t="str">
        <x:v>MRV-3284641AD1</x:v>
      </x:c>
      <x:c r="B301" s="71" t="str">
        <x:v>Sharing</x:v>
      </x:c>
      <x:c r="C301" s="71" t="str">
        <x:v>Gift claim</x:v>
      </x:c>
      <x:c r="D301" s="71" t="str">
        <x:v>/journey/gift/[token]</x:v>
      </x:c>
      <x:c r="E301" s="71" t="str">
        <x:v>maskEmail</x:v>
      </x:c>
      <x:c r="F301" s="71" t="str">
        <x:v>Default</x:v>
      </x:c>
      <x:c r="G301" s="71" t="str">
        <x:v>Body copy</x:v>
      </x:c>
      <x:c r="H301" s="71" t="str">
        <x:v>{visible}{"•".repeat(Math.max(3, local.length - visible.length))}@{domain}</x:v>
      </x:c>
      <x:c r="I301" s="71" t="str">
        <x:v>{visible}{"•".repeat(Math.max(3, local.length - visible.length))}@{domain}</x:v>
      </x:c>
      <x:c r="J301" s="73"/>
      <x:c r="K301" s="74" t="str">
        <x:f>IF(J301="",H301,IF(J301=I301,I301,J301))</x:f>
        <x:v>{visible}{"•".repeat(Math.max(3, local.length - visible.length))}@{domain}</x:v>
      </x:c>
      <x:c r="L301" s="74" t="str">
        <x:f>IF(J301="","Keep current",IF(J301=I301,"Use suggestion","Custom"))</x:f>
        <x:v>Keep current</x:v>
      </x:c>
      <x:c r="M301" s="71" t="str">
        <x:v>Pending review</x:v>
      </x:c>
      <x:c r="N301" s="71" t="str">
        <x:v>Normal</x:v>
      </x:c>
      <x:c r="O301" s="71" t="str">
        <x:v>app/journey/gift/[token]/page.tsx</x:v>
      </x:c>
      <x:c r="P301" s="71" t="str">
        <x:v>maskEmail:21</x:v>
      </x:c>
      <x:c r="Q301" s="71" t="str">
        <x:v>EN (default / shared)</x:v>
      </x:c>
      <x:c r="R301" s="71" t="str">
        <x:v>Already clear and direct; suggested wording intentionally keeps the current copy. Dynamic traveller or trip value is represented as a token; user-generated values are excluded.</x:v>
      </x:c>
      <x:c r="S301" s="75" t="str">
        <x:v>Not applied — review required</x:v>
      </x:c>
    </x:row>
    <x:row r="302">
      <x:c r="A302" s="71" t="str">
        <x:v>MRV-A59ADE6148</x:v>
      </x:c>
      <x:c r="B302" s="71" t="str">
        <x:v>Acquisition</x:v>
      </x:c>
      <x:c r="C302" s="71" t="str">
        <x:v>Homepage</x:v>
      </x:c>
      <x:c r="D302" s="71" t="str">
        <x:v>/journey/home/home-benefits</x:v>
      </x:c>
      <x:c r="E302" s="71" t="str">
        <x:v>HomeBenefits</x:v>
      </x:c>
      <x:c r="F302" s="71" t="str">
        <x:v>Accessibility / input support</x:v>
      </x:c>
      <x:c r="G302" s="71" t="str">
        <x:v>Accessibility label</x:v>
      </x:c>
      <x:c r="H302" s="71" t="str">
        <x:v>Beneficios de Morrovia</x:v>
      </x:c>
      <x:c r="I302" s="71" t="str">
        <x:v>Beneficios de Morrovia</x:v>
      </x:c>
      <x:c r="J302" s="73"/>
      <x:c r="K302" s="74" t="str">
        <x:f>IF(J302="",H302,IF(J302=I302,I302,J302))</x:f>
        <x:v>Beneficios de Morrovia</x:v>
      </x:c>
      <x:c r="L302" s="74" t="str">
        <x:f>IF(J302="","Keep current",IF(J302=I302,"Use suggestion","Custom"))</x:f>
        <x:v>Keep current</x:v>
      </x:c>
      <x:c r="M302" s="71" t="str">
        <x:v>Pending review</x:v>
      </x:c>
      <x:c r="N302" s="71" t="str">
        <x:v>Medium</x:v>
      </x:c>
      <x:c r="O302" s="71" t="str">
        <x:v>app/journey/home/home-benefits.tsx</x:v>
      </x:c>
      <x:c r="P302" s="71" t="str">
        <x:v>HomeBenefits:29</x:v>
      </x:c>
      <x:c r="Q302" s="71" t="str">
        <x:v>ES</x:v>
      </x:c>
      <x:c r="R302" s="71" t="str">
        <x:v>Already clear and direct; suggested wording intentionally keeps the current copy.</x:v>
      </x:c>
      <x:c r="S302" s="75" t="str">
        <x:v>Not applied — review required</x:v>
      </x:c>
    </x:row>
    <x:row r="303">
      <x:c r="A303" s="71" t="str">
        <x:v>MRV-500F7DB999</x:v>
      </x:c>
      <x:c r="B303" s="71" t="str">
        <x:v>Acquisition</x:v>
      </x:c>
      <x:c r="C303" s="71" t="str">
        <x:v>Homepage</x:v>
      </x:c>
      <x:c r="D303" s="71" t="str">
        <x:v>/journey/home/home-benefits</x:v>
      </x:c>
      <x:c r="E303" s="71" t="str">
        <x:v>HomeBenefits</x:v>
      </x:c>
      <x:c r="F303" s="71" t="str">
        <x:v>Accessibility / input support</x:v>
      </x:c>
      <x:c r="G303" s="71" t="str">
        <x:v>Accessibility label</x:v>
      </x:c>
      <x:c r="H303" s="71" t="str">
        <x:v>Morrovia benefits</x:v>
      </x:c>
      <x:c r="I303" s="71" t="str">
        <x:v>Morrovia benefits</x:v>
      </x:c>
      <x:c r="J303" s="73"/>
      <x:c r="K303" s="74" t="str">
        <x:f>IF(J303="",H303,IF(J303=I303,I303,J303))</x:f>
        <x:v>Morrovia benefits</x:v>
      </x:c>
      <x:c r="L303" s="74" t="str">
        <x:f>IF(J303="","Keep current",IF(J303=I303,"Use suggestion","Custom"))</x:f>
        <x:v>Keep current</x:v>
      </x:c>
      <x:c r="M303" s="71" t="str">
        <x:v>Pending review</x:v>
      </x:c>
      <x:c r="N303" s="71" t="str">
        <x:v>Medium</x:v>
      </x:c>
      <x:c r="O303" s="71" t="str">
        <x:v>app/journey/home/home-benefits.tsx</x:v>
      </x:c>
      <x:c r="P303" s="71" t="str">
        <x:v>HomeBenefits:29</x:v>
      </x:c>
      <x:c r="Q303" s="71" t="str">
        <x:v>EN</x:v>
      </x:c>
      <x:c r="R303" s="71" t="str">
        <x:v>Already clear and direct; suggested wording intentionally keeps the current copy.</x:v>
      </x:c>
      <x:c r="S303" s="75" t="str">
        <x:v>Not applied — review required</x:v>
      </x:c>
    </x:row>
    <x:row r="304">
      <x:c r="A304" s="71" t="str">
        <x:v>MRV-EFEE19F350</x:v>
      </x:c>
      <x:c r="B304" s="71" t="str">
        <x:v>Acquisition</x:v>
      </x:c>
      <x:c r="C304" s="71" t="str">
        <x:v>Homepage</x:v>
      </x:c>
      <x:c r="D304" s="71" t="str">
        <x:v>/journey/home/home-footer</x:v>
      </x:c>
      <x:c r="E304" s="71" t="str">
        <x:v>copy</x:v>
      </x:c>
      <x:c r="F304" s="71" t="str">
        <x:v>Default</x:v>
      </x:c>
      <x:c r="G304" s="71" t="str">
        <x:v>Tooltip</x:v>
      </x:c>
      <x:c r="H304" s="71" t="str">
        <x:v>A first route is a better place to start.</x:v>
      </x:c>
      <x:c r="I304" s="71" t="str">
        <x:v>A first route is a better place to start.</x:v>
      </x:c>
      <x:c r="J304" s="73"/>
      <x:c r="K304" s="74" t="str">
        <x:f>IF(J304="",H304,IF(J304=I304,I304,J304))</x:f>
        <x:v>A first route is a better place to start.</x:v>
      </x:c>
      <x:c r="L304" s="74" t="str">
        <x:f>IF(J304="","Keep current",IF(J304=I304,"Use suggestion","Custom"))</x:f>
        <x:v>Keep current</x:v>
      </x:c>
      <x:c r="M304" s="71" t="str">
        <x:v>Pending review</x:v>
      </x:c>
      <x:c r="N304" s="71" t="str">
        <x:v>Normal</x:v>
      </x:c>
      <x:c r="O304" s="71" t="str">
        <x:v>app/journey/home/home-footer.tsx</x:v>
      </x:c>
      <x:c r="P304" s="71" t="str">
        <x:v>copy:12</x:v>
      </x:c>
      <x:c r="Q304" s="71" t="str">
        <x:v>EN (default / shared)</x:v>
      </x:c>
      <x:c r="R304" s="71" t="str">
        <x:v>Already clear and direct; suggested wording intentionally keeps the current copy. Terminology watch: ‘trip’ and ‘journey’ both describe the same plan. Terminology watch: ‘stops’, ‘destinations’ and ‘places’ overlap.</x:v>
      </x:c>
      <x:c r="S304" s="75" t="str">
        <x:v>Not applied — review required</x:v>
      </x:c>
    </x:row>
    <x:row r="305">
      <x:c r="A305" s="71" t="str">
        <x:v>MRV-62F1DF479A</x:v>
      </x:c>
      <x:c r="B305" s="71" t="str">
        <x:v>Acquisition</x:v>
      </x:c>
      <x:c r="C305" s="71" t="str">
        <x:v>Homepage</x:v>
      </x:c>
      <x:c r="D305" s="71" t="str">
        <x:v>/journey/home/home-footer</x:v>
      </x:c>
      <x:c r="E305" s="71" t="str">
        <x:v>copy</x:v>
      </x:c>
      <x:c r="F305" s="71" t="str">
        <x:v>Default</x:v>
      </x:c>
      <x:c r="G305" s="71" t="str">
        <x:v>Tooltip</x:v>
      </x:c>
      <x:c r="H305" s="71" t="str">
        <x:v>Una primera ruta es un mejor lugar para empezar.</x:v>
      </x:c>
      <x:c r="I305" s="71" t="str">
        <x:v>Una primera ruta es un mejor lugar para empezar.</x:v>
      </x:c>
      <x:c r="J305" s="73"/>
      <x:c r="K305" s="74" t="str">
        <x:f>IF(J305="",H305,IF(J305=I305,I305,J305))</x:f>
        <x:v>Una primera ruta es un mejor lugar para empezar.</x:v>
      </x:c>
      <x:c r="L305" s="74" t="str">
        <x:f>IF(J305="","Keep current",IF(J305=I305,"Use suggestion","Custom"))</x:f>
        <x:v>Keep current</x:v>
      </x:c>
      <x:c r="M305" s="71" t="str">
        <x:v>Pending review</x:v>
      </x:c>
      <x:c r="N305" s="71" t="str">
        <x:v>Normal</x:v>
      </x:c>
      <x:c r="O305" s="71" t="str">
        <x:v>app/journey/home/home-footer.tsx</x:v>
      </x:c>
      <x:c r="P305" s="71" t="str">
        <x:v>copy:13</x:v>
      </x:c>
      <x:c r="Q305" s="71" t="str">
        <x:v>EN (default / shared)</x:v>
      </x:c>
      <x:c r="R305" s="71" t="str">
        <x:v>Already clear and direct; suggested wording intentionally keeps the current copy.</x:v>
      </x:c>
      <x:c r="S305" s="75" t="str">
        <x:v>Not applied — review required</x:v>
      </x:c>
    </x:row>
    <x:row r="306">
      <x:c r="A306" s="71" t="str">
        <x:v>MRV-D487A0E483</x:v>
      </x:c>
      <x:c r="B306" s="71" t="str">
        <x:v>Acquisition</x:v>
      </x:c>
      <x:c r="C306" s="71" t="str">
        <x:v>Homepage</x:v>
      </x:c>
      <x:c r="D306" s="71" t="str">
        <x:v>/journey/home/home-footer</x:v>
      </x:c>
      <x:c r="E306" s="71" t="str">
        <x:v>HomeFooter</x:v>
      </x:c>
      <x:c r="F306" s="71" t="str">
        <x:v>Default</x:v>
      </x:c>
      <x:c r="G306" s="71" t="str">
        <x:v>Label</x:v>
      </x:c>
      <x:c r="H306" s="71" t="str">
        <x:v>EMPIEZA CON LA RUTA</x:v>
      </x:c>
      <x:c r="I306" s="71" t="str">
        <x:v>EMPIEZA CON LA RUTA</x:v>
      </x:c>
      <x:c r="J306" s="73"/>
      <x:c r="K306" s="74" t="str">
        <x:f>IF(J306="",H306,IF(J306=I306,I306,J306))</x:f>
        <x:v>EMPIEZA CON LA RUTA</x:v>
      </x:c>
      <x:c r="L306" s="74" t="str">
        <x:f>IF(J306="","Keep current",IF(J306=I306,"Use suggestion","Custom"))</x:f>
        <x:v>Keep current</x:v>
      </x:c>
      <x:c r="M306" s="71" t="str">
        <x:v>Pending review</x:v>
      </x:c>
      <x:c r="N306" s="71" t="str">
        <x:v>Normal</x:v>
      </x:c>
      <x:c r="O306" s="71" t="str">
        <x:v>app/journey/home/home-footer.tsx</x:v>
      </x:c>
      <x:c r="P306" s="71" t="str">
        <x:v>HomeFooter:23</x:v>
      </x:c>
      <x:c r="Q306" s="71" t="str">
        <x:v>ES</x:v>
      </x:c>
      <x:c r="R306" s="71" t="str">
        <x:v>Already clear and direct; suggested wording intentionally keeps the current copy.</x:v>
      </x:c>
      <x:c r="S306" s="75" t="str">
        <x:v>Not applied — review required</x:v>
      </x:c>
    </x:row>
    <x:row r="307">
      <x:c r="A307" s="71" t="str">
        <x:v>MRV-BC9F1B79F1</x:v>
      </x:c>
      <x:c r="B307" s="71" t="str">
        <x:v>Acquisition</x:v>
      </x:c>
      <x:c r="C307" s="71" t="str">
        <x:v>Homepage</x:v>
      </x:c>
      <x:c r="D307" s="71" t="str">
        <x:v>/journey/home/home-footer</x:v>
      </x:c>
      <x:c r="E307" s="71" t="str">
        <x:v>HomeFooter</x:v>
      </x:c>
      <x:c r="F307" s="71" t="str">
        <x:v>Default</x:v>
      </x:c>
      <x:c r="G307" s="71" t="str">
        <x:v>CTA / button</x:v>
      </x:c>
      <x:c r="H307" s="71" t="str">
        <x:v>START WITH THE ROUTE</x:v>
      </x:c>
      <x:c r="I307" s="71" t="str">
        <x:v>START WITH THE ROUTE</x:v>
      </x:c>
      <x:c r="J307" s="73"/>
      <x:c r="K307" s="74" t="str">
        <x:f>IF(J307="",H307,IF(J307=I307,I307,J307))</x:f>
        <x:v>START WITH THE ROUTE</x:v>
      </x:c>
      <x:c r="L307" s="74" t="str">
        <x:f>IF(J307="","Keep current",IF(J307=I307,"Use suggestion","Custom"))</x:f>
        <x:v>Keep current</x:v>
      </x:c>
      <x:c r="M307" s="71" t="str">
        <x:v>Pending review</x:v>
      </x:c>
      <x:c r="N307" s="71" t="str">
        <x:v>Medium</x:v>
      </x:c>
      <x:c r="O307" s="71" t="str">
        <x:v>app/journey/home/home-footer.tsx</x:v>
      </x:c>
      <x:c r="P307" s="71" t="str">
        <x:v>HomeFooter:23</x:v>
      </x:c>
      <x:c r="Q307" s="71" t="str">
        <x:v>EN</x:v>
      </x:c>
      <x:c r="R307" s="71" t="str">
        <x:v>Already clear and direct; suggested wording intentionally keeps the current copy.</x:v>
      </x:c>
      <x:c r="S307" s="75" t="str">
        <x:v>Not applied — review required</x:v>
      </x:c>
    </x:row>
    <x:row r="308">
      <x:c r="A308" s="71" t="str">
        <x:v>MRV-4040DB8EFD</x:v>
      </x:c>
      <x:c r="B308" s="71" t="str">
        <x:v>Acquisition</x:v>
      </x:c>
      <x:c r="C308" s="71" t="str">
        <x:v>Homepage</x:v>
      </x:c>
      <x:c r="D308" s="71" t="str">
        <x:v>/journey/home/home-footer</x:v>
      </x:c>
      <x:c r="E308" s="71" t="str">
        <x:v>HomeFooter</x:v>
      </x:c>
      <x:c r="F308" s="71" t="str">
        <x:v>Default</x:v>
      </x:c>
      <x:c r="G308" s="71" t="str">
        <x:v>Prompt / question</x:v>
      </x:c>
      <x:c r="H308" s="71" t="str">
        <x:v>¿Dónde, cuándo y qué importa más?</x:v>
      </x:c>
      <x:c r="I308" s="71" t="str">
        <x:v>¿Dónde, cuándo y qué importa más?</x:v>
      </x:c>
      <x:c r="J308" s="73"/>
      <x:c r="K308" s="74" t="str">
        <x:f>IF(J308="",H308,IF(J308=I308,I308,J308))</x:f>
        <x:v>¿Dónde, cuándo y qué importa más?</x:v>
      </x:c>
      <x:c r="L308" s="74" t="str">
        <x:f>IF(J308="","Keep current",IF(J308=I308,"Use suggestion","Custom"))</x:f>
        <x:v>Keep current</x:v>
      </x:c>
      <x:c r="M308" s="71" t="str">
        <x:v>Pending review</x:v>
      </x:c>
      <x:c r="N308" s="71" t="str">
        <x:v>Normal</x:v>
      </x:c>
      <x:c r="O308" s="71" t="str">
        <x:v>app/journey/home/home-footer.tsx</x:v>
      </x:c>
      <x:c r="P308" s="71" t="str">
        <x:v>HomeFooter:23</x:v>
      </x:c>
      <x:c r="Q308" s="71" t="str">
        <x:v>ES</x:v>
      </x:c>
      <x:c r="R308" s="71" t="str">
        <x:v>Already clear and direct; suggested wording intentionally keeps the current copy.</x:v>
      </x:c>
      <x:c r="S308" s="75" t="str">
        <x:v>Not applied — review required</x:v>
      </x:c>
    </x:row>
    <x:row r="309">
      <x:c r="A309" s="71" t="str">
        <x:v>MRV-587881E154</x:v>
      </x:c>
      <x:c r="B309" s="71" t="str">
        <x:v>Acquisition</x:v>
      </x:c>
      <x:c r="C309" s="71" t="str">
        <x:v>Homepage</x:v>
      </x:c>
      <x:c r="D309" s="71" t="str">
        <x:v>/journey/home/home-footer</x:v>
      </x:c>
      <x:c r="E309" s="71" t="str">
        <x:v>HomeFooter</x:v>
      </x:c>
      <x:c r="F309" s="71" t="str">
        <x:v>Default</x:v>
      </x:c>
      <x:c r="G309" s="71" t="str">
        <x:v>Prompt / question</x:v>
      </x:c>
      <x:c r="H309" s="71" t="str">
        <x:v>Where to, when, and what matters most?</x:v>
      </x:c>
      <x:c r="I309" s="71" t="str">
        <x:v>Where to, when, and what matters most?</x:v>
      </x:c>
      <x:c r="J309" s="73"/>
      <x:c r="K309" s="74" t="str">
        <x:f>IF(J309="",H309,IF(J309=I309,I309,J309))</x:f>
        <x:v>Where to, when, and what matters most?</x:v>
      </x:c>
      <x:c r="L309" s="74" t="str">
        <x:f>IF(J309="","Keep current",IF(J309=I309,"Use suggestion","Custom"))</x:f>
        <x:v>Keep current</x:v>
      </x:c>
      <x:c r="M309" s="71" t="str">
        <x:v>Pending review</x:v>
      </x:c>
      <x:c r="N309" s="71" t="str">
        <x:v>Normal</x:v>
      </x:c>
      <x:c r="O309" s="71" t="str">
        <x:v>app/journey/home/home-footer.tsx</x:v>
      </x:c>
      <x:c r="P309" s="71" t="str">
        <x:v>HomeFooter:23</x:v>
      </x:c>
      <x:c r="Q309" s="71" t="str">
        <x:v>EN</x:v>
      </x:c>
      <x:c r="R309" s="71" t="str">
        <x:v>Already clear and direct; suggested wording intentionally keeps the current copy.</x:v>
      </x:c>
      <x:c r="S309" s="75" t="str">
        <x:v>Not applied — review required</x:v>
      </x:c>
    </x:row>
    <x:row r="310">
      <x:c r="A310" s="71" t="str">
        <x:v>MRV-FE60384661</x:v>
      </x:c>
      <x:c r="B310" s="71" t="str">
        <x:v>Acquisition</x:v>
      </x:c>
      <x:c r="C310" s="71" t="str">
        <x:v>Homepage</x:v>
      </x:c>
      <x:c r="D310" s="71" t="str">
        <x:v>/journey/home/home-footer</x:v>
      </x:c>
      <x:c r="E310" s="71" t="str">
        <x:v>HomeFooter</x:v>
      </x:c>
      <x:c r="F310" s="71" t="str">
        <x:v>Accessibility / input support</x:v>
      </x:c>
      <x:c r="G310" s="71" t="str">
        <x:v>Accessibility label</x:v>
      </x:c>
      <x:c r="H310" s="71" t="str">
        <x:v>Saily travel eSIM</x:v>
      </x:c>
      <x:c r="I310" s="71" t="str">
        <x:v>Saily travel eSIM</x:v>
      </x:c>
      <x:c r="J310" s="73"/>
      <x:c r="K310" s="74" t="str">
        <x:f>IF(J310="",H310,IF(J310=I310,I310,J310))</x:f>
        <x:v>Saily travel eSIM</x:v>
      </x:c>
      <x:c r="L310" s="74" t="str">
        <x:f>IF(J310="","Keep current",IF(J310=I310,"Use suggestion","Custom"))</x:f>
        <x:v>Keep current</x:v>
      </x:c>
      <x:c r="M310" s="71" t="str">
        <x:v>Pending review</x:v>
      </x:c>
      <x:c r="N310" s="71" t="str">
        <x:v>Medium</x:v>
      </x:c>
      <x:c r="O310" s="71" t="str">
        <x:v>app/journey/home/home-footer.tsx</x:v>
      </x:c>
      <x:c r="P310" s="71" t="str">
        <x:v>HomeFooter:25</x:v>
      </x:c>
      <x:c r="Q310" s="71" t="str">
        <x:v>EN (default / shared)</x:v>
      </x:c>
      <x:c r="R310" s="71" t="str">
        <x:v>Already clear and direct; suggested wording intentionally keeps the current copy.</x:v>
      </x:c>
      <x:c r="S310" s="75" t="str">
        <x:v>Not applied — review required</x:v>
      </x:c>
    </x:row>
    <x:row r="311">
      <x:c r="A311" s="71" t="str">
        <x:v>MRV-212A5866BB</x:v>
      </x:c>
      <x:c r="B311" s="71" t="str">
        <x:v>Acquisition</x:v>
      </x:c>
      <x:c r="C311" s="71" t="str">
        <x:v>Homepage</x:v>
      </x:c>
      <x:c r="D311" s="71" t="str">
        <x:v>/journey/home/home-footer</x:v>
      </x:c>
      <x:c r="E311" s="71" t="str">
        <x:v>HomeFooter</x:v>
      </x:c>
      <x:c r="F311" s="71" t="str">
        <x:v>Accessibility / input support</x:v>
      </x:c>
      <x:c r="G311" s="71" t="str">
        <x:v>Image alternative</x:v>
      </x:c>
      <x:c r="H311" s="71" t="str">
        <x:v>Saily</x:v>
      </x:c>
      <x:c r="I311" s="71" t="str">
        <x:v>Saily</x:v>
      </x:c>
      <x:c r="J311" s="73"/>
      <x:c r="K311" s="74" t="str">
        <x:f>IF(J311="",H311,IF(J311=I311,I311,J311))</x:f>
        <x:v>Saily</x:v>
      </x:c>
      <x:c r="L311" s="74" t="str">
        <x:f>IF(J311="","Keep current",IF(J311=I311,"Use suggestion","Custom"))</x:f>
        <x:v>Keep current</x:v>
      </x:c>
      <x:c r="M311" s="71" t="str">
        <x:v>Pending review</x:v>
      </x:c>
      <x:c r="N311" s="71" t="str">
        <x:v>Normal</x:v>
      </x:c>
      <x:c r="O311" s="71" t="str">
        <x:v>app/journey/home/home-footer.tsx</x:v>
      </x:c>
      <x:c r="P311" s="71" t="str">
        <x:v>HomeFooter:26</x:v>
      </x:c>
      <x:c r="Q311" s="71" t="str">
        <x:v>EN (default / shared)</x:v>
      </x:c>
      <x:c r="R311" s="71" t="str">
        <x:v>Already clear and direct; suggested wording intentionally keeps the current copy.</x:v>
      </x:c>
      <x:c r="S311" s="75" t="str">
        <x:v>Not applied — review required</x:v>
      </x:c>
    </x:row>
    <x:row r="312">
      <x:c r="A312" s="71" t="str">
        <x:v>MRV-E95605DC9D</x:v>
      </x:c>
      <x:c r="B312" s="71" t="str">
        <x:v>Acquisition</x:v>
      </x:c>
      <x:c r="C312" s="71" t="str">
        <x:v>Homepage</x:v>
      </x:c>
      <x:c r="D312" s="71" t="str">
        <x:v>/journey/home/home-footer</x:v>
      </x:c>
      <x:c r="E312" s="71" t="str">
        <x:v>HomeFooter</x:v>
      </x:c>
      <x:c r="F312" s="71" t="str">
        <x:v>Default</x:v>
      </x:c>
      <x:c r="G312" s="71" t="str">
        <x:v>Label</x:v>
      </x:c>
      <x:c r="H312" s="71" t="str">
        <x:v>CONECTIVIDAD DE VIAJE</x:v>
      </x:c>
      <x:c r="I312" s="71" t="str">
        <x:v>CONECTIVIDAD DE VIAJE</x:v>
      </x:c>
      <x:c r="J312" s="73"/>
      <x:c r="K312" s="74" t="str">
        <x:f>IF(J312="",H312,IF(J312=I312,I312,J312))</x:f>
        <x:v>CONECTIVIDAD DE VIAJE</x:v>
      </x:c>
      <x:c r="L312" s="74" t="str">
        <x:f>IF(J312="","Keep current",IF(J312=I312,"Use suggestion","Custom"))</x:f>
        <x:v>Keep current</x:v>
      </x:c>
      <x:c r="M312" s="71" t="str">
        <x:v>Pending review</x:v>
      </x:c>
      <x:c r="N312" s="71" t="str">
        <x:v>Normal</x:v>
      </x:c>
      <x:c r="O312" s="71" t="str">
        <x:v>app/journey/home/home-footer.tsx</x:v>
      </x:c>
      <x:c r="P312" s="71" t="str">
        <x:v>HomeFooter:27</x:v>
      </x:c>
      <x:c r="Q312" s="71" t="str">
        <x:v>ES</x:v>
      </x:c>
      <x:c r="R312" s="71" t="str">
        <x:v>Already clear and direct; suggested wording intentionally keeps the current copy.</x:v>
      </x:c>
      <x:c r="S312" s="75" t="str">
        <x:v>Not applied — review required</x:v>
      </x:c>
    </x:row>
    <x:row r="313">
      <x:c r="A313" s="71" t="str">
        <x:v>MRV-8C1E47A783</x:v>
      </x:c>
      <x:c r="B313" s="71" t="str">
        <x:v>Acquisition</x:v>
      </x:c>
      <x:c r="C313" s="71" t="str">
        <x:v>Homepage</x:v>
      </x:c>
      <x:c r="D313" s="71" t="str">
        <x:v>/journey/home/home-footer</x:v>
      </x:c>
      <x:c r="E313" s="71" t="str">
        <x:v>HomeFooter</x:v>
      </x:c>
      <x:c r="F313" s="71" t="str">
        <x:v>Default</x:v>
      </x:c>
      <x:c r="G313" s="71" t="str">
        <x:v>Label</x:v>
      </x:c>
      <x:c r="H313" s="71" t="str">
        <x:v>TRAVEL CONNECTIVITY</x:v>
      </x:c>
      <x:c r="I313" s="71" t="str">
        <x:v>TRAVEL CONNECTIVITY</x:v>
      </x:c>
      <x:c r="J313" s="73"/>
      <x:c r="K313" s="74" t="str">
        <x:f>IF(J313="",H313,IF(J313=I313,I313,J313))</x:f>
        <x:v>TRAVEL CONNECTIVITY</x:v>
      </x:c>
      <x:c r="L313" s="74" t="str">
        <x:f>IF(J313="","Keep current",IF(J313=I313,"Use suggestion","Custom"))</x:f>
        <x:v>Keep current</x:v>
      </x:c>
      <x:c r="M313" s="71" t="str">
        <x:v>Pending review</x:v>
      </x:c>
      <x:c r="N313" s="71" t="str">
        <x:v>Normal</x:v>
      </x:c>
      <x:c r="O313" s="71" t="str">
        <x:v>app/journey/home/home-footer.tsx</x:v>
      </x:c>
      <x:c r="P313" s="71" t="str">
        <x:v>HomeFooter:27</x:v>
      </x:c>
      <x:c r="Q313" s="71" t="str">
        <x:v>EN</x:v>
      </x:c>
      <x:c r="R313" s="71" t="str">
        <x:v>Already clear and direct; suggested wording intentionally keeps the current copy.</x:v>
      </x:c>
      <x:c r="S313" s="75" t="str">
        <x:v>Not applied — review required</x:v>
      </x:c>
    </x:row>
    <x:row r="314">
      <x:c r="A314" s="71" t="str">
        <x:v>MRV-E8DEBBE5BF</x:v>
      </x:c>
      <x:c r="B314" s="71" t="str">
        <x:v>Acquisition</x:v>
      </x:c>
      <x:c r="C314" s="71" t="str">
        <x:v>Homepage</x:v>
      </x:c>
      <x:c r="D314" s="71" t="str">
        <x:v>/journey/home/home-hero-tools</x:v>
      </x:c>
      <x:c r="E314" s="71" t="str">
        <x:v>HomeHeroTools</x:v>
      </x:c>
      <x:c r="F314" s="71" t="str">
        <x:v>Accessibility / input support</x:v>
      </x:c>
      <x:c r="G314" s="71" t="str">
        <x:v>Image alternative</x:v>
      </x:c>
      <x:c r="H314" s="71" t="str">
        <x:v>Watercolor route illustration from Bangkok to Siem Reap, Phnom Penh and Ho Chi Minh City</x:v>
      </x:c>
      <x:c r="I314" s="71" t="str">
        <x:v>Watercolor route illustration from Bangkok to Siem Reap, Phnom Penh and Ho Chi Minh City</x:v>
      </x:c>
      <x:c r="J314" s="73"/>
      <x:c r="K314" s="74" t="str">
        <x:f>IF(J314="",H314,IF(J314=I314,I314,J314))</x:f>
        <x:v>Watercolor route illustration from Bangkok to Siem Reap, Phnom Penh and Ho Chi Minh City</x:v>
      </x:c>
      <x:c r="L314" s="74" t="str">
        <x:f>IF(J314="","Keep current",IF(J314=I314,"Use suggestion","Custom"))</x:f>
        <x:v>Keep current</x:v>
      </x:c>
      <x:c r="M314" s="71" t="str">
        <x:v>Pending review</x:v>
      </x:c>
      <x:c r="N314" s="71" t="str">
        <x:v>Normal</x:v>
      </x:c>
      <x:c r="O314" s="71" t="str">
        <x:v>app/journey/home/home-hero-tools.tsx</x:v>
      </x:c>
      <x:c r="P314" s="71" t="str">
        <x:v>HomeHeroTools:38</x:v>
      </x:c>
      <x:c r="Q314" s="71" t="str">
        <x:v>EN (default / shared)</x:v>
      </x:c>
      <x:c r="R314" s="71" t="str">
        <x:v>Already clear and direct; suggested wording intentionally keeps the current copy.</x:v>
      </x:c>
      <x:c r="S314" s="75" t="str">
        <x:v>Not applied — review required</x:v>
      </x:c>
    </x:row>
    <x:row r="315">
      <x:c r="A315" s="71" t="str">
        <x:v>MRV-310EB19014</x:v>
      </x:c>
      <x:c r="B315" s="71" t="str">
        <x:v>Acquisition</x:v>
      </x:c>
      <x:c r="C315" s="71" t="str">
        <x:v>Homepage</x:v>
      </x:c>
      <x:c r="D315" s="71" t="str">
        <x:v>/journey/home/home-hero-tools</x:v>
      </x:c>
      <x:c r="E315" s="71" t="str">
        <x:v>HomeHeroTools</x:v>
      </x:c>
      <x:c r="F315" s="71" t="str">
        <x:v>Default</x:v>
      </x:c>
      <x:c r="G315" s="71" t="str">
        <x:v>Body copy</x:v>
      </x:c>
      <x:c r="H315" s="71" t="str">
        <x:v>Todo en un solo lugar, antes de partir.</x:v>
      </x:c>
      <x:c r="I315" s="71" t="str">
        <x:v>Todo en un solo lugar, antes de partir.</x:v>
      </x:c>
      <x:c r="J315" s="73"/>
      <x:c r="K315" s="74" t="str">
        <x:f>IF(J315="",H315,IF(J315=I315,I315,J315))</x:f>
        <x:v>Todo en un solo lugar, antes de partir.</x:v>
      </x:c>
      <x:c r="L315" s="74" t="str">
        <x:f>IF(J315="","Keep current",IF(J315=I315,"Use suggestion","Custom"))</x:f>
        <x:v>Keep current</x:v>
      </x:c>
      <x:c r="M315" s="71" t="str">
        <x:v>Pending review</x:v>
      </x:c>
      <x:c r="N315" s="71" t="str">
        <x:v>Normal</x:v>
      </x:c>
      <x:c r="O315" s="71" t="str">
        <x:v>app/journey/home/home-hero-tools.tsx</x:v>
      </x:c>
      <x:c r="P315" s="71" t="str">
        <x:v>HomeHeroTools:52</x:v>
      </x:c>
      <x:c r="Q315" s="71" t="str">
        <x:v>ES</x:v>
      </x:c>
      <x:c r="R315" s="71" t="str">
        <x:v>Already clear and direct; suggested wording intentionally keeps the current copy.</x:v>
      </x:c>
      <x:c r="S315" s="75" t="str">
        <x:v>Not applied — review required</x:v>
      </x:c>
    </x:row>
    <x:row r="316">
      <x:c r="A316" s="71" t="str">
        <x:v>MRV-9B540F0FC8</x:v>
      </x:c>
      <x:c r="B316" s="71" t="str">
        <x:v>Acquisition</x:v>
      </x:c>
      <x:c r="C316" s="71" t="str">
        <x:v>Homepage</x:v>
      </x:c>
      <x:c r="D316" s="71" t="str">
        <x:v>/journey/home/home-hero-tools</x:v>
      </x:c>
      <x:c r="E316" s="71" t="str">
        <x:v>HomeHeroTools</x:v>
      </x:c>
      <x:c r="F316" s="71" t="str">
        <x:v>Default</x:v>
      </x:c>
      <x:c r="G316" s="71" t="str">
        <x:v>Body copy</x:v>
      </x:c>
      <x:c r="H316" s="71" t="str">
        <x:v>Everything in one place, before you go.</x:v>
      </x:c>
      <x:c r="I316" s="71" t="str">
        <x:v>Everything in one place, before you go.</x:v>
      </x:c>
      <x:c r="J316" s="73"/>
      <x:c r="K316" s="74" t="str">
        <x:f>IF(J316="",H316,IF(J316=I316,I316,J316))</x:f>
        <x:v>Everything in one place, before you go.</x:v>
      </x:c>
      <x:c r="L316" s="74" t="str">
        <x:f>IF(J316="","Keep current",IF(J316=I316,"Use suggestion","Custom"))</x:f>
        <x:v>Keep current</x:v>
      </x:c>
      <x:c r="M316" s="71" t="str">
        <x:v>Pending review</x:v>
      </x:c>
      <x:c r="N316" s="71" t="str">
        <x:v>Normal</x:v>
      </x:c>
      <x:c r="O316" s="71" t="str">
        <x:v>app/journey/home/home-hero-tools.tsx</x:v>
      </x:c>
      <x:c r="P316" s="71" t="str">
        <x:v>HomeHeroTools:52</x:v>
      </x:c>
      <x:c r="Q316" s="71" t="str">
        <x:v>EN</x:v>
      </x:c>
      <x:c r="R316" s="71" t="str">
        <x:v>Already clear and direct; suggested wording intentionally keeps the current copy. Terminology watch: ‘trip’ and ‘journey’ both describe the same plan. Terminology watch: ‘stops’, ‘destinations’ and ‘places’ overlap.</x:v>
      </x:c>
      <x:c r="S316" s="75" t="str">
        <x:v>Not applied — review required</x:v>
      </x:c>
    </x:row>
    <x:row r="317">
      <x:c r="A317" s="71" t="str">
        <x:v>MRV-2E3A4F7913</x:v>
      </x:c>
      <x:c r="B317" s="71" t="str">
        <x:v>Acquisition</x:v>
      </x:c>
      <x:c r="C317" s="71" t="str">
        <x:v>Homepage</x:v>
      </x:c>
      <x:c r="D317" s="71" t="str">
        <x:v>/journey/home/home-proof</x:v>
      </x:c>
      <x:c r="E317" s="71" t="str">
        <x:v>copy</x:v>
      </x:c>
      <x:c r="F317" s="71" t="str">
        <x:v>Default</x:v>
      </x:c>
      <x:c r="G317" s="71" t="str">
        <x:v>Tooltip</x:v>
      </x:c>
      <x:c r="H317" s="71" t="str">
        <x:v>See the decision before the detail.</x:v>
      </x:c>
      <x:c r="I317" s="71" t="str">
        <x:v>See the decision before the detail.</x:v>
      </x:c>
      <x:c r="J317" s="73"/>
      <x:c r="K317" s="74" t="str">
        <x:f>IF(J317="",H317,IF(J317=I317,I317,J317))</x:f>
        <x:v>See the decision before the detail.</x:v>
      </x:c>
      <x:c r="L317" s="74" t="str">
        <x:f>IF(J317="","Keep current",IF(J317=I317,"Use suggestion","Custom"))</x:f>
        <x:v>Keep current</x:v>
      </x:c>
      <x:c r="M317" s="71" t="str">
        <x:v>Pending review</x:v>
      </x:c>
      <x:c r="N317" s="71" t="str">
        <x:v>Normal</x:v>
      </x:c>
      <x:c r="O317" s="71" t="str">
        <x:v>app/journey/home/home-proof.tsx</x:v>
      </x:c>
      <x:c r="P317" s="71" t="str">
        <x:v>copy:11</x:v>
      </x:c>
      <x:c r="Q317" s="71" t="str">
        <x:v>EN (default / shared)</x:v>
      </x:c>
      <x:c r="R317" s="71" t="str">
        <x:v>Already clear and direct; suggested wording intentionally keeps the current copy. Duplicate wording: appears 2 times.</x:v>
      </x:c>
      <x:c r="S317" s="75" t="str">
        <x:v>Not applied — review required</x:v>
      </x:c>
    </x:row>
    <x:row r="318">
      <x:c r="A318" s="71" t="str">
        <x:v>MRV-FB0E99B617</x:v>
      </x:c>
      <x:c r="B318" s="71" t="str">
        <x:v>Acquisition</x:v>
      </x:c>
      <x:c r="C318" s="71" t="str">
        <x:v>Homepage</x:v>
      </x:c>
      <x:c r="D318" s="71" t="str">
        <x:v>/journey/home/home-proof</x:v>
      </x:c>
      <x:c r="E318" s="71" t="str">
        <x:v>copy</x:v>
      </x:c>
      <x:c r="F318" s="71" t="str">
        <x:v>Default</x:v>
      </x:c>
      <x:c r="G318" s="71" t="str">
        <x:v>Tooltip</x:v>
      </x:c>
      <x:c r="H318" s="71" t="str">
        <x:v>Ve la decisión antes que el detalle.</x:v>
      </x:c>
      <x:c r="I318" s="71" t="str">
        <x:v>Ve la decisión antes que el detalle.</x:v>
      </x:c>
      <x:c r="J318" s="73"/>
      <x:c r="K318" s="74" t="str">
        <x:f>IF(J318="",H318,IF(J318=I318,I318,J318))</x:f>
        <x:v>Ve la decisión antes que el detalle.</x:v>
      </x:c>
      <x:c r="L318" s="74" t="str">
        <x:f>IF(J318="","Keep current",IF(J318=I318,"Use suggestion","Custom"))</x:f>
        <x:v>Keep current</x:v>
      </x:c>
      <x:c r="M318" s="71" t="str">
        <x:v>Pending review</x:v>
      </x:c>
      <x:c r="N318" s="71" t="str">
        <x:v>Normal</x:v>
      </x:c>
      <x:c r="O318" s="71" t="str">
        <x:v>app/journey/home/home-proof.tsx</x:v>
      </x:c>
      <x:c r="P318" s="71" t="str">
        <x:v>copy:19</x:v>
      </x:c>
      <x:c r="Q318" s="71" t="str">
        <x:v>EN (default / shared)</x:v>
      </x:c>
      <x:c r="R318" s="71" t="str">
        <x:v>Already clear and direct; suggested wording intentionally keeps the current copy. Duplicate wording: appears 2 times.</x:v>
      </x:c>
      <x:c r="S318" s="75" t="str">
        <x:v>Not applied — review required</x:v>
      </x:c>
    </x:row>
    <x:row r="319">
      <x:c r="A319" s="71" t="str">
        <x:v>MRV-CF98A619E0</x:v>
      </x:c>
      <x:c r="B319" s="71" t="str">
        <x:v>Acquisition</x:v>
      </x:c>
      <x:c r="C319" s="71" t="str">
        <x:v>Homepage</x:v>
      </x:c>
      <x:c r="D319" s="71" t="str">
        <x:v>/journey/home/home-proof</x:v>
      </x:c>
      <x:c r="E319" s="71" t="str">
        <x:v>HomeProof</x:v>
      </x:c>
      <x:c r="F319" s="71" t="str">
        <x:v>Default</x:v>
      </x:c>
      <x:c r="G319" s="71" t="str">
        <x:v>Body copy</x:v>
      </x:c>
      <x:c r="H319" s="71" t="str">
        <x:v>VE LA DECISIÓN ANTES QUE EL DETALLE</x:v>
      </x:c>
      <x:c r="I319" s="71" t="str">
        <x:v>VE LA DECISIÓN ANTES QUE EL DETALLE</x:v>
      </x:c>
      <x:c r="J319" s="73"/>
      <x:c r="K319" s="74" t="str">
        <x:f>IF(J319="",H319,IF(J319=I319,I319,J319))</x:f>
        <x:v>VE LA DECISIÓN ANTES QUE EL DETALLE</x:v>
      </x:c>
      <x:c r="L319" s="74" t="str">
        <x:f>IF(J319="","Keep current",IF(J319=I319,"Use suggestion","Custom"))</x:f>
        <x:v>Keep current</x:v>
      </x:c>
      <x:c r="M319" s="71" t="str">
        <x:v>Pending review</x:v>
      </x:c>
      <x:c r="N319" s="71" t="str">
        <x:v>Normal</x:v>
      </x:c>
      <x:c r="O319" s="71" t="str">
        <x:v>app/journey/home/home-proof.tsx</x:v>
      </x:c>
      <x:c r="P319" s="71" t="str">
        <x:v>HomeProof:39</x:v>
      </x:c>
      <x:c r="Q319" s="71" t="str">
        <x:v>ES</x:v>
      </x:c>
      <x:c r="R319" s="71" t="str">
        <x:v>Already clear and direct; suggested wording intentionally keeps the current copy. Duplicate wording: appears 2 times.</x:v>
      </x:c>
      <x:c r="S319" s="75" t="str">
        <x:v>Not applied — review required</x:v>
      </x:c>
    </x:row>
    <x:row r="320">
      <x:c r="A320" s="71" t="str">
        <x:v>MRV-7D105D90CB</x:v>
      </x:c>
      <x:c r="B320" s="71" t="str">
        <x:v>Acquisition</x:v>
      </x:c>
      <x:c r="C320" s="71" t="str">
        <x:v>Homepage</x:v>
      </x:c>
      <x:c r="D320" s="71" t="str">
        <x:v>/journey/home/home-proof</x:v>
      </x:c>
      <x:c r="E320" s="71" t="str">
        <x:v>HomeProof</x:v>
      </x:c>
      <x:c r="F320" s="71" t="str">
        <x:v>Default</x:v>
      </x:c>
      <x:c r="G320" s="71" t="str">
        <x:v>Body copy</x:v>
      </x:c>
      <x:c r="H320" s="71" t="str">
        <x:v>SEE THE DECISION BEFORE THE DETAIL</x:v>
      </x:c>
      <x:c r="I320" s="71" t="str">
        <x:v>SEE THE DECISION BEFORE THE DETAIL</x:v>
      </x:c>
      <x:c r="J320" s="73"/>
      <x:c r="K320" s="74" t="str">
        <x:f>IF(J320="",H320,IF(J320=I320,I320,J320))</x:f>
        <x:v>SEE THE DECISION BEFORE THE DETAIL</x:v>
      </x:c>
      <x:c r="L320" s="74" t="str">
        <x:f>IF(J320="","Keep current",IF(J320=I320,"Use suggestion","Custom"))</x:f>
        <x:v>Keep current</x:v>
      </x:c>
      <x:c r="M320" s="71" t="str">
        <x:v>Pending review</x:v>
      </x:c>
      <x:c r="N320" s="71" t="str">
        <x:v>Normal</x:v>
      </x:c>
      <x:c r="O320" s="71" t="str">
        <x:v>app/journey/home/home-proof.tsx</x:v>
      </x:c>
      <x:c r="P320" s="71" t="str">
        <x:v>HomeProof:39</x:v>
      </x:c>
      <x:c r="Q320" s="71" t="str">
        <x:v>EN</x:v>
      </x:c>
      <x:c r="R320" s="71" t="str">
        <x:v>Already clear and direct; suggested wording intentionally keeps the current copy. Duplicate wording: appears 2 times.</x:v>
      </x:c>
      <x:c r="S320" s="75" t="str">
        <x:v>Not applied — review required</x:v>
      </x:c>
    </x:row>
    <x:row r="321">
      <x:c r="A321" s="71" t="str">
        <x:v>MRV-301ACD5152</x:v>
      </x:c>
      <x:c r="B321" s="71" t="str">
        <x:v>Acquisition</x:v>
      </x:c>
      <x:c r="C321" s="71" t="str">
        <x:v>Homepage</x:v>
      </x:c>
      <x:c r="D321" s="71" t="str">
        <x:v>/journey/home/home-proof</x:v>
      </x:c>
      <x:c r="E321" s="71" t="str">
        <x:v>HomeProof</x:v>
      </x:c>
      <x:c r="F321" s="71" t="str">
        <x:v>Default</x:v>
      </x:c>
      <x:c r="G321" s="71" t="str">
        <x:v>Body copy</x:v>
      </x:c>
      <x:c r="H321" s="71" t="str">
        <x:v>Un camino más claro de la idea al itinerario.</x:v>
      </x:c>
      <x:c r="I321" s="71" t="str">
        <x:v>Un camino más claro de la idea al itinerario.</x:v>
      </x:c>
      <x:c r="J321" s="73"/>
      <x:c r="K321" s="74" t="str">
        <x:f>IF(J321="",H321,IF(J321=I321,I321,J321))</x:f>
        <x:v>Un camino más claro de la idea al itinerario.</x:v>
      </x:c>
      <x:c r="L321" s="74" t="str">
        <x:f>IF(J321="","Keep current",IF(J321=I321,"Use suggestion","Custom"))</x:f>
        <x:v>Keep current</x:v>
      </x:c>
      <x:c r="M321" s="71" t="str">
        <x:v>Pending review</x:v>
      </x:c>
      <x:c r="N321" s="71" t="str">
        <x:v>Normal</x:v>
      </x:c>
      <x:c r="O321" s="71" t="str">
        <x:v>app/journey/home/home-proof.tsx</x:v>
      </x:c>
      <x:c r="P321" s="71" t="str">
        <x:v>HomeProof:39</x:v>
      </x:c>
      <x:c r="Q321" s="71" t="str">
        <x:v>ES</x:v>
      </x:c>
      <x:c r="R321" s="71" t="str">
        <x:v>Already clear and direct; suggested wording intentionally keeps the current copy.</x:v>
      </x:c>
      <x:c r="S321" s="75" t="str">
        <x:v>Not applied — review required</x:v>
      </x:c>
    </x:row>
    <x:row r="322">
      <x:c r="A322" s="71" t="str">
        <x:v>MRV-554C4F940E</x:v>
      </x:c>
      <x:c r="B322" s="71" t="str">
        <x:v>Acquisition</x:v>
      </x:c>
      <x:c r="C322" s="71" t="str">
        <x:v>Homepage</x:v>
      </x:c>
      <x:c r="D322" s="71" t="str">
        <x:v>/journey/home/home-proof</x:v>
      </x:c>
      <x:c r="E322" s="71" t="str">
        <x:v>HomeProof</x:v>
      </x:c>
      <x:c r="F322" s="71" t="str">
        <x:v>Default</x:v>
      </x:c>
      <x:c r="G322" s="71" t="str">
        <x:v>Body copy</x:v>
      </x:c>
      <x:c r="H322" s="71" t="str">
        <x:v>A clearer path from idea to itinerary.</x:v>
      </x:c>
      <x:c r="I322" s="71" t="str">
        <x:v>A clearer path from idea to itinerary.</x:v>
      </x:c>
      <x:c r="J322" s="73"/>
      <x:c r="K322" s="74" t="str">
        <x:f>IF(J322="",H322,IF(J322=I322,I322,J322))</x:f>
        <x:v>A clearer path from idea to itinerary.</x:v>
      </x:c>
      <x:c r="L322" s="74" t="str">
        <x:f>IF(J322="","Keep current",IF(J322=I322,"Use suggestion","Custom"))</x:f>
        <x:v>Keep current</x:v>
      </x:c>
      <x:c r="M322" s="71" t="str">
        <x:v>Pending review</x:v>
      </x:c>
      <x:c r="N322" s="71" t="str">
        <x:v>Normal</x:v>
      </x:c>
      <x:c r="O322" s="71" t="str">
        <x:v>app/journey/home/home-proof.tsx</x:v>
      </x:c>
      <x:c r="P322" s="71" t="str">
        <x:v>HomeProof:39</x:v>
      </x:c>
      <x:c r="Q322" s="71" t="str">
        <x:v>EN</x:v>
      </x:c>
      <x:c r="R322" s="71" t="str">
        <x:v>Already clear and direct; suggested wording intentionally keeps the current copy.</x:v>
      </x:c>
      <x:c r="S322" s="75" t="str">
        <x:v>Not applied — review required</x:v>
      </x:c>
    </x:row>
    <x:row r="323">
      <x:c r="A323" s="71" t="str">
        <x:v>MRV-9F619D09BE</x:v>
      </x:c>
      <x:c r="B323" s="71" t="str">
        <x:v>Acquisition</x:v>
      </x:c>
      <x:c r="C323" s="71" t="str">
        <x:v>Homepage</x:v>
      </x:c>
      <x:c r="D323" s="71" t="str">
        <x:v>/journey/home/home-trip-starter</x:v>
      </x:c>
      <x:c r="E323" s="71" t="str">
        <x:v>submit</x:v>
      </x:c>
      <x:c r="F323" s="71" t="str">
        <x:v>Failure / recovery</x:v>
      </x:c>
      <x:c r="G323" s="71" t="str">
        <x:v>Label</x:v>
      </x:c>
      <x:c r="H323" s="71" t="str">
        <x:v>Capture failed</x:v>
      </x:c>
      <x:c r="I323" s="71" t="str">
        <x:v>Capture failed</x:v>
      </x:c>
      <x:c r="J323" s="73"/>
      <x:c r="K323" s="74" t="str">
        <x:f>IF(J323="",H323,IF(J323=I323,I323,J323))</x:f>
        <x:v>Capture failed</x:v>
      </x:c>
      <x:c r="L323" s="74" t="str">
        <x:f>IF(J323="","Keep current",IF(J323=I323,"Use suggestion","Custom"))</x:f>
        <x:v>Keep current</x:v>
      </x:c>
      <x:c r="M323" s="71" t="str">
        <x:v>Pending review</x:v>
      </x:c>
      <x:c r="N323" s="71" t="str">
        <x:v>High</x:v>
      </x:c>
      <x:c r="O323" s="71" t="str">
        <x:v>app/journey/home/home-trip-starter.tsx</x:v>
      </x:c>
      <x:c r="P323" s="71" t="str">
        <x:v>submit:90</x:v>
      </x:c>
      <x:c r="Q323" s="71" t="str">
        <x:v>EN (default / shared)</x:v>
      </x:c>
      <x:c r="R323" s="71" t="str">
        <x:v>Already clear and direct; suggested wording intentionally keeps the current copy.</x:v>
      </x:c>
      <x:c r="S323" s="75" t="str">
        <x:v>Not applied — review required</x:v>
      </x:c>
    </x:row>
    <x:row r="324">
      <x:c r="A324" s="71" t="str">
        <x:v>MRV-3A0455321E</x:v>
      </x:c>
      <x:c r="B324" s="71" t="str">
        <x:v>Acquisition</x:v>
      </x:c>
      <x:c r="C324" s="71" t="str">
        <x:v>Homepage</x:v>
      </x:c>
      <x:c r="D324" s="71" t="str">
        <x:v>/journey/home/home-trip-starter</x:v>
      </x:c>
      <x:c r="E324" s="71" t="str">
        <x:v>handoffId</x:v>
      </x:c>
      <x:c r="F324" s="71" t="str">
        <x:v>Default</x:v>
      </x:c>
      <x:c r="G324" s="71" t="str">
        <x:v>Body copy</x:v>
      </x:c>
      <x:c r="H324" s="71" t="str">
        <x:v>{Date.now()}-{Math.random().toString(36).slice(2)}</x:v>
      </x:c>
      <x:c r="I324" s="71" t="str">
        <x:v>{Date.now()}-{Math.random().toString(36).slice(2)}</x:v>
      </x:c>
      <x:c r="J324" s="73"/>
      <x:c r="K324" s="74" t="str">
        <x:f>IF(J324="",H324,IF(J324=I324,I324,J324))</x:f>
        <x:v>{Date.now()}-{Math.random().toString(36).slice(2)}</x:v>
      </x:c>
      <x:c r="L324" s="74" t="str">
        <x:f>IF(J324="","Keep current",IF(J324=I324,"Use suggestion","Custom"))</x:f>
        <x:v>Keep current</x:v>
      </x:c>
      <x:c r="M324" s="71" t="str">
        <x:v>Pending review</x:v>
      </x:c>
      <x:c r="N324" s="71" t="str">
        <x:v>Normal</x:v>
      </x:c>
      <x:c r="O324" s="71" t="str">
        <x:v>app/journey/home/home-trip-starter.tsx</x:v>
      </x:c>
      <x:c r="P324" s="71" t="str">
        <x:v>handoffId:94</x:v>
      </x:c>
      <x:c r="Q324" s="71" t="str">
        <x:v>EN (default / shared)</x:v>
      </x:c>
      <x:c r="R324" s="71" t="str">
        <x:v>Already clear and direct; suggested wording intentionally keeps the current copy. Dynamic traveller or trip value is represented as a token; user-generated values are excluded.</x:v>
      </x:c>
      <x:c r="S324" s="75" t="str">
        <x:v>Not applied — review required</x:v>
      </x:c>
    </x:row>
    <x:row r="325">
      <x:c r="A325" s="71" t="str">
        <x:v>MRV-DC0F11A372</x:v>
      </x:c>
      <x:c r="B325" s="71" t="str">
        <x:v>Acquisition</x:v>
      </x:c>
      <x:c r="C325" s="71" t="str">
        <x:v>Homepage</x:v>
      </x:c>
      <x:c r="D325" s="71" t="str">
        <x:v>/journey/home/home-trip-starter</x:v>
      </x:c>
      <x:c r="E325" s="71" t="str">
        <x:v>submit</x:v>
      </x:c>
      <x:c r="F325" s="71" t="str">
        <x:v>Failure / recovery</x:v>
      </x:c>
      <x:c r="G325" s="71" t="str">
        <x:v>Body copy</x:v>
      </x:c>
      <x:c r="H325" s="71" t="str">
        <x:v>No pudimos entender tu viaje. Inténtalo de nuevo.</x:v>
      </x:c>
      <x:c r="I325" s="71" t="str">
        <x:v>No pudimos entender tu viaje. Inténtalo de nuevo.</x:v>
      </x:c>
      <x:c r="J325" s="73"/>
      <x:c r="K325" s="74" t="str">
        <x:f>IF(J325="",H325,IF(J325=I325,I325,J325))</x:f>
        <x:v>No pudimos entender tu viaje. Inténtalo de nuevo.</x:v>
      </x:c>
      <x:c r="L325" s="74" t="str">
        <x:f>IF(J325="","Keep current",IF(J325=I325,"Use suggestion","Custom"))</x:f>
        <x:v>Keep current</x:v>
      </x:c>
      <x:c r="M325" s="71" t="str">
        <x:v>Pending review</x:v>
      </x:c>
      <x:c r="N325" s="71" t="str">
        <x:v>High</x:v>
      </x:c>
      <x:c r="O325" s="71" t="str">
        <x:v>app/journey/home/home-trip-starter.tsx</x:v>
      </x:c>
      <x:c r="P325" s="71" t="str">
        <x:v>submit:107</x:v>
      </x:c>
      <x:c r="Q325" s="71" t="str">
        <x:v>ES</x:v>
      </x:c>
      <x:c r="R325" s="71" t="str">
        <x:v>Already clear and direct; suggested wording intentionally keeps the current copy.</x:v>
      </x:c>
      <x:c r="S325" s="75" t="str">
        <x:v>Not applied — review required</x:v>
      </x:c>
    </x:row>
    <x:row r="326">
      <x:c r="A326" s="71" t="str">
        <x:v>MRV-3B26829046</x:v>
      </x:c>
      <x:c r="B326" s="71" t="str">
        <x:v>Acquisition</x:v>
      </x:c>
      <x:c r="C326" s="71" t="str">
        <x:v>Homepage</x:v>
      </x:c>
      <x:c r="D326" s="71" t="str">
        <x:v>/journey/home/home-trip-starter</x:v>
      </x:c>
      <x:c r="E326" s="71" t="str">
        <x:v>submit</x:v>
      </x:c>
      <x:c r="F326" s="71" t="str">
        <x:v>Failure / recovery</x:v>
      </x:c>
      <x:c r="G326" s="71" t="str">
        <x:v>Body copy</x:v>
      </x:c>
      <x:c r="H326" s="71" t="str">
        <x:v>We couldn't understand your trip. Please try again.</x:v>
      </x:c>
      <x:c r="I326" s="71" t="str">
        <x:v>We couldn't understand your trip. Try again.</x:v>
      </x:c>
      <x:c r="J326" s="73"/>
      <x:c r="K326" s="74" t="str">
        <x:f>IF(J326="",H326,IF(J326=I326,I326,J326))</x:f>
        <x:v>We couldn't understand your trip. Please try again.</x:v>
      </x:c>
      <x:c r="L326" s="74" t="str">
        <x:f>IF(J326="","Keep current",IF(J326=I326,"Use suggestion","Custom"))</x:f>
        <x:v>Keep current</x:v>
      </x:c>
      <x:c r="M326" s="71" t="str">
        <x:v>Pending review</x:v>
      </x:c>
      <x:c r="N326" s="71" t="str">
        <x:v>High</x:v>
      </x:c>
      <x:c r="O326" s="71" t="str">
        <x:v>app/journey/home/home-trip-starter.tsx</x:v>
      </x:c>
      <x:c r="P326" s="71" t="str">
        <x:v>submit:107</x:v>
      </x:c>
      <x:c r="Q326" s="71" t="str">
        <x:v>EN</x:v>
      </x:c>
      <x:c r="R326" s="71" t="str">
        <x:v>Simplified for a warmer, more direct action or recovery message. Terminology watch: ‘trip’ and ‘journey’ both describe the same plan. Terminology watch: ‘stops’, ‘destinations’ and ‘places’ overlap.</x:v>
      </x:c>
      <x:c r="S326" s="75" t="str">
        <x:v>Not applied — review required</x:v>
      </x:c>
    </x:row>
    <x:row r="327">
      <x:c r="A327" s="71" t="str">
        <x:v>MRV-4A9F948286</x:v>
      </x:c>
      <x:c r="B327" s="71" t="str">
        <x:v>Acquisition</x:v>
      </x:c>
      <x:c r="C327" s="71" t="str">
        <x:v>Homepage</x:v>
      </x:c>
      <x:c r="D327" s="71" t="str">
        <x:v>/journey/home/home-trip-starter</x:v>
      </x:c>
      <x:c r="E327" s="71" t="str">
        <x:v>HomeTripStarter</x:v>
      </x:c>
      <x:c r="F327" s="71" t="str">
        <x:v>Default</x:v>
      </x:c>
      <x:c r="G327" s="71" t="str">
        <x:v>Body copy</x:v>
      </x:c>
      <x:c r="H327" s="71" t="str">
        <x:v>{interests.length} {text.interests.toLowerCase()}</x:v>
      </x:c>
      <x:c r="I327" s="71" t="str">
        <x:v>{interests.length} {text.interests.toLowerCase()}</x:v>
      </x:c>
      <x:c r="J327" s="73"/>
      <x:c r="K327" s="74" t="str">
        <x:f>IF(J327="",H327,IF(J327=I327,I327,J327))</x:f>
        <x:v>{interests.length} {text.interests.toLowerCase()}</x:v>
      </x:c>
      <x:c r="L327" s="74" t="str">
        <x:f>IF(J327="","Keep current",IF(J327=I327,"Use suggestion","Custom"))</x:f>
        <x:v>Keep current</x:v>
      </x:c>
      <x:c r="M327" s="71" t="str">
        <x:v>Pending review</x:v>
      </x:c>
      <x:c r="N327" s="71" t="str">
        <x:v>Normal</x:v>
      </x:c>
      <x:c r="O327" s="71" t="str">
        <x:v>app/journey/home/home-trip-starter.tsx</x:v>
      </x:c>
      <x:c r="P327" s="71" t="str">
        <x:v>HomeTripStarter:136</x:v>
      </x:c>
      <x:c r="Q327" s="71" t="str">
        <x:v>EN (default / shared)</x:v>
      </x:c>
      <x:c r="R327" s="71" t="str">
        <x:v>Already clear and direct; suggested wording intentionally keeps the current copy. Dynamic traveller or trip value is represented as a token; user-generated values are excluded.</x:v>
      </x:c>
      <x:c r="S327" s="75" t="str">
        <x:v>Not applied — review required</x:v>
      </x:c>
    </x:row>
    <x:row r="328">
      <x:c r="A328" s="71" t="str">
        <x:v>MRV-0522944968</x:v>
      </x:c>
      <x:c r="B328" s="71" t="str">
        <x:v>Acquisition</x:v>
      </x:c>
      <x:c r="C328" s="71" t="str">
        <x:v>Homepage</x:v>
      </x:c>
      <x:c r="D328" s="71" t="str">
        <x:v>/journey/home/inspiration-explorer</x:v>
      </x:c>
      <x:c r="E328" s="71" t="str">
        <x:v>routes</x:v>
      </x:c>
      <x:c r="F328" s="71" t="str">
        <x:v>Default</x:v>
      </x:c>
      <x:c r="G328" s="71" t="str">
        <x:v>Tooltip</x:v>
      </x:c>
      <x:c r="H328" s="71" t="str">
        <x:v>Peru + Bolivia</x:v>
      </x:c>
      <x:c r="I328" s="71" t="str">
        <x:v>Peru + Bolivia</x:v>
      </x:c>
      <x:c r="J328" s="73"/>
      <x:c r="K328" s="74" t="str">
        <x:f>IF(J328="",H328,IF(J328=I328,I328,J328))</x:f>
        <x:v>Peru + Bolivia</x:v>
      </x:c>
      <x:c r="L328" s="74" t="str">
        <x:f>IF(J328="","Keep current",IF(J328=I328,"Use suggestion","Custom"))</x:f>
        <x:v>Keep current</x:v>
      </x:c>
      <x:c r="M328" s="71" t="str">
        <x:v>Pending review</x:v>
      </x:c>
      <x:c r="N328" s="71" t="str">
        <x:v>Normal</x:v>
      </x:c>
      <x:c r="O328" s="71" t="str">
        <x:v>app/journey/home/inspiration-explorer.tsx</x:v>
      </x:c>
      <x:c r="P328" s="71" t="str">
        <x:v>routes:12</x:v>
      </x:c>
      <x:c r="Q328" s="71" t="str">
        <x:v>EN (default / shared)</x:v>
      </x:c>
      <x:c r="R328" s="71" t="str">
        <x:v>Already clear and direct; suggested wording intentionally keeps the current copy.</x:v>
      </x:c>
      <x:c r="S328" s="75" t="str">
        <x:v>Not applied — review required</x:v>
      </x:c>
    </x:row>
    <x:row r="329">
      <x:c r="A329" s="71" t="str">
        <x:v>MRV-B34DE30DE3</x:v>
      </x:c>
      <x:c r="B329" s="71" t="str">
        <x:v>Acquisition</x:v>
      </x:c>
      <x:c r="C329" s="71" t="str">
        <x:v>Homepage</x:v>
      </x:c>
      <x:c r="D329" s="71" t="str">
        <x:v>/journey/home/inspiration-explorer</x:v>
      </x:c>
      <x:c r="E329" s="71" t="str">
        <x:v>routes</x:v>
      </x:c>
      <x:c r="F329" s="71" t="str">
        <x:v>Default</x:v>
      </x:c>
      <x:c r="G329" s="71" t="str">
        <x:v>Tooltip</x:v>
      </x:c>
      <x:c r="H329" s="71" t="str">
        <x:v>Perú + Bolivia</x:v>
      </x:c>
      <x:c r="I329" s="71" t="str">
        <x:v>Perú + Bolivia</x:v>
      </x:c>
      <x:c r="J329" s="73"/>
      <x:c r="K329" s="74" t="str">
        <x:f>IF(J329="",H329,IF(J329=I329,I329,J329))</x:f>
        <x:v>Perú + Bolivia</x:v>
      </x:c>
      <x:c r="L329" s="74" t="str">
        <x:f>IF(J329="","Keep current",IF(J329=I329,"Use suggestion","Custom"))</x:f>
        <x:v>Keep current</x:v>
      </x:c>
      <x:c r="M329" s="71" t="str">
        <x:v>Pending review</x:v>
      </x:c>
      <x:c r="N329" s="71" t="str">
        <x:v>Normal</x:v>
      </x:c>
      <x:c r="O329" s="71" t="str">
        <x:v>app/journey/home/inspiration-explorer.tsx</x:v>
      </x:c>
      <x:c r="P329" s="71" t="str">
        <x:v>routes:12</x:v>
      </x:c>
      <x:c r="Q329" s="71" t="str">
        <x:v>EN (default / shared)</x:v>
      </x:c>
      <x:c r="R329" s="71" t="str">
        <x:v>Already clear and direct; suggested wording intentionally keeps the current copy.</x:v>
      </x:c>
      <x:c r="S329" s="75" t="str">
        <x:v>Not applied — review required</x:v>
      </x:c>
    </x:row>
    <x:row r="330">
      <x:c r="A330" s="71" t="str">
        <x:v>MRV-BC973FD4F6</x:v>
      </x:c>
      <x:c r="B330" s="71" t="str">
        <x:v>Acquisition</x:v>
      </x:c>
      <x:c r="C330" s="71" t="str">
        <x:v>Homepage</x:v>
      </x:c>
      <x:c r="D330" s="71" t="str">
        <x:v>/journey/home/inspiration-explorer</x:v>
      </x:c>
      <x:c r="E330" s="71" t="str">
        <x:v>routes</x:v>
      </x:c>
      <x:c r="F330" s="71" t="str">
        <x:v>Default</x:v>
      </x:c>
      <x:c r="G330" s="71" t="str">
        <x:v>Tooltip</x:v>
      </x:c>
      <x:c r="H330" s="71" t="str">
        <x:v>Spain + Portugal</x:v>
      </x:c>
      <x:c r="I330" s="71" t="str">
        <x:v>Spain + Portugal</x:v>
      </x:c>
      <x:c r="J330" s="73"/>
      <x:c r="K330" s="74" t="str">
        <x:f>IF(J330="",H330,IF(J330=I330,I330,J330))</x:f>
        <x:v>Spain + Portugal</x:v>
      </x:c>
      <x:c r="L330" s="74" t="str">
        <x:f>IF(J330="","Keep current",IF(J330=I330,"Use suggestion","Custom"))</x:f>
        <x:v>Keep current</x:v>
      </x:c>
      <x:c r="M330" s="71" t="str">
        <x:v>Pending review</x:v>
      </x:c>
      <x:c r="N330" s="71" t="str">
        <x:v>Normal</x:v>
      </x:c>
      <x:c r="O330" s="71" t="str">
        <x:v>app/journey/home/inspiration-explorer.tsx</x:v>
      </x:c>
      <x:c r="P330" s="71" t="str">
        <x:v>routes:13</x:v>
      </x:c>
      <x:c r="Q330" s="71" t="str">
        <x:v>EN (default / shared)</x:v>
      </x:c>
      <x:c r="R330" s="71" t="str">
        <x:v>Already clear and direct; suggested wording intentionally keeps the current copy.</x:v>
      </x:c>
      <x:c r="S330" s="75" t="str">
        <x:v>Not applied — review required</x:v>
      </x:c>
    </x:row>
    <x:row r="331">
      <x:c r="A331" s="71" t="str">
        <x:v>MRV-F9C0F7E937</x:v>
      </x:c>
      <x:c r="B331" s="71" t="str">
        <x:v>Acquisition</x:v>
      </x:c>
      <x:c r="C331" s="71" t="str">
        <x:v>Homepage</x:v>
      </x:c>
      <x:c r="D331" s="71" t="str">
        <x:v>/journey/home/inspiration-explorer</x:v>
      </x:c>
      <x:c r="E331" s="71" t="str">
        <x:v>routes</x:v>
      </x:c>
      <x:c r="F331" s="71" t="str">
        <x:v>Default</x:v>
      </x:c>
      <x:c r="G331" s="71" t="str">
        <x:v>Tooltip</x:v>
      </x:c>
      <x:c r="H331" s="71" t="str">
        <x:v>España + Portugal</x:v>
      </x:c>
      <x:c r="I331" s="71" t="str">
        <x:v>España + Portugal</x:v>
      </x:c>
      <x:c r="J331" s="73"/>
      <x:c r="K331" s="74" t="str">
        <x:f>IF(J331="",H331,IF(J331=I331,I331,J331))</x:f>
        <x:v>España + Portugal</x:v>
      </x:c>
      <x:c r="L331" s="74" t="str">
        <x:f>IF(J331="","Keep current",IF(J331=I331,"Use suggestion","Custom"))</x:f>
        <x:v>Keep current</x:v>
      </x:c>
      <x:c r="M331" s="71" t="str">
        <x:v>Pending review</x:v>
      </x:c>
      <x:c r="N331" s="71" t="str">
        <x:v>Normal</x:v>
      </x:c>
      <x:c r="O331" s="71" t="str">
        <x:v>app/journey/home/inspiration-explorer.tsx</x:v>
      </x:c>
      <x:c r="P331" s="71" t="str">
        <x:v>routes:13</x:v>
      </x:c>
      <x:c r="Q331" s="71" t="str">
        <x:v>EN (default / shared)</x:v>
      </x:c>
      <x:c r="R331" s="71" t="str">
        <x:v>Already clear and direct; suggested wording intentionally keeps the current copy.</x:v>
      </x:c>
      <x:c r="S331" s="75" t="str">
        <x:v>Not applied — review required</x:v>
      </x:c>
    </x:row>
    <x:row r="332">
      <x:c r="A332" s="71" t="str">
        <x:v>MRV-9C673FB158</x:v>
      </x:c>
      <x:c r="B332" s="71" t="str">
        <x:v>Acquisition</x:v>
      </x:c>
      <x:c r="C332" s="71" t="str">
        <x:v>Homepage</x:v>
      </x:c>
      <x:c r="D332" s="71" t="str">
        <x:v>/journey/home/inspiration-explorer</x:v>
      </x:c>
      <x:c r="E332" s="71" t="str">
        <x:v>routes</x:v>
      </x:c>
      <x:c r="F332" s="71" t="str">
        <x:v>Default</x:v>
      </x:c>
      <x:c r="G332" s="71" t="str">
        <x:v>Tooltip</x:v>
      </x:c>
      <x:c r="H332" s="71" t="str">
        <x:v>Vietnam + Thailand + Cambodia</x:v>
      </x:c>
      <x:c r="I332" s="71" t="str">
        <x:v>Vietnam + Thailand + Cambodia</x:v>
      </x:c>
      <x:c r="J332" s="73"/>
      <x:c r="K332" s="74" t="str">
        <x:f>IF(J332="",H332,IF(J332=I332,I332,J332))</x:f>
        <x:v>Vietnam + Thailand + Cambodia</x:v>
      </x:c>
      <x:c r="L332" s="74" t="str">
        <x:f>IF(J332="","Keep current",IF(J332=I332,"Use suggestion","Custom"))</x:f>
        <x:v>Keep current</x:v>
      </x:c>
      <x:c r="M332" s="71" t="str">
        <x:v>Pending review</x:v>
      </x:c>
      <x:c r="N332" s="71" t="str">
        <x:v>Normal</x:v>
      </x:c>
      <x:c r="O332" s="71" t="str">
        <x:v>app/journey/home/inspiration-explorer.tsx</x:v>
      </x:c>
      <x:c r="P332" s="71" t="str">
        <x:v>routes:14</x:v>
      </x:c>
      <x:c r="Q332" s="71" t="str">
        <x:v>EN (default / shared)</x:v>
      </x:c>
      <x:c r="R332" s="71" t="str">
        <x:v>Already clear and direct; suggested wording intentionally keeps the current copy.</x:v>
      </x:c>
      <x:c r="S332" s="75" t="str">
        <x:v>Not applied — review required</x:v>
      </x:c>
    </x:row>
    <x:row r="333">
      <x:c r="A333" s="71" t="str">
        <x:v>MRV-9D19DAFAFC</x:v>
      </x:c>
      <x:c r="B333" s="71" t="str">
        <x:v>Acquisition</x:v>
      </x:c>
      <x:c r="C333" s="71" t="str">
        <x:v>Homepage</x:v>
      </x:c>
      <x:c r="D333" s="71" t="str">
        <x:v>/journey/home/inspiration-explorer</x:v>
      </x:c>
      <x:c r="E333" s="71" t="str">
        <x:v>routes</x:v>
      </x:c>
      <x:c r="F333" s="71" t="str">
        <x:v>Default</x:v>
      </x:c>
      <x:c r="G333" s="71" t="str">
        <x:v>Tooltip</x:v>
      </x:c>
      <x:c r="H333" s="71" t="str">
        <x:v>Vietnam + Tailandia + Camboya</x:v>
      </x:c>
      <x:c r="I333" s="71" t="str">
        <x:v>Vietnam + Tailandia + Camboya</x:v>
      </x:c>
      <x:c r="J333" s="73"/>
      <x:c r="K333" s="74" t="str">
        <x:f>IF(J333="",H333,IF(J333=I333,I333,J333))</x:f>
        <x:v>Vietnam + Tailandia + Camboya</x:v>
      </x:c>
      <x:c r="L333" s="74" t="str">
        <x:f>IF(J333="","Keep current",IF(J333=I333,"Use suggestion","Custom"))</x:f>
        <x:v>Keep current</x:v>
      </x:c>
      <x:c r="M333" s="71" t="str">
        <x:v>Pending review</x:v>
      </x:c>
      <x:c r="N333" s="71" t="str">
        <x:v>Normal</x:v>
      </x:c>
      <x:c r="O333" s="71" t="str">
        <x:v>app/journey/home/inspiration-explorer.tsx</x:v>
      </x:c>
      <x:c r="P333" s="71" t="str">
        <x:v>routes:14</x:v>
      </x:c>
      <x:c r="Q333" s="71" t="str">
        <x:v>EN (default / shared)</x:v>
      </x:c>
      <x:c r="R333" s="71" t="str">
        <x:v>Already clear and direct; suggested wording intentionally keeps the current copy.</x:v>
      </x:c>
      <x:c r="S333" s="75" t="str">
        <x:v>Not applied — review required</x:v>
      </x:c>
    </x:row>
    <x:row r="334">
      <x:c r="A334" s="71" t="str">
        <x:v>MRV-041B4D1400</x:v>
      </x:c>
      <x:c r="B334" s="71" t="str">
        <x:v>Acquisition</x:v>
      </x:c>
      <x:c r="C334" s="71" t="str">
        <x:v>Homepage</x:v>
      </x:c>
      <x:c r="D334" s="71" t="str">
        <x:v>/journey/home/inspiration-explorer</x:v>
      </x:c>
      <x:c r="E334" s="71" t="str">
        <x:v>InspirationExplorer</x:v>
      </x:c>
      <x:c r="F334" s="71" t="str">
        <x:v>Default</x:v>
      </x:c>
      <x:c r="G334" s="71" t="str">
        <x:v>Label</x:v>
      </x:c>
      <x:c r="H334" s="71" t="str">
        <x:v>EXPLORA RUTAS MULTIPAÍS</x:v>
      </x:c>
      <x:c r="I334" s="71" t="str">
        <x:v>EXPLORA RUTAS MULTIPAÍS</x:v>
      </x:c>
      <x:c r="J334" s="73"/>
      <x:c r="K334" s="74" t="str">
        <x:f>IF(J334="",H334,IF(J334=I334,I334,J334))</x:f>
        <x:v>EXPLORA RUTAS MULTIPAÍS</x:v>
      </x:c>
      <x:c r="L334" s="74" t="str">
        <x:f>IF(J334="","Keep current",IF(J334=I334,"Use suggestion","Custom"))</x:f>
        <x:v>Keep current</x:v>
      </x:c>
      <x:c r="M334" s="71" t="str">
        <x:v>Pending review</x:v>
      </x:c>
      <x:c r="N334" s="71" t="str">
        <x:v>Normal</x:v>
      </x:c>
      <x:c r="O334" s="71" t="str">
        <x:v>app/journey/home/inspiration-explorer.tsx</x:v>
      </x:c>
      <x:c r="P334" s="71" t="str">
        <x:v>InspirationExplorer:41</x:v>
      </x:c>
      <x:c r="Q334" s="71" t="str">
        <x:v>ES</x:v>
      </x:c>
      <x:c r="R334" s="71" t="str">
        <x:v>Already clear and direct; suggested wording intentionally keeps the current copy.</x:v>
      </x:c>
      <x:c r="S334" s="75" t="str">
        <x:v>Not applied — review required</x:v>
      </x:c>
    </x:row>
    <x:row r="335">
      <x:c r="A335" s="71" t="str">
        <x:v>MRV-CDBD9146B6</x:v>
      </x:c>
      <x:c r="B335" s="71" t="str">
        <x:v>Acquisition</x:v>
      </x:c>
      <x:c r="C335" s="71" t="str">
        <x:v>Homepage</x:v>
      </x:c>
      <x:c r="D335" s="71" t="str">
        <x:v>/journey/home/inspiration-explorer</x:v>
      </x:c>
      <x:c r="E335" s="71" t="str">
        <x:v>InspirationExplorer</x:v>
      </x:c>
      <x:c r="F335" s="71" t="str">
        <x:v>Default</x:v>
      </x:c>
      <x:c r="G335" s="71" t="str">
        <x:v>CTA / button</x:v>
      </x:c>
      <x:c r="H335" s="71" t="str">
        <x:v>EXPLORE MULTI-COUNTRY ROUTES</x:v>
      </x:c>
      <x:c r="I335" s="71" t="str">
        <x:v>EXPLORE MULTI-COUNTRY ROUTES</x:v>
      </x:c>
      <x:c r="J335" s="73"/>
      <x:c r="K335" s="74" t="str">
        <x:f>IF(J335="",H335,IF(J335=I335,I335,J335))</x:f>
        <x:v>EXPLORE MULTI-COUNTRY ROUTES</x:v>
      </x:c>
      <x:c r="L335" s="74" t="str">
        <x:f>IF(J335="","Keep current",IF(J335=I335,"Use suggestion","Custom"))</x:f>
        <x:v>Keep current</x:v>
      </x:c>
      <x:c r="M335" s="71" t="str">
        <x:v>Pending review</x:v>
      </x:c>
      <x:c r="N335" s="71" t="str">
        <x:v>Medium</x:v>
      </x:c>
      <x:c r="O335" s="71" t="str">
        <x:v>app/journey/home/inspiration-explorer.tsx</x:v>
      </x:c>
      <x:c r="P335" s="71" t="str">
        <x:v>InspirationExplorer:41</x:v>
      </x:c>
      <x:c r="Q335" s="71" t="str">
        <x:v>EN</x:v>
      </x:c>
      <x:c r="R335" s="71" t="str">
        <x:v>Already clear and direct; suggested wording intentionally keeps the current copy.</x:v>
      </x:c>
      <x:c r="S335" s="75" t="str">
        <x:v>Not applied — review required</x:v>
      </x:c>
    </x:row>
    <x:row r="336">
      <x:c r="A336" s="71" t="str">
        <x:v>MRV-ADF4FEE046</x:v>
      </x:c>
      <x:c r="B336" s="71" t="str">
        <x:v>Acquisition</x:v>
      </x:c>
      <x:c r="C336" s="71" t="str">
        <x:v>Homepage</x:v>
      </x:c>
      <x:c r="D336" s="71" t="str">
        <x:v>/journey/home/inspiration-explorer</x:v>
      </x:c>
      <x:c r="E336" s="71" t="str">
        <x:v>InspirationExplorer</x:v>
      </x:c>
      <x:c r="F336" s="71" t="str">
        <x:v>Default</x:v>
      </x:c>
      <x:c r="G336" s="71" t="str">
        <x:v>Body copy</x:v>
      </x:c>
      <x:c r="H336" s="71" t="str">
        <x:v>Elige una ruta con una mirada propia.</x:v>
      </x:c>
      <x:c r="I336" s="71" t="str">
        <x:v>Elige una ruta con una mirada propia.</x:v>
      </x:c>
      <x:c r="J336" s="73"/>
      <x:c r="K336" s="74" t="str">
        <x:f>IF(J336="",H336,IF(J336=I336,I336,J336))</x:f>
        <x:v>Elige una ruta con una mirada propia.</x:v>
      </x:c>
      <x:c r="L336" s="74" t="str">
        <x:f>IF(J336="","Keep current",IF(J336=I336,"Use suggestion","Custom"))</x:f>
        <x:v>Keep current</x:v>
      </x:c>
      <x:c r="M336" s="71" t="str">
        <x:v>Pending review</x:v>
      </x:c>
      <x:c r="N336" s="71" t="str">
        <x:v>Normal</x:v>
      </x:c>
      <x:c r="O336" s="71" t="str">
        <x:v>app/journey/home/inspiration-explorer.tsx</x:v>
      </x:c>
      <x:c r="P336" s="71" t="str">
        <x:v>InspirationExplorer:41</x:v>
      </x:c>
      <x:c r="Q336" s="71" t="str">
        <x:v>ES</x:v>
      </x:c>
      <x:c r="R336" s="71" t="str">
        <x:v>Already clear and direct; suggested wording intentionally keeps the current copy.</x:v>
      </x:c>
      <x:c r="S336" s="75" t="str">
        <x:v>Not applied — review required</x:v>
      </x:c>
    </x:row>
    <x:row r="337">
      <x:c r="A337" s="71" t="str">
        <x:v>MRV-68A6CC74BC</x:v>
      </x:c>
      <x:c r="B337" s="71" t="str">
        <x:v>Acquisition</x:v>
      </x:c>
      <x:c r="C337" s="71" t="str">
        <x:v>Homepage</x:v>
      </x:c>
      <x:c r="D337" s="71" t="str">
        <x:v>/journey/home/inspiration-explorer</x:v>
      </x:c>
      <x:c r="E337" s="71" t="str">
        <x:v>InspirationExplorer</x:v>
      </x:c>
      <x:c r="F337" s="71" t="str">
        <x:v>Default</x:v>
      </x:c>
      <x:c r="G337" s="71" t="str">
        <x:v>Body copy</x:v>
      </x:c>
      <x:c r="H337" s="71" t="str">
        <x:v>Choose a route with a point of view.</x:v>
      </x:c>
      <x:c r="I337" s="71" t="str">
        <x:v>Choose a route with a point of view.</x:v>
      </x:c>
      <x:c r="J337" s="73"/>
      <x:c r="K337" s="74" t="str">
        <x:f>IF(J337="",H337,IF(J337=I337,I337,J337))</x:f>
        <x:v>Choose a route with a point of view.</x:v>
      </x:c>
      <x:c r="L337" s="74" t="str">
        <x:f>IF(J337="","Keep current",IF(J337=I337,"Use suggestion","Custom"))</x:f>
        <x:v>Keep current</x:v>
      </x:c>
      <x:c r="M337" s="71" t="str">
        <x:v>Pending review</x:v>
      </x:c>
      <x:c r="N337" s="71" t="str">
        <x:v>Normal</x:v>
      </x:c>
      <x:c r="O337" s="71" t="str">
        <x:v>app/journey/home/inspiration-explorer.tsx</x:v>
      </x:c>
      <x:c r="P337" s="71" t="str">
        <x:v>InspirationExplorer:41</x:v>
      </x:c>
      <x:c r="Q337" s="71" t="str">
        <x:v>EN</x:v>
      </x:c>
      <x:c r="R337" s="71" t="str">
        <x:v>Already clear and direct; suggested wording intentionally keeps the current copy.</x:v>
      </x:c>
      <x:c r="S337" s="75" t="str">
        <x:v>Not applied — review required</x:v>
      </x:c>
    </x:row>
    <x:row r="338">
      <x:c r="A338" s="71" t="str">
        <x:v>MRV-F6A795CAC3</x:v>
      </x:c>
      <x:c r="B338" s="71" t="str">
        <x:v>Acquisition</x:v>
      </x:c>
      <x:c r="C338" s="71" t="str">
        <x:v>Homepage</x:v>
      </x:c>
      <x:c r="D338" s="71" t="str">
        <x:v>/journey/home/inspiration-explorer</x:v>
      </x:c>
      <x:c r="E338" s="71" t="str">
        <x:v>InspirationExplorer</x:v>
      </x:c>
      <x:c r="F338" s="71" t="str">
        <x:v>Default</x:v>
      </x:c>
      <x:c r="G338" s="71" t="str">
        <x:v>Label</x:v>
      </x:c>
      <x:c r="H338" s="71" t="str">
        <x:v>Ver todas las rutas</x:v>
      </x:c>
      <x:c r="I338" s="71" t="str">
        <x:v>Ver todas las rutas</x:v>
      </x:c>
      <x:c r="J338" s="73"/>
      <x:c r="K338" s="74" t="str">
        <x:f>IF(J338="",H338,IF(J338=I338,I338,J338))</x:f>
        <x:v>Ver todas las rutas</x:v>
      </x:c>
      <x:c r="L338" s="74" t="str">
        <x:f>IF(J338="","Keep current",IF(J338=I338,"Use suggestion","Custom"))</x:f>
        <x:v>Keep current</x:v>
      </x:c>
      <x:c r="M338" s="71" t="str">
        <x:v>Pending review</x:v>
      </x:c>
      <x:c r="N338" s="71" t="str">
        <x:v>Normal</x:v>
      </x:c>
      <x:c r="O338" s="71" t="str">
        <x:v>app/journey/home/inspiration-explorer.tsx</x:v>
      </x:c>
      <x:c r="P338" s="71" t="str">
        <x:v>InspirationExplorer:41</x:v>
      </x:c>
      <x:c r="Q338" s="71" t="str">
        <x:v>ES</x:v>
      </x:c>
      <x:c r="R338" s="71" t="str">
        <x:v>Already clear and direct; suggested wording intentionally keeps the current copy.</x:v>
      </x:c>
      <x:c r="S338" s="75" t="str">
        <x:v>Not applied — review required</x:v>
      </x:c>
    </x:row>
    <x:row r="339">
      <x:c r="A339" s="71" t="str">
        <x:v>MRV-EB1D00B393</x:v>
      </x:c>
      <x:c r="B339" s="71" t="str">
        <x:v>Acquisition</x:v>
      </x:c>
      <x:c r="C339" s="71" t="str">
        <x:v>Homepage</x:v>
      </x:c>
      <x:c r="D339" s="71" t="str">
        <x:v>/journey/home/inspiration-explorer</x:v>
      </x:c>
      <x:c r="E339" s="71" t="str">
        <x:v>InspirationExplorer</x:v>
      </x:c>
      <x:c r="F339" s="71" t="str">
        <x:v>Default</x:v>
      </x:c>
      <x:c r="G339" s="71" t="str">
        <x:v>CTA / button</x:v>
      </x:c>
      <x:c r="H339" s="71" t="str">
        <x:v>View all routes</x:v>
      </x:c>
      <x:c r="I339" s="71" t="str">
        <x:v>View all routes</x:v>
      </x:c>
      <x:c r="J339" s="73"/>
      <x:c r="K339" s="74" t="str">
        <x:f>IF(J339="",H339,IF(J339=I339,I339,J339))</x:f>
        <x:v>View all routes</x:v>
      </x:c>
      <x:c r="L339" s="74" t="str">
        <x:f>IF(J339="","Keep current",IF(J339=I339,"Use suggestion","Custom"))</x:f>
        <x:v>Keep current</x:v>
      </x:c>
      <x:c r="M339" s="71" t="str">
        <x:v>Pending review</x:v>
      </x:c>
      <x:c r="N339" s="71" t="str">
        <x:v>Medium</x:v>
      </x:c>
      <x:c r="O339" s="71" t="str">
        <x:v>app/journey/home/inspiration-explorer.tsx</x:v>
      </x:c>
      <x:c r="P339" s="71" t="str">
        <x:v>InspirationExplorer:41</x:v>
      </x:c>
      <x:c r="Q339" s="71" t="str">
        <x:v>EN</x:v>
      </x:c>
      <x:c r="R339" s="71" t="str">
        <x:v>Already clear and direct; suggested wording intentionally keeps the current copy.</x:v>
      </x:c>
      <x:c r="S339" s="75" t="str">
        <x:v>Not applied — review required</x:v>
      </x:c>
    </x:row>
    <x:row r="340">
      <x:c r="A340" s="71" t="str">
        <x:v>MRV-AEC8B2A152</x:v>
      </x:c>
      <x:c r="B340" s="71" t="str">
        <x:v>Acquisition</x:v>
      </x:c>
      <x:c r="C340" s="71" t="str">
        <x:v>Homepage</x:v>
      </x:c>
      <x:c r="D340" s="71" t="str">
        <x:v>/journey/home/inspiration-explorer</x:v>
      </x:c>
      <x:c r="E340" s="71" t="str">
        <x:v>InspirationExplorer</x:v>
      </x:c>
      <x:c r="F340" s="71" t="str">
        <x:v>Default</x:v>
      </x:c>
      <x:c r="G340" s="71" t="str">
        <x:v>Label</x:v>
      </x:c>
      <x:c r="H340" s="71" t="str">
        <x:v>Explorar ruta</x:v>
      </x:c>
      <x:c r="I340" s="71" t="str">
        <x:v>Explorar ruta</x:v>
      </x:c>
      <x:c r="J340" s="73"/>
      <x:c r="K340" s="74" t="str">
        <x:f>IF(J340="",H340,IF(J340=I340,I340,J340))</x:f>
        <x:v>Explorar ruta</x:v>
      </x:c>
      <x:c r="L340" s="74" t="str">
        <x:f>IF(J340="","Keep current",IF(J340=I340,"Use suggestion","Custom"))</x:f>
        <x:v>Keep current</x:v>
      </x:c>
      <x:c r="M340" s="71" t="str">
        <x:v>Pending review</x:v>
      </x:c>
      <x:c r="N340" s="71" t="str">
        <x:v>Normal</x:v>
      </x:c>
      <x:c r="O340" s="71" t="str">
        <x:v>app/journey/home/inspiration-explorer.tsx</x:v>
      </x:c>
      <x:c r="P340" s="71" t="str">
        <x:v>InspirationExplorer:41</x:v>
      </x:c>
      <x:c r="Q340" s="71" t="str">
        <x:v>ES</x:v>
      </x:c>
      <x:c r="R340" s="71" t="str">
        <x:v>Already clear and direct; suggested wording intentionally keeps the current copy.</x:v>
      </x:c>
      <x:c r="S340" s="75" t="str">
        <x:v>Not applied — review required</x:v>
      </x:c>
    </x:row>
    <x:row r="341">
      <x:c r="A341" s="71" t="str">
        <x:v>MRV-D8713CEB20</x:v>
      </x:c>
      <x:c r="B341" s="71" t="str">
        <x:v>Acquisition</x:v>
      </x:c>
      <x:c r="C341" s="71" t="str">
        <x:v>Homepage</x:v>
      </x:c>
      <x:c r="D341" s="71" t="str">
        <x:v>/journey/home/inspiration-explorer</x:v>
      </x:c>
      <x:c r="E341" s="71" t="str">
        <x:v>InspirationExplorer</x:v>
      </x:c>
      <x:c r="F341" s="71" t="str">
        <x:v>Default</x:v>
      </x:c>
      <x:c r="G341" s="71" t="str">
        <x:v>CTA / button</x:v>
      </x:c>
      <x:c r="H341" s="71" t="str">
        <x:v>Explore route</x:v>
      </x:c>
      <x:c r="I341" s="71" t="str">
        <x:v>Explore route</x:v>
      </x:c>
      <x:c r="J341" s="73"/>
      <x:c r="K341" s="74" t="str">
        <x:f>IF(J341="",H341,IF(J341=I341,I341,J341))</x:f>
        <x:v>Explore route</x:v>
      </x:c>
      <x:c r="L341" s="74" t="str">
        <x:f>IF(J341="","Keep current",IF(J341=I341,"Use suggestion","Custom"))</x:f>
        <x:v>Keep current</x:v>
      </x:c>
      <x:c r="M341" s="71" t="str">
        <x:v>Pending review</x:v>
      </x:c>
      <x:c r="N341" s="71" t="str">
        <x:v>Medium</x:v>
      </x:c>
      <x:c r="O341" s="71" t="str">
        <x:v>app/journey/home/inspiration-explorer.tsx</x:v>
      </x:c>
      <x:c r="P341" s="71" t="str">
        <x:v>InspirationExplorer:41</x:v>
      </x:c>
      <x:c r="Q341" s="71" t="str">
        <x:v>EN</x:v>
      </x:c>
      <x:c r="R341" s="71" t="str">
        <x:v>Already clear and direct; suggested wording intentionally keeps the current copy.</x:v>
      </x:c>
      <x:c r="S341" s="75" t="str">
        <x:v>Not applied — review required</x:v>
      </x:c>
    </x:row>
    <x:row r="342">
      <x:c r="A342" s="71" t="str">
        <x:v>MRV-1ADC6658B3</x:v>
      </x:c>
      <x:c r="B342" s="71" t="str">
        <x:v>Acquisition</x:v>
      </x:c>
      <x:c r="C342" s="71" t="str">
        <x:v>Homepage</x:v>
      </x:c>
      <x:c r="D342" s="71" t="str">
        <x:v>/journey/home</x:v>
      </x:c>
      <x:c r="E342" s="71" t="str">
        <x:v>metadata</x:v>
      </x:c>
      <x:c r="F342" s="71" t="str">
        <x:v>Default</x:v>
      </x:c>
      <x:c r="G342" s="71" t="str">
        <x:v>Tooltip</x:v>
      </x:c>
      <x:c r="H342" s="71" t="str">
        <x:v>Travel your way · Morrovia</x:v>
      </x:c>
      <x:c r="I342" s="71" t="str">
        <x:v>Travel your way · Morrovia</x:v>
      </x:c>
      <x:c r="J342" s="73"/>
      <x:c r="K342" s="74" t="str">
        <x:f>IF(J342="",H342,IF(J342=I342,I342,J342))</x:f>
        <x:v>Travel your way · Morrovia</x:v>
      </x:c>
      <x:c r="L342" s="74" t="str">
        <x:f>IF(J342="","Keep current",IF(J342=I342,"Use suggestion","Custom"))</x:f>
        <x:v>Keep current</x:v>
      </x:c>
      <x:c r="M342" s="71" t="str">
        <x:v>Pending review</x:v>
      </x:c>
      <x:c r="N342" s="71" t="str">
        <x:v>Normal</x:v>
      </x:c>
      <x:c r="O342" s="71" t="str">
        <x:v>app/journey/home/page.tsx</x:v>
      </x:c>
      <x:c r="P342" s="71" t="str">
        <x:v>metadata:9</x:v>
      </x:c>
      <x:c r="Q342" s="71" t="str">
        <x:v>EN (default / shared)</x:v>
      </x:c>
      <x:c r="R342" s="71" t="str">
        <x:v>Already clear and direct; suggested wording intentionally keeps the current copy.</x:v>
      </x:c>
      <x:c r="S342" s="75" t="str">
        <x:v>Not applied — review required</x:v>
      </x:c>
    </x:row>
    <x:row r="343">
      <x:c r="A343" s="71" t="str">
        <x:v>MRV-944063825A</x:v>
      </x:c>
      <x:c r="B343" s="71" t="str">
        <x:v>Acquisition</x:v>
      </x:c>
      <x:c r="C343" s="71" t="str">
        <x:v>Homepage</x:v>
      </x:c>
      <x:c r="D343" s="71" t="str">
        <x:v>/journey/home/product-showcase</x:v>
      </x:c>
      <x:c r="E343" s="71" t="str">
        <x:v>copy</x:v>
      </x:c>
      <x:c r="F343" s="71" t="str">
        <x:v>Default</x:v>
      </x:c>
      <x:c r="G343" s="71" t="str">
        <x:v>Tooltip</x:v>
      </x:c>
      <x:c r="H343" s="71" t="str">
        <x:v>A useful trip companion, not just a plan.</x:v>
      </x:c>
      <x:c r="I343" s="71" t="str">
        <x:v>A useful trip companion, not just a plan.</x:v>
      </x:c>
      <x:c r="J343" s="73"/>
      <x:c r="K343" s="74" t="str">
        <x:f>IF(J343="",H343,IF(J343=I343,I343,J343))</x:f>
        <x:v>A useful trip companion, not just a plan.</x:v>
      </x:c>
      <x:c r="L343" s="74" t="str">
        <x:f>IF(J343="","Keep current",IF(J343=I343,"Use suggestion","Custom"))</x:f>
        <x:v>Keep current</x:v>
      </x:c>
      <x:c r="M343" s="71" t="str">
        <x:v>Pending review</x:v>
      </x:c>
      <x:c r="N343" s="71" t="str">
        <x:v>Normal</x:v>
      </x:c>
      <x:c r="O343" s="71" t="str">
        <x:v>app/journey/home/product-showcase.tsx</x:v>
      </x:c>
      <x:c r="P343" s="71" t="str">
        <x:v>copy:8</x:v>
      </x:c>
      <x:c r="Q343" s="71" t="str">
        <x:v>EN (default / shared)</x:v>
      </x:c>
      <x:c r="R343" s="71" t="str">
        <x:v>Already clear and direct; suggested wording intentionally keeps the current copy. Terminology watch: ‘trip’ and ‘journey’ both describe the same plan. Terminology watch: ‘stops’, ‘destinations’ and ‘places’ overlap.</x:v>
      </x:c>
      <x:c r="S343" s="75" t="str">
        <x:v>Not applied — review required</x:v>
      </x:c>
    </x:row>
    <x:row r="344">
      <x:c r="A344" s="71" t="str">
        <x:v>MRV-DBAB536AEB</x:v>
      </x:c>
      <x:c r="B344" s="71" t="str">
        <x:v>Acquisition</x:v>
      </x:c>
      <x:c r="C344" s="71" t="str">
        <x:v>Homepage</x:v>
      </x:c>
      <x:c r="D344" s="71" t="str">
        <x:v>/journey/home/product-showcase</x:v>
      </x:c>
      <x:c r="E344" s="71" t="str">
        <x:v>copy</x:v>
      </x:c>
      <x:c r="F344" s="71" t="str">
        <x:v>Default</x:v>
      </x:c>
      <x:c r="G344" s="71" t="str">
        <x:v>Tooltip</x:v>
      </x:c>
      <x:c r="H344" s="71" t="str">
        <x:v>Un compañero de viaje útil, no solo un plan.</x:v>
      </x:c>
      <x:c r="I344" s="71" t="str">
        <x:v>Un compañero de viaje útil, no solo un plan.</x:v>
      </x:c>
      <x:c r="J344" s="73"/>
      <x:c r="K344" s="74" t="str">
        <x:f>IF(J344="",H344,IF(J344=I344,I344,J344))</x:f>
        <x:v>Un compañero de viaje útil, no solo un plan.</x:v>
      </x:c>
      <x:c r="L344" s="74" t="str">
        <x:f>IF(J344="","Keep current",IF(J344=I344,"Use suggestion","Custom"))</x:f>
        <x:v>Keep current</x:v>
      </x:c>
      <x:c r="M344" s="71" t="str">
        <x:v>Pending review</x:v>
      </x:c>
      <x:c r="N344" s="71" t="str">
        <x:v>Normal</x:v>
      </x:c>
      <x:c r="O344" s="71" t="str">
        <x:v>app/journey/home/product-showcase.tsx</x:v>
      </x:c>
      <x:c r="P344" s="71" t="str">
        <x:v>copy:9</x:v>
      </x:c>
      <x:c r="Q344" s="71" t="str">
        <x:v>EN (default / shared)</x:v>
      </x:c>
      <x:c r="R344" s="71" t="str">
        <x:v>Already clear and direct; suggested wording intentionally keeps the current copy.</x:v>
      </x:c>
      <x:c r="S344" s="75" t="str">
        <x:v>Not applied — review required</x:v>
      </x:c>
    </x:row>
    <x:row r="345">
      <x:c r="A345" s="71" t="str">
        <x:v>MRV-053BA53070</x:v>
      </x:c>
      <x:c r="B345" s="71" t="str">
        <x:v>System</x:v>
      </x:c>
      <x:c r="C345" s="71" t="str">
        <x:v>Shared recovery / system</x:v>
      </x:c>
      <x:c r="D345" s="71" t="str">
        <x:v>/journey</x:v>
      </x:c>
      <x:c r="E345" s="71" t="str">
        <x:v>metadata</x:v>
      </x:c>
      <x:c r="F345" s="71" t="str">
        <x:v>Default</x:v>
      </x:c>
      <x:c r="G345" s="71" t="str">
        <x:v>Tooltip</x:v>
      </x:c>
      <x:c r="H345" s="71" t="str">
        <x:v>Morrovia · Travel your way</x:v>
      </x:c>
      <x:c r="I345" s="71" t="str">
        <x:v>Morrovia · Travel your way</x:v>
      </x:c>
      <x:c r="J345" s="73"/>
      <x:c r="K345" s="74" t="str">
        <x:f>IF(J345="",H345,IF(J345=I345,I345,J345))</x:f>
        <x:v>Morrovia · Travel your way</x:v>
      </x:c>
      <x:c r="L345" s="74" t="str">
        <x:f>IF(J345="","Keep current",IF(J345=I345,"Use suggestion","Custom"))</x:f>
        <x:v>Keep current</x:v>
      </x:c>
      <x:c r="M345" s="71" t="str">
        <x:v>Pending review</x:v>
      </x:c>
      <x:c r="N345" s="71" t="str">
        <x:v>Normal</x:v>
      </x:c>
      <x:c r="O345" s="71" t="str">
        <x:v>app/journey/layout.tsx</x:v>
      </x:c>
      <x:c r="P345" s="71" t="str">
        <x:v>metadata:13</x:v>
      </x:c>
      <x:c r="Q345" s="71" t="str">
        <x:v>EN (default / shared)</x:v>
      </x:c>
      <x:c r="R345" s="71" t="str">
        <x:v>Already clear and direct; suggested wording intentionally keeps the current copy.</x:v>
      </x:c>
      <x:c r="S345" s="75" t="str">
        <x:v>Not applied — review required</x:v>
      </x:c>
    </x:row>
    <x:row r="346">
      <x:c r="A346" s="71" t="str">
        <x:v>MRV-FFD17F2516</x:v>
      </x:c>
      <x:c r="B346" s="71" t="str">
        <x:v>System</x:v>
      </x:c>
      <x:c r="C346" s="71" t="str">
        <x:v>Shared recovery / system</x:v>
      </x:c>
      <x:c r="D346" s="71" t="str">
        <x:v>/journey</x:v>
      </x:c>
      <x:c r="E346" s="71" t="str">
        <x:v>JourneyLoading</x:v>
      </x:c>
      <x:c r="F346" s="71" t="str">
        <x:v>Loading / in progress</x:v>
      </x:c>
      <x:c r="G346" s="71" t="str">
        <x:v>Accessibility label</x:v>
      </x:c>
      <x:c r="H346" s="71" t="str">
        <x:v>Loading Journey</x:v>
      </x:c>
      <x:c r="I346" s="71" t="str">
        <x:v>Loading Journey</x:v>
      </x:c>
      <x:c r="J346" s="73"/>
      <x:c r="K346" s="74" t="str">
        <x:f>IF(J346="",H346,IF(J346=I346,I346,J346))</x:f>
        <x:v>Loading Journey</x:v>
      </x:c>
      <x:c r="L346" s="74" t="str">
        <x:f>IF(J346="","Keep current",IF(J346=I346,"Use suggestion","Custom"))</x:f>
        <x:v>Keep current</x:v>
      </x:c>
      <x:c r="M346" s="71" t="str">
        <x:v>Pending review</x:v>
      </x:c>
      <x:c r="N346" s="71" t="str">
        <x:v>Medium</x:v>
      </x:c>
      <x:c r="O346" s="71" t="str">
        <x:v>app/journey/loading.tsx</x:v>
      </x:c>
      <x:c r="P346" s="71" t="str">
        <x:v>JourneyLoading:4</x:v>
      </x:c>
      <x:c r="Q346" s="71" t="str">
        <x:v>EN (default / shared)</x:v>
      </x:c>
      <x:c r="R346" s="71" t="str">
        <x:v>Already clear and direct; suggested wording intentionally keeps the current copy. Terminology watch: ‘trip’ and ‘journey’ both describe the same plan. Terminology watch: ‘stops’, ‘destinations’ and ‘places’ overlap.</x:v>
      </x:c>
      <x:c r="S346" s="75" t="str">
        <x:v>Not applied — review required</x:v>
      </x:c>
    </x:row>
    <x:row r="347">
      <x:c r="A347" s="71" t="str">
        <x:v>MRV-8B41D8E336</x:v>
      </x:c>
      <x:c r="B347" s="71" t="str">
        <x:v>System</x:v>
      </x:c>
      <x:c r="C347" s="71" t="str">
        <x:v>Shared recovery / system</x:v>
      </x:c>
      <x:c r="D347" s="71" t="str">
        <x:v>/journey</x:v>
      </x:c>
      <x:c r="E347" s="71" t="str">
        <x:v>JourneyLoading</x:v>
      </x:c>
      <x:c r="F347" s="71" t="str">
        <x:v>Loading / in progress</x:v>
      </x:c>
      <x:c r="G347" s="71" t="str">
        <x:v>Label</x:v>
      </x:c>
      <x:c r="H347" s="71" t="str">
        <x:v>Loading your journey…</x:v>
      </x:c>
      <x:c r="I347" s="71" t="str">
        <x:v>Loading your journey…</x:v>
      </x:c>
      <x:c r="J347" s="73"/>
      <x:c r="K347" s="74" t="str">
        <x:f>IF(J347="",H347,IF(J347=I347,I347,J347))</x:f>
        <x:v>Loading your journey…</x:v>
      </x:c>
      <x:c r="L347" s="74" t="str">
        <x:f>IF(J347="","Keep current",IF(J347=I347,"Use suggestion","Custom"))</x:f>
        <x:v>Keep current</x:v>
      </x:c>
      <x:c r="M347" s="71" t="str">
        <x:v>Pending review</x:v>
      </x:c>
      <x:c r="N347" s="71" t="str">
        <x:v>Normal</x:v>
      </x:c>
      <x:c r="O347" s="71" t="str">
        <x:v>app/journey/loading.tsx</x:v>
      </x:c>
      <x:c r="P347" s="71" t="str">
        <x:v>JourneyLoading:9</x:v>
      </x:c>
      <x:c r="Q347" s="71" t="str">
        <x:v>EN (default / shared)</x:v>
      </x:c>
      <x:c r="R347" s="71" t="str">
        <x:v>Already clear and direct; suggested wording intentionally keeps the current copy. Duplicate wording: appears 2 times. Terminology watch: ‘trip’ and ‘journey’ both describe the same plan. Terminology watch: ‘stops’, ‘destinations’ and ‘places’ overlap.</x:v>
      </x:c>
      <x:c r="S347" s="75" t="str">
        <x:v>Not applied — review required</x:v>
      </x:c>
    </x:row>
    <x:row r="348">
      <x:c r="A348" s="71" t="str">
        <x:v>MRV-E36FB16696</x:v>
      </x:c>
      <x:c r="B348" s="71" t="str">
        <x:v>Account</x:v>
      </x:c>
      <x:c r="C348" s="71" t="str">
        <x:v>Sign in / recovery</x:v>
      </x:c>
      <x:c r="D348" s="71" t="str">
        <x:v>/journey/login/login-form</x:v>
      </x:c>
      <x:c r="E348" s="71" t="str">
        <x:v>name</x:v>
      </x:c>
      <x:c r="F348" s="71" t="str">
        <x:v>Default</x:v>
      </x:c>
      <x:c r="G348" s="71" t="str">
        <x:v>Label</x:v>
      </x:c>
      <x:c r="H348" s="71" t="str">
        <x:v>Traveller</x:v>
      </x:c>
      <x:c r="I348" s="71" t="str">
        <x:v>Traveller</x:v>
      </x:c>
      <x:c r="J348" s="73"/>
      <x:c r="K348" s="74" t="str">
        <x:f>IF(J348="",H348,IF(J348=I348,I348,J348))</x:f>
        <x:v>Traveller</x:v>
      </x:c>
      <x:c r="L348" s="74" t="str">
        <x:f>IF(J348="","Keep current",IF(J348=I348,"Use suggestion","Custom"))</x:f>
        <x:v>Keep current</x:v>
      </x:c>
      <x:c r="M348" s="71" t="str">
        <x:v>Pending review</x:v>
      </x:c>
      <x:c r="N348" s="71" t="str">
        <x:v>Normal</x:v>
      </x:c>
      <x:c r="O348" s="71" t="str">
        <x:v>app/journey/login/login-form.tsx</x:v>
      </x:c>
      <x:c r="P348" s="71" t="str">
        <x:v>name:44</x:v>
      </x:c>
      <x:c r="Q348" s="71" t="str">
        <x:v>EN (default / shared)</x:v>
      </x:c>
      <x:c r="R348" s="71" t="str">
        <x:v>Already clear and direct; suggested wording intentionally keeps the current copy.</x:v>
      </x:c>
      <x:c r="S348" s="75" t="str">
        <x:v>Not applied — review required</x:v>
      </x:c>
    </x:row>
    <x:row r="349">
      <x:c r="A349" s="71" t="str">
        <x:v>MRV-8901A83E84</x:v>
      </x:c>
      <x:c r="B349" s="71" t="str">
        <x:v>Account</x:v>
      </x:c>
      <x:c r="C349" s="71" t="str">
        <x:v>Sign in / recovery</x:v>
      </x:c>
      <x:c r="D349" s="71" t="str">
        <x:v>/journey/login/login-form</x:v>
      </x:c>
      <x:c r="E349" s="71" t="str">
        <x:v>genericError</x:v>
      </x:c>
      <x:c r="F349" s="71" t="str">
        <x:v>Failure / recovery</x:v>
      </x:c>
      <x:c r="G349" s="71" t="str">
        <x:v>Body copy</x:v>
      </x:c>
      <x:c r="H349" s="71" t="str">
        <x:v>We could not create your account just now. Check the details and try again.</x:v>
      </x:c>
      <x:c r="I349" s="71" t="str">
        <x:v>We could not create your account just now. Check the details and try again.</x:v>
      </x:c>
      <x:c r="J349" s="73"/>
      <x:c r="K349" s="74" t="str">
        <x:f>IF(J349="",H349,IF(J349=I349,I349,J349))</x:f>
        <x:v>We could not create your account just now. Check the details and try again.</x:v>
      </x:c>
      <x:c r="L349" s="74" t="str">
        <x:f>IF(J349="","Keep current",IF(J349=I349,"Use suggestion","Custom"))</x:f>
        <x:v>Keep current</x:v>
      </x:c>
      <x:c r="M349" s="71" t="str">
        <x:v>Pending review</x:v>
      </x:c>
      <x:c r="N349" s="71" t="str">
        <x:v>High</x:v>
      </x:c>
      <x:c r="O349" s="71" t="str">
        <x:v>app/journey/login/login-form.tsx</x:v>
      </x:c>
      <x:c r="P349" s="71" t="str">
        <x:v>genericError:46</x:v>
      </x:c>
      <x:c r="Q349" s="71" t="str">
        <x:v>EN (default / shared)</x:v>
      </x:c>
      <x:c r="R349" s="71" t="str">
        <x:v>Already clear and direct; suggested wording intentionally keeps the current copy.</x:v>
      </x:c>
      <x:c r="S349" s="75" t="str">
        <x:v>Not applied — review required</x:v>
      </x:c>
    </x:row>
    <x:row r="350">
      <x:c r="A350" s="71" t="str">
        <x:v>MRV-EF0E02058B</x:v>
      </x:c>
      <x:c r="B350" s="71" t="str">
        <x:v>Account</x:v>
      </x:c>
      <x:c r="C350" s="71" t="str">
        <x:v>Sign in / recovery</x:v>
      </x:c>
      <x:c r="D350" s="71" t="str">
        <x:v>/journey/login/login-form</x:v>
      </x:c>
      <x:c r="E350" s="71" t="str">
        <x:v>genericError</x:v>
      </x:c>
      <x:c r="F350" s="71" t="str">
        <x:v>Failure / recovery</x:v>
      </x:c>
      <x:c r="G350" s="71" t="str">
        <x:v>Body copy</x:v>
      </x:c>
      <x:c r="H350" s="71" t="str">
        <x:v>We could not sign you in. Check your email and password, then try again.</x:v>
      </x:c>
      <x:c r="I350" s="71" t="str">
        <x:v>We could not sign you in. Check your email and password, then try again.</x:v>
      </x:c>
      <x:c r="J350" s="73"/>
      <x:c r="K350" s="74" t="str">
        <x:f>IF(J350="",H350,IF(J350=I350,I350,J350))</x:f>
        <x:v>We could not sign you in. Check your email and password, then try again.</x:v>
      </x:c>
      <x:c r="L350" s="74" t="str">
        <x:f>IF(J350="","Keep current",IF(J350=I350,"Use suggestion","Custom"))</x:f>
        <x:v>Keep current</x:v>
      </x:c>
      <x:c r="M350" s="71" t="str">
        <x:v>Pending review</x:v>
      </x:c>
      <x:c r="N350" s="71" t="str">
        <x:v>High</x:v>
      </x:c>
      <x:c r="O350" s="71" t="str">
        <x:v>app/journey/login/login-form.tsx</x:v>
      </x:c>
      <x:c r="P350" s="71" t="str">
        <x:v>genericError:47</x:v>
      </x:c>
      <x:c r="Q350" s="71" t="str">
        <x:v>EN (default / shared)</x:v>
      </x:c>
      <x:c r="R350" s="71" t="str">
        <x:v>Already clear and direct; suggested wording intentionally keeps the current copy.</x:v>
      </x:c>
      <x:c r="S350" s="75" t="str">
        <x:v>Not applied — review required</x:v>
      </x:c>
    </x:row>
    <x:row r="351">
      <x:c r="A351" s="71" t="str">
        <x:v>MRV-E136777668</x:v>
      </x:c>
      <x:c r="B351" s="71" t="str">
        <x:v>Account</x:v>
      </x:c>
      <x:c r="C351" s="71" t="str">
        <x:v>Sign in / recovery</x:v>
      </x:c>
      <x:c r="D351" s="71" t="str">
        <x:v>/journey/login/login-form</x:v>
      </x:c>
      <x:c r="E351" s="71" t="str">
        <x:v>submit</x:v>
      </x:c>
      <x:c r="F351" s="71" t="str">
        <x:v>Default</x:v>
      </x:c>
      <x:c r="G351" s="71" t="str">
        <x:v>Label</x:v>
      </x:c>
      <x:c r="H351" s="71" t="str">
        <x:v>email not verified</x:v>
      </x:c>
      <x:c r="I351" s="71" t="str">
        <x:v>email not verified</x:v>
      </x:c>
      <x:c r="J351" s="73"/>
      <x:c r="K351" s="74" t="str">
        <x:f>IF(J351="",H351,IF(J351=I351,I351,J351))</x:f>
        <x:v>email not verified</x:v>
      </x:c>
      <x:c r="L351" s="74" t="str">
        <x:f>IF(J351="","Keep current",IF(J351=I351,"Use suggestion","Custom"))</x:f>
        <x:v>Keep current</x:v>
      </x:c>
      <x:c r="M351" s="71" t="str">
        <x:v>Pending review</x:v>
      </x:c>
      <x:c r="N351" s="71" t="str">
        <x:v>Normal</x:v>
      </x:c>
      <x:c r="O351" s="71" t="str">
        <x:v>app/journey/login/login-form.tsx</x:v>
      </x:c>
      <x:c r="P351" s="71" t="str">
        <x:v>submit:54</x:v>
      </x:c>
      <x:c r="Q351" s="71" t="str">
        <x:v>EN (default / shared)</x:v>
      </x:c>
      <x:c r="R351" s="71" t="str">
        <x:v>Already clear and direct; suggested wording intentionally keeps the current copy.</x:v>
      </x:c>
      <x:c r="S351" s="75" t="str">
        <x:v>Not applied — review required</x:v>
      </x:c>
    </x:row>
    <x:row r="352">
      <x:c r="A352" s="71" t="str">
        <x:v>MRV-4383D595F0</x:v>
      </x:c>
      <x:c r="B352" s="71" t="str">
        <x:v>Account</x:v>
      </x:c>
      <x:c r="C352" s="71" t="str">
        <x:v>Sign in / recovery</x:v>
      </x:c>
      <x:c r="D352" s="71" t="str">
        <x:v>/journey/login/login-form</x:v>
      </x:c>
      <x:c r="E352" s="71" t="str">
        <x:v>submit</x:v>
      </x:c>
      <x:c r="F352" s="71" t="str">
        <x:v>Session expired</x:v>
      </x:c>
      <x:c r="G352" s="71" t="str">
        <x:v>Body copy</x:v>
      </x:c>
      <x:c r="H352" s="71" t="str">
        <x:v>Email not verified. We sent a fresh verification link. Check your inbox, including spam, then sign in again.</x:v>
      </x:c>
      <x:c r="I352" s="71" t="str">
        <x:v>Email not verified. We sent a fresh verification link. Check your inbox, including spam, then sign in again.</x:v>
      </x:c>
      <x:c r="J352" s="73"/>
      <x:c r="K352" s="74" t="str">
        <x:f>IF(J352="",H352,IF(J352=I352,I352,J352))</x:f>
        <x:v>Email not verified. We sent a fresh verification link. Check your inbox, including spam, then sign in again.</x:v>
      </x:c>
      <x:c r="L352" s="74" t="str">
        <x:f>IF(J352="","Keep current",IF(J352=I352,"Use suggestion","Custom"))</x:f>
        <x:v>Keep current</x:v>
      </x:c>
      <x:c r="M352" s="71" t="str">
        <x:v>Pending review</x:v>
      </x:c>
      <x:c r="N352" s="71" t="str">
        <x:v>High</x:v>
      </x:c>
      <x:c r="O352" s="71" t="str">
        <x:v>app/journey/login/login-form.tsx</x:v>
      </x:c>
      <x:c r="P352" s="71" t="str">
        <x:v>submit:55</x:v>
      </x:c>
      <x:c r="Q352" s="71" t="str">
        <x:v>EN (default / shared)</x:v>
      </x:c>
      <x:c r="R352" s="71" t="str">
        <x:v>Already clear and direct; suggested wording intentionally keeps the current copy.</x:v>
      </x:c>
      <x:c r="S352" s="75" t="str">
        <x:v>Not applied — review required</x:v>
      </x:c>
    </x:row>
    <x:row r="353">
      <x:c r="A353" s="71" t="str">
        <x:v>MRV-BBD525FB87</x:v>
      </x:c>
      <x:c r="B353" s="71" t="str">
        <x:v>Account</x:v>
      </x:c>
      <x:c r="C353" s="71" t="str">
        <x:v>Sign in / recovery</x:v>
      </x:c>
      <x:c r="D353" s="71" t="str">
        <x:v>/journey/login/login-form</x:v>
      </x:c>
      <x:c r="E353" s="71" t="str">
        <x:v>continueWithGoogle</x:v>
      </x:c>
      <x:c r="F353" s="71" t="str">
        <x:v>Failure / recovery</x:v>
      </x:c>
      <x:c r="G353" s="71" t="str">
        <x:v>CTA / button</x:v>
      </x:c>
      <x:c r="H353" s="71" t="str">
        <x:v>Google sign-in could not start. Please try again.</x:v>
      </x:c>
      <x:c r="I353" s="71" t="str">
        <x:v>Google sign-in could not start. Try again.</x:v>
      </x:c>
      <x:c r="J353" s="73"/>
      <x:c r="K353" s="74" t="str">
        <x:f>IF(J353="",H353,IF(J353=I353,I353,J353))</x:f>
        <x:v>Google sign-in could not start. Please try again.</x:v>
      </x:c>
      <x:c r="L353" s="74" t="str">
        <x:f>IF(J353="","Keep current",IF(J353=I353,"Use suggestion","Custom"))</x:f>
        <x:v>Keep current</x:v>
      </x:c>
      <x:c r="M353" s="71" t="str">
        <x:v>Pending review</x:v>
      </x:c>
      <x:c r="N353" s="71" t="str">
        <x:v>High</x:v>
      </x:c>
      <x:c r="O353" s="71" t="str">
        <x:v>app/journey/login/login-form.tsx</x:v>
      </x:c>
      <x:c r="P353" s="71" t="str">
        <x:v>continueWithGoogle:74</x:v>
      </x:c>
      <x:c r="Q353" s="71" t="str">
        <x:v>EN (default / shared)</x:v>
      </x:c>
      <x:c r="R353" s="71" t="str">
        <x:v>Simplified for a warmer, more direct action or recovery message. Duplicate wording: appears 2 times.</x:v>
      </x:c>
      <x:c r="S353" s="75" t="str">
        <x:v>Not applied — review required</x:v>
      </x:c>
    </x:row>
    <x:row r="354">
      <x:c r="A354" s="71" t="str">
        <x:v>MRV-3087C069A4</x:v>
      </x:c>
      <x:c r="B354" s="71" t="str">
        <x:v>Account</x:v>
      </x:c>
      <x:c r="C354" s="71" t="str">
        <x:v>Sign in / recovery</x:v>
      </x:c>
      <x:c r="D354" s="71" t="str">
        <x:v>/journey/login/login-form</x:v>
      </x:c>
      <x:c r="E354" s="71" t="str">
        <x:v>continueWithGoogle</x:v>
      </x:c>
      <x:c r="F354" s="71" t="str">
        <x:v>Failure / recovery</x:v>
      </x:c>
      <x:c r="G354" s="71" t="str">
        <x:v>CTA / button</x:v>
      </x:c>
      <x:c r="H354" s="71" t="str">
        <x:v>Google sign-in could not start. Please try again.</x:v>
      </x:c>
      <x:c r="I354" s="71" t="str">
        <x:v>Google sign-in could not start. Try again.</x:v>
      </x:c>
      <x:c r="J354" s="73"/>
      <x:c r="K354" s="74" t="str">
        <x:f>IF(J354="",H354,IF(J354=I354,I354,J354))</x:f>
        <x:v>Google sign-in could not start. Please try again.</x:v>
      </x:c>
      <x:c r="L354" s="74" t="str">
        <x:f>IF(J354="","Keep current",IF(J354=I354,"Use suggestion","Custom"))</x:f>
        <x:v>Keep current</x:v>
      </x:c>
      <x:c r="M354" s="71" t="str">
        <x:v>Pending review</x:v>
      </x:c>
      <x:c r="N354" s="71" t="str">
        <x:v>High</x:v>
      </x:c>
      <x:c r="O354" s="71" t="str">
        <x:v>app/journey/login/login-form.tsx</x:v>
      </x:c>
      <x:c r="P354" s="71" t="str">
        <x:v>continueWithGoogle:76</x:v>
      </x:c>
      <x:c r="Q354" s="71" t="str">
        <x:v>EN (default / shared)</x:v>
      </x:c>
      <x:c r="R354" s="71" t="str">
        <x:v>Simplified for a warmer, more direct action or recovery message. Duplicate wording: appears 2 times.</x:v>
      </x:c>
      <x:c r="S354" s="75" t="str">
        <x:v>Not applied — review required</x:v>
      </x:c>
    </x:row>
    <x:row r="355">
      <x:c r="A355" s="71" t="str">
        <x:v>MRV-738924D534</x:v>
      </x:c>
      <x:c r="B355" s="71" t="str">
        <x:v>Account</x:v>
      </x:c>
      <x:c r="C355" s="71" t="str">
        <x:v>Sign in / recovery</x:v>
      </x:c>
      <x:c r="D355" s="71" t="str">
        <x:v>/journey/login/login-form</x:v>
      </x:c>
      <x:c r="E355" s="71" t="str">
        <x:v>LoginForm</x:v>
      </x:c>
      <x:c r="F355" s="71" t="str">
        <x:v>Default</x:v>
      </x:c>
      <x:c r="G355" s="71" t="str">
        <x:v>CTA / button</x:v>
      </x:c>
      <x:c r="H355" s="71" t="str">
        <x:v>Save this trip.</x:v>
      </x:c>
      <x:c r="I355" s="71" t="str">
        <x:v>Save this trip.</x:v>
      </x:c>
      <x:c r="J355" s="73"/>
      <x:c r="K355" s="74" t="str">
        <x:f>IF(J355="",H355,IF(J355=I355,I355,J355))</x:f>
        <x:v>Save this trip.</x:v>
      </x:c>
      <x:c r="L355" s="74" t="str">
        <x:f>IF(J355="","Keep current",IF(J355=I355,"Use suggestion","Custom"))</x:f>
        <x:v>Keep current</x:v>
      </x:c>
      <x:c r="M355" s="71" t="str">
        <x:v>Pending review</x:v>
      </x:c>
      <x:c r="N355" s="71" t="str">
        <x:v>Medium</x:v>
      </x:c>
      <x:c r="O355" s="71" t="str">
        <x:v>app/journey/login/login-form.tsx</x:v>
      </x:c>
      <x:c r="P355" s="71" t="str">
        <x:v>LoginForm:84</x:v>
      </x:c>
      <x:c r="Q355" s="71" t="str">
        <x:v>EN (default / shared)</x:v>
      </x:c>
      <x:c r="R355" s="71" t="str">
        <x:v>Already clear and direct; suggested wording intentionally keeps the current copy. Duplicate wording: appears 2 times. Terminology watch: ‘trip’ and ‘journey’ both describe the same plan. Terminology watch: ‘stops’, ‘destinations’ and ‘places’ overlap.</x:v>
      </x:c>
      <x:c r="S355" s="75" t="str">
        <x:v>Not applied — review required</x:v>
      </x:c>
    </x:row>
    <x:row r="356">
      <x:c r="A356" s="71" t="str">
        <x:v>MRV-65D5D42BFA</x:v>
      </x:c>
      <x:c r="B356" s="71" t="str">
        <x:v>Account</x:v>
      </x:c>
      <x:c r="C356" s="71" t="str">
        <x:v>Sign in / recovery</x:v>
      </x:c>
      <x:c r="D356" s="71" t="str">
        <x:v>/journey/login/login-form</x:v>
      </x:c>
      <x:c r="E356" s="71" t="str">
        <x:v>LoginForm</x:v>
      </x:c>
      <x:c r="F356" s="71" t="str">
        <x:v>Default</x:v>
      </x:c>
      <x:c r="G356" s="71" t="str">
        <x:v>Body copy</x:v>
      </x:c>
      <x:c r="H356" s="71" t="str">
        <x:v>Welcome back.</x:v>
      </x:c>
      <x:c r="I356" s="71" t="str">
        <x:v>Welcome back.</x:v>
      </x:c>
      <x:c r="J356" s="73"/>
      <x:c r="K356" s="74" t="str">
        <x:f>IF(J356="",H356,IF(J356=I356,I356,J356))</x:f>
        <x:v>Welcome back.</x:v>
      </x:c>
      <x:c r="L356" s="74" t="str">
        <x:f>IF(J356="","Keep current",IF(J356=I356,"Use suggestion","Custom"))</x:f>
        <x:v>Keep current</x:v>
      </x:c>
      <x:c r="M356" s="71" t="str">
        <x:v>Pending review</x:v>
      </x:c>
      <x:c r="N356" s="71" t="str">
        <x:v>Normal</x:v>
      </x:c>
      <x:c r="O356" s="71" t="str">
        <x:v>app/journey/login/login-form.tsx</x:v>
      </x:c>
      <x:c r="P356" s="71" t="str">
        <x:v>LoginForm:84</x:v>
      </x:c>
      <x:c r="Q356" s="71" t="str">
        <x:v>EN (default / shared)</x:v>
      </x:c>
      <x:c r="R356" s="71" t="str">
        <x:v>Already clear and direct; suggested wording intentionally keeps the current copy.</x:v>
      </x:c>
      <x:c r="S356" s="75" t="str">
        <x:v>Not applied — review required</x:v>
      </x:c>
    </x:row>
    <x:row r="357">
      <x:c r="A357" s="71" t="str">
        <x:v>MRV-BA9FF4F1A4</x:v>
      </x:c>
      <x:c r="B357" s="71" t="str">
        <x:v>Account</x:v>
      </x:c>
      <x:c r="C357" s="71" t="str">
        <x:v>Sign in / recovery</x:v>
      </x:c>
      <x:c r="D357" s="71" t="str">
        <x:v>/journey/login/login-form</x:v>
      </x:c>
      <x:c r="E357" s="71" t="str">
        <x:v>LoginForm</x:v>
      </x:c>
      <x:c r="F357" s="71" t="str">
        <x:v>Default</x:v>
      </x:c>
      <x:c r="G357" s="71" t="str">
        <x:v>CTA / button</x:v>
      </x:c>
      <x:c r="H357" s="71" t="str">
        <x:v>Start travelling.</x:v>
      </x:c>
      <x:c r="I357" s="71" t="str">
        <x:v>Start travelling.</x:v>
      </x:c>
      <x:c r="J357" s="73"/>
      <x:c r="K357" s="74" t="str">
        <x:f>IF(J357="",H357,IF(J357=I357,I357,J357))</x:f>
        <x:v>Start travelling.</x:v>
      </x:c>
      <x:c r="L357" s="74" t="str">
        <x:f>IF(J357="","Keep current",IF(J357=I357,"Use suggestion","Custom"))</x:f>
        <x:v>Keep current</x:v>
      </x:c>
      <x:c r="M357" s="71" t="str">
        <x:v>Pending review</x:v>
      </x:c>
      <x:c r="N357" s="71" t="str">
        <x:v>Medium</x:v>
      </x:c>
      <x:c r="O357" s="71" t="str">
        <x:v>app/journey/login/login-form.tsx</x:v>
      </x:c>
      <x:c r="P357" s="71" t="str">
        <x:v>LoginForm:84</x:v>
      </x:c>
      <x:c r="Q357" s="71" t="str">
        <x:v>EN (default / shared)</x:v>
      </x:c>
      <x:c r="R357" s="71" t="str">
        <x:v>Already clear and direct; suggested wording intentionally keeps the current copy.</x:v>
      </x:c>
      <x:c r="S357" s="75" t="str">
        <x:v>Not applied — review required</x:v>
      </x:c>
    </x:row>
    <x:row r="358">
      <x:c r="A358" s="71" t="str">
        <x:v>MRV-A897740F05</x:v>
      </x:c>
      <x:c r="B358" s="71" t="str">
        <x:v>Account</x:v>
      </x:c>
      <x:c r="C358" s="71" t="str">
        <x:v>Sign in / recovery</x:v>
      </x:c>
      <x:c r="D358" s="71" t="str">
        <x:v>/journey/login/login-form</x:v>
      </x:c>
      <x:c r="E358" s="71" t="str">
        <x:v>LoginForm</x:v>
      </x:c>
      <x:c r="F358" s="71" t="str">
        <x:v>Default</x:v>
      </x:c>
      <x:c r="G358" s="71" t="str">
        <x:v>Body copy</x:v>
      </x:c>
      <x:c r="H358" s="71" t="str">
        <x:v>Your account is ready. We sent a one-time verification link to {initialEmail || "your email"}. Confirm it, then sign in below.</x:v>
      </x:c>
      <x:c r="I358" s="71" t="str">
        <x:v>Your account is ready. We sent a one-time verification link to {initialEmail || "your email"}. Confirm it, then sign in below.</x:v>
      </x:c>
      <x:c r="J358" s="73"/>
      <x:c r="K358" s="74" t="str">
        <x:f>IF(J358="",H358,IF(J358=I358,I358,J358))</x:f>
        <x:v>Your account is ready. We sent a one-time verification link to {initialEmail || "your email"}. Confirm it, then sign in below.</x:v>
      </x:c>
      <x:c r="L358" s="74" t="str">
        <x:f>IF(J358="","Keep current",IF(J358=I358,"Use suggestion","Custom"))</x:f>
        <x:v>Keep current</x:v>
      </x:c>
      <x:c r="M358" s="71" t="str">
        <x:v>Pending review</x:v>
      </x:c>
      <x:c r="N358" s="71" t="str">
        <x:v>Normal</x:v>
      </x:c>
      <x:c r="O358" s="71" t="str">
        <x:v>app/journey/login/login-form.tsx</x:v>
      </x:c>
      <x:c r="P358" s="71" t="str">
        <x:v>LoginForm:85</x:v>
      </x:c>
      <x:c r="Q358" s="71" t="str">
        <x:v>EN (default / shared)</x:v>
      </x:c>
      <x:c r="R358" s="71" t="str">
        <x:v>Already clear and direct; suggested wording intentionally keeps the current copy. Dynamic traveller or trip value is represented as a token; user-generated values are excluded.</x:v>
      </x:c>
      <x:c r="S358" s="75" t="str">
        <x:v>Not applied — review required</x:v>
      </x:c>
    </x:row>
    <x:row r="359">
      <x:c r="A359" s="71" t="str">
        <x:v>MRV-1CB9EF3AEC</x:v>
      </x:c>
      <x:c r="B359" s="71" t="str">
        <x:v>Account</x:v>
      </x:c>
      <x:c r="C359" s="71" t="str">
        <x:v>Sign in / recovery</x:v>
      </x:c>
      <x:c r="D359" s="71" t="str">
        <x:v>/journey/login/login-form</x:v>
      </x:c>
      <x:c r="E359" s="71" t="str">
        <x:v>LoginForm</x:v>
      </x:c>
      <x:c r="F359" s="71" t="str">
        <x:v>Default</x:v>
      </x:c>
      <x:c r="G359" s="71" t="str">
        <x:v>Label</x:v>
      </x:c>
      <x:c r="H359" s="71" t="str">
        <x:v>your email</x:v>
      </x:c>
      <x:c r="I359" s="71" t="str">
        <x:v>your email</x:v>
      </x:c>
      <x:c r="J359" s="73"/>
      <x:c r="K359" s="74" t="str">
        <x:f>IF(J359="",H359,IF(J359=I359,I359,J359))</x:f>
        <x:v>your email</x:v>
      </x:c>
      <x:c r="L359" s="74" t="str">
        <x:f>IF(J359="","Keep current",IF(J359=I359,"Use suggestion","Custom"))</x:f>
        <x:v>Keep current</x:v>
      </x:c>
      <x:c r="M359" s="71" t="str">
        <x:v>Pending review</x:v>
      </x:c>
      <x:c r="N359" s="71" t="str">
        <x:v>Normal</x:v>
      </x:c>
      <x:c r="O359" s="71" t="str">
        <x:v>app/journey/login/login-form.tsx</x:v>
      </x:c>
      <x:c r="P359" s="71" t="str">
        <x:v>LoginForm:85</x:v>
      </x:c>
      <x:c r="Q359" s="71" t="str">
        <x:v>EN (default / shared)</x:v>
      </x:c>
      <x:c r="R359" s="71" t="str">
        <x:v>Already clear and direct; suggested wording intentionally keeps the current copy.</x:v>
      </x:c>
      <x:c r="S359" s="75" t="str">
        <x:v>Not applied — review required</x:v>
      </x:c>
    </x:row>
    <x:row r="360">
      <x:c r="A360" s="71" t="str">
        <x:v>MRV-1C4935D8B1</x:v>
      </x:c>
      <x:c r="B360" s="71" t="str">
        <x:v>Account</x:v>
      </x:c>
      <x:c r="C360" s="71" t="str">
        <x:v>Sign in / recovery</x:v>
      </x:c>
      <x:c r="D360" s="71" t="str">
        <x:v>/journey/login/login-form</x:v>
      </x:c>
      <x:c r="E360" s="71" t="str">
        <x:v>LoginForm</x:v>
      </x:c>
      <x:c r="F360" s="71" t="str">
        <x:v>Default</x:v>
      </x:c>
      <x:c r="G360" s="71" t="str">
        <x:v>CTA / button</x:v>
      </x:c>
      <x:c r="H360" s="71" t="str">
        <x:v>Sign in to keep this exact trip and continue planning on another device.</x:v>
      </x:c>
      <x:c r="I360" s="71" t="str">
        <x:v>Sign in to keep this exact trip and continue planning on another device.</x:v>
      </x:c>
      <x:c r="J360" s="73"/>
      <x:c r="K360" s="74" t="str">
        <x:f>IF(J360="",H360,IF(J360=I360,I360,J360))</x:f>
        <x:v>Sign in to keep this exact trip and continue planning on another device.</x:v>
      </x:c>
      <x:c r="L360" s="74" t="str">
        <x:f>IF(J360="","Keep current",IF(J360=I360,"Use suggestion","Custom"))</x:f>
        <x:v>Keep current</x:v>
      </x:c>
      <x:c r="M360" s="71" t="str">
        <x:v>Pending review</x:v>
      </x:c>
      <x:c r="N360" s="71" t="str">
        <x:v>Medium</x:v>
      </x:c>
      <x:c r="O360" s="71" t="str">
        <x:v>app/journey/login/login-form.tsx</x:v>
      </x:c>
      <x:c r="P360" s="71" t="str">
        <x:v>LoginForm:85</x:v>
      </x:c>
      <x:c r="Q360" s="71" t="str">
        <x:v>EN (default / shared)</x:v>
      </x:c>
      <x:c r="R360" s="71" t="str">
        <x:v>Already clear and direct; suggested wording intentionally keeps the current copy. Terminology watch: ‘trip’ and ‘journey’ both describe the same plan. Terminology watch: ‘stops’, ‘destinations’ and ‘places’ overlap.</x:v>
      </x:c>
      <x:c r="S360" s="75" t="str">
        <x:v>Not applied — review required</x:v>
      </x:c>
    </x:row>
    <x:row r="361">
      <x:c r="A361" s="71" t="str">
        <x:v>MRV-473072E46B</x:v>
      </x:c>
      <x:c r="B361" s="71" t="str">
        <x:v>Account</x:v>
      </x:c>
      <x:c r="C361" s="71" t="str">
        <x:v>Sign in / recovery</x:v>
      </x:c>
      <x:c r="D361" s="71" t="str">
        <x:v>/journey/login/login-form</x:v>
      </x:c>
      <x:c r="E361" s="71" t="str">
        <x:v>LoginForm</x:v>
      </x:c>
      <x:c r="F361" s="71" t="str">
        <x:v>Default</x:v>
      </x:c>
      <x:c r="G361" s="71" t="str">
        <x:v>CTA / button</x:v>
      </x:c>
      <x:c r="H361" s="71" t="str">
        <x:v>Open your saved plans and pick up where you left off.</x:v>
      </x:c>
      <x:c r="I361" s="71" t="str">
        <x:v>Open your saved plans and pick up where you left off.</x:v>
      </x:c>
      <x:c r="J361" s="73"/>
      <x:c r="K361" s="74" t="str">
        <x:f>IF(J361="",H361,IF(J361=I361,I361,J361))</x:f>
        <x:v>Open your saved plans and pick up where you left off.</x:v>
      </x:c>
      <x:c r="L361" s="74" t="str">
        <x:f>IF(J361="","Keep current",IF(J361=I361,"Use suggestion","Custom"))</x:f>
        <x:v>Keep current</x:v>
      </x:c>
      <x:c r="M361" s="71" t="str">
        <x:v>Pending review</x:v>
      </x:c>
      <x:c r="N361" s="71" t="str">
        <x:v>Medium</x:v>
      </x:c>
      <x:c r="O361" s="71" t="str">
        <x:v>app/journey/login/login-form.tsx</x:v>
      </x:c>
      <x:c r="P361" s="71" t="str">
        <x:v>LoginForm:85</x:v>
      </x:c>
      <x:c r="Q361" s="71" t="str">
        <x:v>EN (default / shared)</x:v>
      </x:c>
      <x:c r="R361" s="71" t="str">
        <x:v>Already clear and direct; suggested wording intentionally keeps the current copy.</x:v>
      </x:c>
      <x:c r="S361" s="75" t="str">
        <x:v>Not applied — review required</x:v>
      </x:c>
    </x:row>
    <x:row r="362">
      <x:c r="A362" s="71" t="str">
        <x:v>MRV-79D2DBF9B7</x:v>
      </x:c>
      <x:c r="B362" s="71" t="str">
        <x:v>Account</x:v>
      </x:c>
      <x:c r="C362" s="71" t="str">
        <x:v>Sign in / recovery</x:v>
      </x:c>
      <x:c r="D362" s="71" t="str">
        <x:v>/journey/login/login-form</x:v>
      </x:c>
      <x:c r="E362" s="71" t="str">
        <x:v>LoginForm</x:v>
      </x:c>
      <x:c r="F362" s="71" t="str">
        <x:v>Default</x:v>
      </x:c>
      <x:c r="G362" s="71" t="str">
        <x:v>CTA / button</x:v>
      </x:c>
      <x:c r="H362" s="71" t="str">
        <x:v>Save your first plan and keep every trip in one place.</x:v>
      </x:c>
      <x:c r="I362" s="71" t="str">
        <x:v>Save your first plan and keep every trip in one place.</x:v>
      </x:c>
      <x:c r="J362" s="73"/>
      <x:c r="K362" s="74" t="str">
        <x:f>IF(J362="",H362,IF(J362=I362,I362,J362))</x:f>
        <x:v>Save your first plan and keep every trip in one place.</x:v>
      </x:c>
      <x:c r="L362" s="74" t="str">
        <x:f>IF(J362="","Keep current",IF(J362=I362,"Use suggestion","Custom"))</x:f>
        <x:v>Keep current</x:v>
      </x:c>
      <x:c r="M362" s="71" t="str">
        <x:v>Pending review</x:v>
      </x:c>
      <x:c r="N362" s="71" t="str">
        <x:v>Medium</x:v>
      </x:c>
      <x:c r="O362" s="71" t="str">
        <x:v>app/journey/login/login-form.tsx</x:v>
      </x:c>
      <x:c r="P362" s="71" t="str">
        <x:v>LoginForm:85</x:v>
      </x:c>
      <x:c r="Q362" s="71" t="str">
        <x:v>EN (default / shared)</x:v>
      </x:c>
      <x:c r="R362" s="71" t="str">
        <x:v>Already clear and direct; suggested wording intentionally keeps the current copy. Terminology watch: ‘trip’ and ‘journey’ both describe the same plan. Terminology watch: ‘stops’, ‘destinations’ and ‘places’ overlap.</x:v>
      </x:c>
      <x:c r="S362" s="75" t="str">
        <x:v>Not applied — review required</x:v>
      </x:c>
    </x:row>
    <x:row r="363">
      <x:c r="A363" s="71" t="str">
        <x:v>MRV-3A19599F7F</x:v>
      </x:c>
      <x:c r="B363" s="71" t="str">
        <x:v>Account</x:v>
      </x:c>
      <x:c r="C363" s="71" t="str">
        <x:v>Sign in / recovery</x:v>
      </x:c>
      <x:c r="D363" s="71" t="str">
        <x:v>/journey/login/login-form</x:v>
      </x:c>
      <x:c r="E363" s="71" t="str">
        <x:v>LoginForm</x:v>
      </x:c>
      <x:c r="F363" s="71" t="str">
        <x:v>Default</x:v>
      </x:c>
      <x:c r="G363" s="71" t="str">
        <x:v>CTA / button</x:v>
      </x:c>
      <x:c r="H363" s="71" t="str">
        <x:v>Sign in</x:v>
      </x:c>
      <x:c r="I363" s="71" t="str">
        <x:v>Sign in</x:v>
      </x:c>
      <x:c r="J363" s="73"/>
      <x:c r="K363" s="74" t="str">
        <x:f>IF(J363="",H363,IF(J363=I363,I363,J363))</x:f>
        <x:v>Sign in</x:v>
      </x:c>
      <x:c r="L363" s="74" t="str">
        <x:f>IF(J363="","Keep current",IF(J363=I363,"Use suggestion","Custom"))</x:f>
        <x:v>Keep current</x:v>
      </x:c>
      <x:c r="M363" s="71" t="str">
        <x:v>Pending review</x:v>
      </x:c>
      <x:c r="N363" s="71" t="str">
        <x:v>Medium</x:v>
      </x:c>
      <x:c r="O363" s="71" t="str">
        <x:v>app/journey/login/login-form.tsx</x:v>
      </x:c>
      <x:c r="P363" s="71" t="str">
        <x:v>LoginForm:93</x:v>
      </x:c>
      <x:c r="Q363" s="71" t="str">
        <x:v>EN (default / shared)</x:v>
      </x:c>
      <x:c r="R363" s="71" t="str">
        <x:v>Already clear and direct; suggested wording intentionally keeps the current copy. Duplicate wording: appears 5 times.</x:v>
      </x:c>
      <x:c r="S363" s="75" t="str">
        <x:v>Not applied — review required</x:v>
      </x:c>
    </x:row>
    <x:row r="364">
      <x:c r="A364" s="71" t="str">
        <x:v>MRV-2E48C35DE8</x:v>
      </x:c>
      <x:c r="B364" s="71" t="str">
        <x:v>Account</x:v>
      </x:c>
      <x:c r="C364" s="71" t="str">
        <x:v>Sign in / recovery</x:v>
      </x:c>
      <x:c r="D364" s="71" t="str">
        <x:v>/journey/login/login-form</x:v>
      </x:c>
      <x:c r="E364" s="71" t="str">
        <x:v>LoginForm</x:v>
      </x:c>
      <x:c r="F364" s="71" t="str">
        <x:v>Default</x:v>
      </x:c>
      <x:c r="G364" s="71" t="str">
        <x:v>Prompt / question</x:v>
      </x:c>
      <x:c r="H364" s="71" t="str">
        <x:v>New here?</x:v>
      </x:c>
      <x:c r="I364" s="71" t="str">
        <x:v>New here?</x:v>
      </x:c>
      <x:c r="J364" s="73"/>
      <x:c r="K364" s="74" t="str">
        <x:f>IF(J364="",H364,IF(J364=I364,I364,J364))</x:f>
        <x:v>New here?</x:v>
      </x:c>
      <x:c r="L364" s="74" t="str">
        <x:f>IF(J364="","Keep current",IF(J364=I364,"Use suggestion","Custom"))</x:f>
        <x:v>Keep current</x:v>
      </x:c>
      <x:c r="M364" s="71" t="str">
        <x:v>Pending review</x:v>
      </x:c>
      <x:c r="N364" s="71" t="str">
        <x:v>Normal</x:v>
      </x:c>
      <x:c r="O364" s="71" t="str">
        <x:v>app/journey/login/login-form.tsx</x:v>
      </x:c>
      <x:c r="P364" s="71" t="str">
        <x:v>LoginForm:94</x:v>
      </x:c>
      <x:c r="Q364" s="71" t="str">
        <x:v>EN (default / shared)</x:v>
      </x:c>
      <x:c r="R364" s="71" t="str">
        <x:v>Already clear and direct; suggested wording intentionally keeps the current copy.</x:v>
      </x:c>
      <x:c r="S364" s="75" t="str">
        <x:v>Not applied — review required</x:v>
      </x:c>
    </x:row>
    <x:row r="365">
      <x:c r="A365" s="71" t="str">
        <x:v>MRV-E5CF0AA32D</x:v>
      </x:c>
      <x:c r="B365" s="71" t="str">
        <x:v>Account</x:v>
      </x:c>
      <x:c r="C365" s="71" t="str">
        <x:v>Sign in / recovery</x:v>
      </x:c>
      <x:c r="D365" s="71" t="str">
        <x:v>/journey/login/login-form</x:v>
      </x:c>
      <x:c r="E365" s="71" t="str">
        <x:v>LoginForm</x:v>
      </x:c>
      <x:c r="F365" s="71" t="str">
        <x:v>Default</x:v>
      </x:c>
      <x:c r="G365" s="71" t="str">
        <x:v>Label</x:v>
      </x:c>
      <x:c r="H365" s="71" t="str">
        <x:v>Your name</x:v>
      </x:c>
      <x:c r="I365" s="71" t="str">
        <x:v>Your name</x:v>
      </x:c>
      <x:c r="J365" s="73"/>
      <x:c r="K365" s="74" t="str">
        <x:f>IF(J365="",H365,IF(J365=I365,I365,J365))</x:f>
        <x:v>Your name</x:v>
      </x:c>
      <x:c r="L365" s="74" t="str">
        <x:f>IF(J365="","Keep current",IF(J365=I365,"Use suggestion","Custom"))</x:f>
        <x:v>Keep current</x:v>
      </x:c>
      <x:c r="M365" s="71" t="str">
        <x:v>Pending review</x:v>
      </x:c>
      <x:c r="N365" s="71" t="str">
        <x:v>Normal</x:v>
      </x:c>
      <x:c r="O365" s="71" t="str">
        <x:v>app/journey/login/login-form.tsx</x:v>
      </x:c>
      <x:c r="P365" s="71" t="str">
        <x:v>LoginForm:98</x:v>
      </x:c>
      <x:c r="Q365" s="71" t="str">
        <x:v>EN (default / shared)</x:v>
      </x:c>
      <x:c r="R365" s="71" t="str">
        <x:v>Already clear and direct; suggested wording intentionally keeps the current copy.</x:v>
      </x:c>
      <x:c r="S365" s="75" t="str">
        <x:v>Not applied — review required</x:v>
      </x:c>
    </x:row>
    <x:row r="366">
      <x:c r="A366" s="71" t="str">
        <x:v>MRV-6D73C902EC</x:v>
      </x:c>
      <x:c r="B366" s="71" t="str">
        <x:v>Account</x:v>
      </x:c>
      <x:c r="C366" s="71" t="str">
        <x:v>Sign in / recovery</x:v>
      </x:c>
      <x:c r="D366" s="71" t="str">
        <x:v>/journey/login/login-form</x:v>
      </x:c>
      <x:c r="E366" s="71" t="str">
        <x:v>LoginForm</x:v>
      </x:c>
      <x:c r="F366" s="71" t="str">
        <x:v>Default</x:v>
      </x:c>
      <x:c r="G366" s="71" t="str">
        <x:v>Label</x:v>
      </x:c>
      <x:c r="H366" s="71" t="str">
        <x:v>Email</x:v>
      </x:c>
      <x:c r="I366" s="71" t="str">
        <x:v>Email</x:v>
      </x:c>
      <x:c r="J366" s="73"/>
      <x:c r="K366" s="74" t="str">
        <x:f>IF(J366="",H366,IF(J366=I366,I366,J366))</x:f>
        <x:v>Email</x:v>
      </x:c>
      <x:c r="L366" s="74" t="str">
        <x:f>IF(J366="","Keep current",IF(J366=I366,"Use suggestion","Custom"))</x:f>
        <x:v>Keep current</x:v>
      </x:c>
      <x:c r="M366" s="71" t="str">
        <x:v>Pending review</x:v>
      </x:c>
      <x:c r="N366" s="71" t="str">
        <x:v>Normal</x:v>
      </x:c>
      <x:c r="O366" s="71" t="str">
        <x:v>app/journey/login/login-form.tsx</x:v>
      </x:c>
      <x:c r="P366" s="71" t="str">
        <x:v>LoginForm:99</x:v>
      </x:c>
      <x:c r="Q366" s="71" t="str">
        <x:v>EN (default / shared)</x:v>
      </x:c>
      <x:c r="R366" s="71" t="str">
        <x:v>Already clear and direct; suggested wording intentionally keeps the current copy. Duplicate wording: appears 2 times.</x:v>
      </x:c>
      <x:c r="S366" s="75" t="str">
        <x:v>Not applied — review required</x:v>
      </x:c>
    </x:row>
    <x:row r="367">
      <x:c r="A367" s="71" t="str">
        <x:v>MRV-D8B441F42D</x:v>
      </x:c>
      <x:c r="B367" s="71" t="str">
        <x:v>Account</x:v>
      </x:c>
      <x:c r="C367" s="71" t="str">
        <x:v>Sign in / recovery</x:v>
      </x:c>
      <x:c r="D367" s="71" t="str">
        <x:v>/journey/login/login-form</x:v>
      </x:c>
      <x:c r="E367" s="71" t="str">
        <x:v>LoginForm</x:v>
      </x:c>
      <x:c r="F367" s="71" t="str">
        <x:v>Default</x:v>
      </x:c>
      <x:c r="G367" s="71" t="str">
        <x:v>Label</x:v>
      </x:c>
      <x:c r="H367" s="71" t="str">
        <x:v>Password</x:v>
      </x:c>
      <x:c r="I367" s="71" t="str">
        <x:v>Password</x:v>
      </x:c>
      <x:c r="J367" s="73"/>
      <x:c r="K367" s="74" t="str">
        <x:f>IF(J367="",H367,IF(J367=I367,I367,J367))</x:f>
        <x:v>Password</x:v>
      </x:c>
      <x:c r="L367" s="74" t="str">
        <x:f>IF(J367="","Keep current",IF(J367=I367,"Use suggestion","Custom"))</x:f>
        <x:v>Keep current</x:v>
      </x:c>
      <x:c r="M367" s="71" t="str">
        <x:v>Pending review</x:v>
      </x:c>
      <x:c r="N367" s="71" t="str">
        <x:v>Normal</x:v>
      </x:c>
      <x:c r="O367" s="71" t="str">
        <x:v>app/journey/login/login-form.tsx</x:v>
      </x:c>
      <x:c r="P367" s="71" t="str">
        <x:v>LoginForm:100</x:v>
      </x:c>
      <x:c r="Q367" s="71" t="str">
        <x:v>EN (default / shared)</x:v>
      </x:c>
      <x:c r="R367" s="71" t="str">
        <x:v>Already clear and direct; suggested wording intentionally keeps the current copy.</x:v>
      </x:c>
      <x:c r="S367" s="75" t="str">
        <x:v>Not applied — review required</x:v>
      </x:c>
    </x:row>
    <x:row r="368">
      <x:c r="A368" s="71" t="str">
        <x:v>MRV-6599E9090A</x:v>
      </x:c>
      <x:c r="B368" s="71" t="str">
        <x:v>Account</x:v>
      </x:c>
      <x:c r="C368" s="71" t="str">
        <x:v>Sign in / recovery</x:v>
      </x:c>
      <x:c r="D368" s="71" t="str">
        <x:v>/journey/login/login-form</x:v>
      </x:c>
      <x:c r="E368" s="71" t="str">
        <x:v>LoginForm</x:v>
      </x:c>
      <x:c r="F368" s="71" t="str">
        <x:v>Accessibility / input support</x:v>
      </x:c>
      <x:c r="G368" s="71" t="str">
        <x:v>Placeholder</x:v>
      </x:c>
      <x:c r="H368" s="71" t="str">
        <x:v>At least 8 characters</x:v>
      </x:c>
      <x:c r="I368" s="71" t="str">
        <x:v>At least 8 characters</x:v>
      </x:c>
      <x:c r="J368" s="73"/>
      <x:c r="K368" s="74" t="str">
        <x:f>IF(J368="",H368,IF(J368=I368,I368,J368))</x:f>
        <x:v>At least 8 characters</x:v>
      </x:c>
      <x:c r="L368" s="74" t="str">
        <x:f>IF(J368="","Keep current",IF(J368=I368,"Use suggestion","Custom"))</x:f>
        <x:v>Keep current</x:v>
      </x:c>
      <x:c r="M368" s="71" t="str">
        <x:v>Pending review</x:v>
      </x:c>
      <x:c r="N368" s="71" t="str">
        <x:v>Medium</x:v>
      </x:c>
      <x:c r="O368" s="71" t="str">
        <x:v>app/journey/login/login-form.tsx</x:v>
      </x:c>
      <x:c r="P368" s="71" t="str">
        <x:v>LoginForm:100</x:v>
      </x:c>
      <x:c r="Q368" s="71" t="str">
        <x:v>EN (default / shared)</x:v>
      </x:c>
      <x:c r="R368" s="71" t="str">
        <x:v>Already clear and direct; suggested wording intentionally keeps the current copy. Duplicate wording: appears 2 times.</x:v>
      </x:c>
      <x:c r="S368" s="75" t="str">
        <x:v>Not applied — review required</x:v>
      </x:c>
    </x:row>
    <x:row r="369">
      <x:c r="A369" s="71" t="str">
        <x:v>MRV-4992FFD7A0</x:v>
      </x:c>
      <x:c r="B369" s="71" t="str">
        <x:v>Account</x:v>
      </x:c>
      <x:c r="C369" s="71" t="str">
        <x:v>Sign in / recovery</x:v>
      </x:c>
      <x:c r="D369" s="71" t="str">
        <x:v>/journey/login/login-form</x:v>
      </x:c>
      <x:c r="E369" s="71" t="str">
        <x:v>LoginForm</x:v>
      </x:c>
      <x:c r="F369" s="71" t="str">
        <x:v>Default</x:v>
      </x:c>
      <x:c r="G369" s="71" t="str">
        <x:v>CTA / button</x:v>
      </x:c>
      <x:c r="H369" s="71" t="str">
        <x:v>Sign in →</x:v>
      </x:c>
      <x:c r="I369" s="71" t="str">
        <x:v>Sign in →</x:v>
      </x:c>
      <x:c r="J369" s="73"/>
      <x:c r="K369" s="74" t="str">
        <x:f>IF(J369="",H369,IF(J369=I369,I369,J369))</x:f>
        <x:v>Sign in →</x:v>
      </x:c>
      <x:c r="L369" s="74" t="str">
        <x:f>IF(J369="","Keep current",IF(J369=I369,"Use suggestion","Custom"))</x:f>
        <x:v>Keep current</x:v>
      </x:c>
      <x:c r="M369" s="71" t="str">
        <x:v>Pending review</x:v>
      </x:c>
      <x:c r="N369" s="71" t="str">
        <x:v>Medium</x:v>
      </x:c>
      <x:c r="O369" s="71" t="str">
        <x:v>app/journey/login/login-form.tsx</x:v>
      </x:c>
      <x:c r="P369" s="71" t="str">
        <x:v>LoginForm:103</x:v>
      </x:c>
      <x:c r="Q369" s="71" t="str">
        <x:v>EN (default / shared)</x:v>
      </x:c>
      <x:c r="R369" s="71" t="str">
        <x:v>Already clear and direct; suggested wording intentionally keeps the current copy.</x:v>
      </x:c>
      <x:c r="S369" s="75" t="str">
        <x:v>Not applied — review required</x:v>
      </x:c>
    </x:row>
    <x:row r="370">
      <x:c r="A370" s="71" t="str">
        <x:v>MRV-0858DDC99A</x:v>
      </x:c>
      <x:c r="B370" s="71" t="str">
        <x:v>Account</x:v>
      </x:c>
      <x:c r="C370" s="71" t="str">
        <x:v>Sign in / recovery</x:v>
      </x:c>
      <x:c r="D370" s="71" t="str">
        <x:v>/journey/login/login-form</x:v>
      </x:c>
      <x:c r="E370" s="71" t="str">
        <x:v>LoginForm</x:v>
      </x:c>
      <x:c r="F370" s="71" t="str">
        <x:v>Default</x:v>
      </x:c>
      <x:c r="G370" s="71" t="str">
        <x:v>CTA / button</x:v>
      </x:c>
      <x:c r="H370" s="71" t="str">
        <x:v>Create account →</x:v>
      </x:c>
      <x:c r="I370" s="71" t="str">
        <x:v>Create account →</x:v>
      </x:c>
      <x:c r="J370" s="73"/>
      <x:c r="K370" s="74" t="str">
        <x:f>IF(J370="",H370,IF(J370=I370,I370,J370))</x:f>
        <x:v>Create account →</x:v>
      </x:c>
      <x:c r="L370" s="74" t="str">
        <x:f>IF(J370="","Keep current",IF(J370=I370,"Use suggestion","Custom"))</x:f>
        <x:v>Keep current</x:v>
      </x:c>
      <x:c r="M370" s="71" t="str">
        <x:v>Pending review</x:v>
      </x:c>
      <x:c r="N370" s="71" t="str">
        <x:v>Medium</x:v>
      </x:c>
      <x:c r="O370" s="71" t="str">
        <x:v>app/journey/login/login-form.tsx</x:v>
      </x:c>
      <x:c r="P370" s="71" t="str">
        <x:v>LoginForm:103</x:v>
      </x:c>
      <x:c r="Q370" s="71" t="str">
        <x:v>EN (default / shared)</x:v>
      </x:c>
      <x:c r="R370" s="71" t="str">
        <x:v>Already clear and direct; suggested wording intentionally keeps the current copy.</x:v>
      </x:c>
      <x:c r="S370" s="75" t="str">
        <x:v>Not applied — review required</x:v>
      </x:c>
    </x:row>
    <x:row r="371">
      <x:c r="A371" s="71" t="str">
        <x:v>MRV-974A263CB2</x:v>
      </x:c>
      <x:c r="B371" s="71" t="str">
        <x:v>Account</x:v>
      </x:c>
      <x:c r="C371" s="71" t="str">
        <x:v>Sign in / recovery</x:v>
      </x:c>
      <x:c r="D371" s="71" t="str">
        <x:v>/journey/login/login-form</x:v>
      </x:c>
      <x:c r="E371" s="71" t="str">
        <x:v>LoginForm</x:v>
      </x:c>
      <x:c r="F371" s="71" t="str">
        <x:v>Default</x:v>
      </x:c>
      <x:c r="G371" s="71" t="str">
        <x:v>Label</x:v>
      </x:c>
      <x:c r="H371" s="71" t="str">
        <x:v>Accounts coming online</x:v>
      </x:c>
      <x:c r="I371" s="71" t="str">
        <x:v>Accounts coming online</x:v>
      </x:c>
      <x:c r="J371" s="73"/>
      <x:c r="K371" s="74" t="str">
        <x:f>IF(J371="",H371,IF(J371=I371,I371,J371))</x:f>
        <x:v>Accounts coming online</x:v>
      </x:c>
      <x:c r="L371" s="74" t="str">
        <x:f>IF(J371="","Keep current",IF(J371=I371,"Use suggestion","Custom"))</x:f>
        <x:v>Keep current</x:v>
      </x:c>
      <x:c r="M371" s="71" t="str">
        <x:v>Pending review</x:v>
      </x:c>
      <x:c r="N371" s="71" t="str">
        <x:v>Normal</x:v>
      </x:c>
      <x:c r="O371" s="71" t="str">
        <x:v>app/journey/login/login-form.tsx</x:v>
      </x:c>
      <x:c r="P371" s="71" t="str">
        <x:v>LoginForm:103</x:v>
      </x:c>
      <x:c r="Q371" s="71" t="str">
        <x:v>EN (default / shared)</x:v>
      </x:c>
      <x:c r="R371" s="71" t="str">
        <x:v>Already clear and direct; suggested wording intentionally keeps the current copy.</x:v>
      </x:c>
      <x:c r="S371" s="75" t="str">
        <x:v>Not applied — review required</x:v>
      </x:c>
    </x:row>
    <x:row r="372">
      <x:c r="A372" s="71" t="str">
        <x:v>MRV-B8DC4BBD0B</x:v>
      </x:c>
      <x:c r="B372" s="71" t="str">
        <x:v>Account</x:v>
      </x:c>
      <x:c r="C372" s="71" t="str">
        <x:v>Sign in / recovery</x:v>
      </x:c>
      <x:c r="D372" s="71" t="str">
        <x:v>/journey/login/login-form</x:v>
      </x:c>
      <x:c r="E372" s="71" t="str">
        <x:v>LoginForm</x:v>
      </x:c>
      <x:c r="F372" s="71" t="str">
        <x:v>Loading / in progress</x:v>
      </x:c>
      <x:c r="G372" s="71" t="str">
        <x:v>CTA / button</x:v>
      </x:c>
      <x:c r="H372" s="71" t="str">
        <x:v>Continue with Google</x:v>
      </x:c>
      <x:c r="I372" s="71" t="str">
        <x:v>Continue with Google</x:v>
      </x:c>
      <x:c r="J372" s="73"/>
      <x:c r="K372" s="74" t="str">
        <x:f>IF(J372="",H372,IF(J372=I372,I372,J372))</x:f>
        <x:v>Continue with Google</x:v>
      </x:c>
      <x:c r="L372" s="74" t="str">
        <x:f>IF(J372="","Keep current",IF(J372=I372,"Use suggestion","Custom"))</x:f>
        <x:v>Keep current</x:v>
      </x:c>
      <x:c r="M372" s="71" t="str">
        <x:v>Pending review</x:v>
      </x:c>
      <x:c r="N372" s="71" t="str">
        <x:v>Medium</x:v>
      </x:c>
      <x:c r="O372" s="71" t="str">
        <x:v>app/journey/login/login-form.tsx</x:v>
      </x:c>
      <x:c r="P372" s="71" t="str">
        <x:v>LoginForm:105</x:v>
      </x:c>
      <x:c r="Q372" s="71" t="str">
        <x:v>EN (default / shared)</x:v>
      </x:c>
      <x:c r="R372" s="71" t="str">
        <x:v>Already clear and direct; suggested wording intentionally keeps the current copy.</x:v>
      </x:c>
      <x:c r="S372" s="75" t="str">
        <x:v>Not applied — review required</x:v>
      </x:c>
    </x:row>
    <x:row r="373">
      <x:c r="A373" s="71" t="str">
        <x:v>MRV-6C71C94777</x:v>
      </x:c>
      <x:c r="B373" s="71" t="str">
        <x:v>Account</x:v>
      </x:c>
      <x:c r="C373" s="71" t="str">
        <x:v>Sign in / recovery</x:v>
      </x:c>
      <x:c r="D373" s="71" t="str">
        <x:v>/journey/login/login-form</x:v>
      </x:c>
      <x:c r="E373" s="71" t="str">
        <x:v>LoginForm</x:v>
      </x:c>
      <x:c r="F373" s="71" t="str">
        <x:v>Default</x:v>
      </x:c>
      <x:c r="G373" s="71" t="str">
        <x:v>Label</x:v>
      </x:c>
      <x:c r="H373" s="71" t="str">
        <x:v>Privacy notice</x:v>
      </x:c>
      <x:c r="I373" s="71" t="str">
        <x:v>Privacy notice</x:v>
      </x:c>
      <x:c r="J373" s="73"/>
      <x:c r="K373" s="74" t="str">
        <x:f>IF(J373="",H373,IF(J373=I373,I373,J373))</x:f>
        <x:v>Privacy notice</x:v>
      </x:c>
      <x:c r="L373" s="74" t="str">
        <x:f>IF(J373="","Keep current",IF(J373=I373,"Use suggestion","Custom"))</x:f>
        <x:v>Keep current</x:v>
      </x:c>
      <x:c r="M373" s="71" t="str">
        <x:v>Pending review</x:v>
      </x:c>
      <x:c r="N373" s="71" t="str">
        <x:v>High</x:v>
      </x:c>
      <x:c r="O373" s="71" t="str">
        <x:v>app/journey/login/login-form.tsx</x:v>
      </x:c>
      <x:c r="P373" s="71" t="str">
        <x:v>LoginForm:107</x:v>
      </x:c>
      <x:c r="Q373" s="71" t="str">
        <x:v>EN (default / shared)</x:v>
      </x:c>
      <x:c r="R373" s="71" t="str">
        <x:v>Already clear and direct; suggested wording intentionally keeps the current copy.</x:v>
      </x:c>
      <x:c r="S373" s="75" t="str">
        <x:v>Not applied — review required</x:v>
      </x:c>
    </x:row>
    <x:row r="374">
      <x:c r="A374" s="71" t="str">
        <x:v>MRV-CC5D2423D1</x:v>
      </x:c>
      <x:c r="B374" s="71" t="str">
        <x:v>Account</x:v>
      </x:c>
      <x:c r="C374" s="71" t="str">
        <x:v>Sign in / recovery</x:v>
      </x:c>
      <x:c r="D374" s="71" t="str">
        <x:v>/journey/login</x:v>
      </x:c>
      <x:c r="E374" s="71" t="str">
        <x:v>metadata</x:v>
      </x:c>
      <x:c r="F374" s="71" t="str">
        <x:v>Default</x:v>
      </x:c>
      <x:c r="G374" s="71" t="str">
        <x:v>Tooltip</x:v>
      </x:c>
      <x:c r="H374" s="71" t="str">
        <x:v>Sign in · Morrovia</x:v>
      </x:c>
      <x:c r="I374" s="71" t="str">
        <x:v>Sign in · Morrovia</x:v>
      </x:c>
      <x:c r="J374" s="73"/>
      <x:c r="K374" s="74" t="str">
        <x:f>IF(J374="",H374,IF(J374=I374,I374,J374))</x:f>
        <x:v>Sign in · Morrovia</x:v>
      </x:c>
      <x:c r="L374" s="74" t="str">
        <x:f>IF(J374="","Keep current",IF(J374=I374,"Use suggestion","Custom"))</x:f>
        <x:v>Keep current</x:v>
      </x:c>
      <x:c r="M374" s="71" t="str">
        <x:v>Pending review</x:v>
      </x:c>
      <x:c r="N374" s="71" t="str">
        <x:v>Normal</x:v>
      </x:c>
      <x:c r="O374" s="71" t="str">
        <x:v>app/journey/login/page.tsx</x:v>
      </x:c>
      <x:c r="P374" s="71" t="str">
        <x:v>metadata:7</x:v>
      </x:c>
      <x:c r="Q374" s="71" t="str">
        <x:v>EN (default / shared)</x:v>
      </x:c>
      <x:c r="R374" s="71" t="str">
        <x:v>Already clear and direct; suggested wording intentionally keeps the current copy.</x:v>
      </x:c>
      <x:c r="S374" s="75" t="str">
        <x:v>Not applied — review required</x:v>
      </x:c>
    </x:row>
    <x:row r="375">
      <x:c r="A375" s="71" t="str">
        <x:v>MRV-A60628B87C</x:v>
      </x:c>
      <x:c r="B375" s="71" t="str">
        <x:v>Planning</x:v>
      </x:c>
      <x:c r="C375" s="71" t="str">
        <x:v>New trip builder</x:v>
      </x:c>
      <x:c r="D375" s="71" t="str">
        <x:v>/journey/new</x:v>
      </x:c>
      <x:c r="E375" s="71" t="str">
        <x:v>NewTripPage</x:v>
      </x:c>
      <x:c r="F375" s="71" t="str">
        <x:v>Default</x:v>
      </x:c>
      <x:c r="G375" s="71" t="str">
        <x:v>CTA / button</x:v>
      </x:c>
      <x:c r="H375" s="71" t="str">
        <x:v>Opening your trip…</x:v>
      </x:c>
      <x:c r="I375" s="71" t="str">
        <x:v>Opening your trip…</x:v>
      </x:c>
      <x:c r="J375" s="73"/>
      <x:c r="K375" s="74" t="str">
        <x:f>IF(J375="",H375,IF(J375=I375,I375,J375))</x:f>
        <x:v>Opening your trip…</x:v>
      </x:c>
      <x:c r="L375" s="74" t="str">
        <x:f>IF(J375="","Keep current",IF(J375=I375,"Use suggestion","Custom"))</x:f>
        <x:v>Keep current</x:v>
      </x:c>
      <x:c r="M375" s="71" t="str">
        <x:v>Pending review</x:v>
      </x:c>
      <x:c r="N375" s="71" t="str">
        <x:v>Medium</x:v>
      </x:c>
      <x:c r="O375" s="71" t="str">
        <x:v>app/journey/new/page.tsx</x:v>
      </x:c>
      <x:c r="P375" s="71" t="str">
        <x:v>NewTripPage:10</x:v>
      </x:c>
      <x:c r="Q375" s="71" t="str">
        <x:v>EN (default / shared)</x:v>
      </x:c>
      <x:c r="R375" s="71" t="str">
        <x:v>Already clear and direct; suggested wording intentionally keeps the current copy. Duplicate wording: appears 2 times. Terminology watch: ‘trip’ and ‘journey’ both describe the same plan. Terminology watch: ‘stops’, ‘destinations’ and ‘places’ overlap.</x:v>
      </x:c>
      <x:c r="S375" s="75" t="str">
        <x:v>Not applied — review required</x:v>
      </x:c>
    </x:row>
    <x:row r="376">
      <x:c r="A376" s="71" t="str">
        <x:v>MRV-2D04687613</x:v>
      </x:c>
      <x:c r="B376" s="71" t="str">
        <x:v>Planning</x:v>
      </x:c>
      <x:c r="C376" s="71" t="str">
        <x:v>New trip builder</x:v>
      </x:c>
      <x:c r="D376" s="71" t="str">
        <x:v>/journey/new/trip-builder</x:v>
      </x:c>
      <x:c r="E376" s="71" t="str">
        <x:v>CATALOG</x:v>
      </x:c>
      <x:c r="F376" s="71" t="str">
        <x:v>Default</x:v>
      </x:c>
      <x:c r="G376" s="71" t="str">
        <x:v>Tooltip</x:v>
      </x:c>
      <x:c r="H376" s="71" t="str">
        <x:v>Asakusa &amp; Senso-ji</x:v>
      </x:c>
      <x:c r="I376" s="71" t="str">
        <x:v>Asakusa &amp; Senso-ji</x:v>
      </x:c>
      <x:c r="J376" s="73"/>
      <x:c r="K376" s="74" t="str">
        <x:f>IF(J376="",H376,IF(J376=I376,I376,J376))</x:f>
        <x:v>Asakusa &amp; Senso-ji</x:v>
      </x:c>
      <x:c r="L376" s="74" t="str">
        <x:f>IF(J376="","Keep current",IF(J376=I376,"Use suggestion","Custom"))</x:f>
        <x:v>Keep current</x:v>
      </x:c>
      <x:c r="M376" s="71" t="str">
        <x:v>Pending review</x:v>
      </x:c>
      <x:c r="N376" s="71" t="str">
        <x:v>Normal</x:v>
      </x:c>
      <x:c r="O376" s="71" t="str">
        <x:v>app/journey/new/trip-builder.tsx</x:v>
      </x:c>
      <x:c r="P376" s="71" t="str">
        <x:v>CATALOG:59</x:v>
      </x:c>
      <x:c r="Q376" s="71" t="str">
        <x:v>EN (default / shared)</x:v>
      </x:c>
      <x:c r="R376" s="71" t="str">
        <x:v>Already clear and direct; suggested wording intentionally keeps the current copy.</x:v>
      </x:c>
      <x:c r="S376" s="75" t="str">
        <x:v>Not applied — review required</x:v>
      </x:c>
    </x:row>
    <x:row r="377">
      <x:c r="A377" s="71" t="str">
        <x:v>MRV-23523EADE6</x:v>
      </x:c>
      <x:c r="B377" s="71" t="str">
        <x:v>Planning</x:v>
      </x:c>
      <x:c r="C377" s="71" t="str">
        <x:v>New trip builder</x:v>
      </x:c>
      <x:c r="D377" s="71" t="str">
        <x:v>/journey/new/trip-builder</x:v>
      </x:c>
      <x:c r="E377" s="71" t="str">
        <x:v>CATALOG</x:v>
      </x:c>
      <x:c r="F377" s="71" t="str">
        <x:v>Default</x:v>
      </x:c>
      <x:c r="G377" s="71" t="str">
        <x:v>Tooltip</x:v>
      </x:c>
      <x:c r="H377" s="71" t="str">
        <x:v>Meiji Jingu &amp; Harajuku</x:v>
      </x:c>
      <x:c r="I377" s="71" t="str">
        <x:v>Meiji Jingu &amp; Harajuku</x:v>
      </x:c>
      <x:c r="J377" s="73"/>
      <x:c r="K377" s="74" t="str">
        <x:f>IF(J377="",H377,IF(J377=I377,I377,J377))</x:f>
        <x:v>Meiji Jingu &amp; Harajuku</x:v>
      </x:c>
      <x:c r="L377" s="74" t="str">
        <x:f>IF(J377="","Keep current",IF(J377=I377,"Use suggestion","Custom"))</x:f>
        <x:v>Keep current</x:v>
      </x:c>
      <x:c r="M377" s="71" t="str">
        <x:v>Pending review</x:v>
      </x:c>
      <x:c r="N377" s="71" t="str">
        <x:v>Normal</x:v>
      </x:c>
      <x:c r="O377" s="71" t="str">
        <x:v>app/journey/new/trip-builder.tsx</x:v>
      </x:c>
      <x:c r="P377" s="71" t="str">
        <x:v>CATALOG:60</x:v>
      </x:c>
      <x:c r="Q377" s="71" t="str">
        <x:v>EN (default / shared)</x:v>
      </x:c>
      <x:c r="R377" s="71" t="str">
        <x:v>Already clear and direct; suggested wording intentionally keeps the current copy.</x:v>
      </x:c>
      <x:c r="S377" s="75" t="str">
        <x:v>Not applied — review required</x:v>
      </x:c>
    </x:row>
    <x:row r="378">
      <x:c r="A378" s="71" t="str">
        <x:v>MRV-043B1E32B0</x:v>
      </x:c>
      <x:c r="B378" s="71" t="str">
        <x:v>Planning</x:v>
      </x:c>
      <x:c r="C378" s="71" t="str">
        <x:v>New trip builder</x:v>
      </x:c>
      <x:c r="D378" s="71" t="str">
        <x:v>/journey/new/trip-builder</x:v>
      </x:c>
      <x:c r="E378" s="71" t="str">
        <x:v>CATALOG</x:v>
      </x:c>
      <x:c r="F378" s="71" t="str">
        <x:v>Default</x:v>
      </x:c>
      <x:c r="G378" s="71" t="str">
        <x:v>Tooltip</x:v>
      </x:c>
      <x:c r="H378" s="71" t="str">
        <x:v>Mt. Takao</x:v>
      </x:c>
      <x:c r="I378" s="71" t="str">
        <x:v>Mt. Takao</x:v>
      </x:c>
      <x:c r="J378" s="73"/>
      <x:c r="K378" s="74" t="str">
        <x:f>IF(J378="",H378,IF(J378=I378,I378,J378))</x:f>
        <x:v>Mt. Takao</x:v>
      </x:c>
      <x:c r="L378" s="74" t="str">
        <x:f>IF(J378="","Keep current",IF(J378=I378,"Use suggestion","Custom"))</x:f>
        <x:v>Keep current</x:v>
      </x:c>
      <x:c r="M378" s="71" t="str">
        <x:v>Pending review</x:v>
      </x:c>
      <x:c r="N378" s="71" t="str">
        <x:v>Normal</x:v>
      </x:c>
      <x:c r="O378" s="71" t="str">
        <x:v>app/journey/new/trip-builder.tsx</x:v>
      </x:c>
      <x:c r="P378" s="71" t="str">
        <x:v>CATALOG:61</x:v>
      </x:c>
      <x:c r="Q378" s="71" t="str">
        <x:v>EN (default / shared)</x:v>
      </x:c>
      <x:c r="R378" s="71" t="str">
        <x:v>Already clear and direct; suggested wording intentionally keeps the current copy.</x:v>
      </x:c>
      <x:c r="S378" s="75" t="str">
        <x:v>Not applied — review required</x:v>
      </x:c>
    </x:row>
    <x:row r="379">
      <x:c r="A379" s="71" t="str">
        <x:v>MRV-63AB39E0C2</x:v>
      </x:c>
      <x:c r="B379" s="71" t="str">
        <x:v>Planning</x:v>
      </x:c>
      <x:c r="C379" s="71" t="str">
        <x:v>New trip builder</x:v>
      </x:c>
      <x:c r="D379" s="71" t="str">
        <x:v>/journey/new/trip-builder</x:v>
      </x:c>
      <x:c r="E379" s="71" t="str">
        <x:v>CATALOG</x:v>
      </x:c>
      <x:c r="F379" s="71" t="str">
        <x:v>Default</x:v>
      </x:c>
      <x:c r="G379" s="71" t="str">
        <x:v>Tooltip</x:v>
      </x:c>
      <x:c r="H379" s="71" t="str">
        <x:v>Tokyo Marathon</x:v>
      </x:c>
      <x:c r="I379" s="71" t="str">
        <x:v>Tokyo Marathon</x:v>
      </x:c>
      <x:c r="J379" s="73"/>
      <x:c r="K379" s="74" t="str">
        <x:f>IF(J379="",H379,IF(J379=I379,I379,J379))</x:f>
        <x:v>Tokyo Marathon</x:v>
      </x:c>
      <x:c r="L379" s="74" t="str">
        <x:f>IF(J379="","Keep current",IF(J379=I379,"Use suggestion","Custom"))</x:f>
        <x:v>Keep current</x:v>
      </x:c>
      <x:c r="M379" s="71" t="str">
        <x:v>Pending review</x:v>
      </x:c>
      <x:c r="N379" s="71" t="str">
        <x:v>Normal</x:v>
      </x:c>
      <x:c r="O379" s="71" t="str">
        <x:v>app/journey/new/trip-builder.tsx</x:v>
      </x:c>
      <x:c r="P379" s="71" t="str">
        <x:v>CATALOG:62</x:v>
      </x:c>
      <x:c r="Q379" s="71" t="str">
        <x:v>EN (default / shared)</x:v>
      </x:c>
      <x:c r="R379" s="71" t="str">
        <x:v>Already clear and direct; suggested wording intentionally keeps the current copy.</x:v>
      </x:c>
      <x:c r="S379" s="75" t="str">
        <x:v>Not applied — review required</x:v>
      </x:c>
    </x:row>
    <x:row r="380">
      <x:c r="A380" s="71" t="str">
        <x:v>MRV-B029388BFA</x:v>
      </x:c>
      <x:c r="B380" s="71" t="str">
        <x:v>Planning</x:v>
      </x:c>
      <x:c r="C380" s="71" t="str">
        <x:v>New trip builder</x:v>
      </x:c>
      <x:c r="D380" s="71" t="str">
        <x:v>/journey/new/trip-builder</x:v>
      </x:c>
      <x:c r="E380" s="71" t="str">
        <x:v>CATALOG</x:v>
      </x:c>
      <x:c r="F380" s="71" t="str">
        <x:v>Default</x:v>
      </x:c>
      <x:c r="G380" s="71" t="str">
        <x:v>Tooltip</x:v>
      </x:c>
      <x:c r="H380" s="71" t="str">
        <x:v>Food neighbourhood night</x:v>
      </x:c>
      <x:c r="I380" s="71" t="str">
        <x:v>Food neighbourhood night</x:v>
      </x:c>
      <x:c r="J380" s="73"/>
      <x:c r="K380" s="74" t="str">
        <x:f>IF(J380="",H380,IF(J380=I380,I380,J380))</x:f>
        <x:v>Food neighbourhood night</x:v>
      </x:c>
      <x:c r="L380" s="74" t="str">
        <x:f>IF(J380="","Keep current",IF(J380=I380,"Use suggestion","Custom"))</x:f>
        <x:v>Keep current</x:v>
      </x:c>
      <x:c r="M380" s="71" t="str">
        <x:v>Pending review</x:v>
      </x:c>
      <x:c r="N380" s="71" t="str">
        <x:v>Normal</x:v>
      </x:c>
      <x:c r="O380" s="71" t="str">
        <x:v>app/journey/new/trip-builder.tsx</x:v>
      </x:c>
      <x:c r="P380" s="71" t="str">
        <x:v>CATALOG:63</x:v>
      </x:c>
      <x:c r="Q380" s="71" t="str">
        <x:v>EN (default / shared)</x:v>
      </x:c>
      <x:c r="R380" s="71" t="str">
        <x:v>Already clear and direct; suggested wording intentionally keeps the current copy.</x:v>
      </x:c>
      <x:c r="S380" s="75" t="str">
        <x:v>Not applied — review required</x:v>
      </x:c>
    </x:row>
    <x:row r="381">
      <x:c r="A381" s="71" t="str">
        <x:v>MRV-4F78512300</x:v>
      </x:c>
      <x:c r="B381" s="71" t="str">
        <x:v>Planning</x:v>
      </x:c>
      <x:c r="C381" s="71" t="str">
        <x:v>New trip builder</x:v>
      </x:c>
      <x:c r="D381" s="71" t="str">
        <x:v>/journey/new/trip-builder</x:v>
      </x:c>
      <x:c r="E381" s="71" t="str">
        <x:v>CATALOG</x:v>
      </x:c>
      <x:c r="F381" s="71" t="str">
        <x:v>Default</x:v>
      </x:c>
      <x:c r="G381" s="71" t="str">
        <x:v>Tooltip</x:v>
      </x:c>
      <x:c r="H381" s="71" t="str">
        <x:v>Victoria Peak</x:v>
      </x:c>
      <x:c r="I381" s="71" t="str">
        <x:v>Victoria Peak</x:v>
      </x:c>
      <x:c r="J381" s="73"/>
      <x:c r="K381" s="74" t="str">
        <x:f>IF(J381="",H381,IF(J381=I381,I381,J381))</x:f>
        <x:v>Victoria Peak</x:v>
      </x:c>
      <x:c r="L381" s="74" t="str">
        <x:f>IF(J381="","Keep current",IF(J381=I381,"Use suggestion","Custom"))</x:f>
        <x:v>Keep current</x:v>
      </x:c>
      <x:c r="M381" s="71" t="str">
        <x:v>Pending review</x:v>
      </x:c>
      <x:c r="N381" s="71" t="str">
        <x:v>Normal</x:v>
      </x:c>
      <x:c r="O381" s="71" t="str">
        <x:v>app/journey/new/trip-builder.tsx</x:v>
      </x:c>
      <x:c r="P381" s="71" t="str">
        <x:v>CATALOG:66</x:v>
      </x:c>
      <x:c r="Q381" s="71" t="str">
        <x:v>EN (default / shared)</x:v>
      </x:c>
      <x:c r="R381" s="71" t="str">
        <x:v>Already clear and direct; suggested wording intentionally keeps the current copy.</x:v>
      </x:c>
      <x:c r="S381" s="75" t="str">
        <x:v>Not applied — review required</x:v>
      </x:c>
    </x:row>
    <x:row r="382">
      <x:c r="A382" s="71" t="str">
        <x:v>MRV-05CF9F541A</x:v>
      </x:c>
      <x:c r="B382" s="71" t="str">
        <x:v>Planning</x:v>
      </x:c>
      <x:c r="C382" s="71" t="str">
        <x:v>New trip builder</x:v>
      </x:c>
      <x:c r="D382" s="71" t="str">
        <x:v>/journey/new/trip-builder</x:v>
      </x:c>
      <x:c r="E382" s="71" t="str">
        <x:v>CATALOG</x:v>
      </x:c>
      <x:c r="F382" s="71" t="str">
        <x:v>Default</x:v>
      </x:c>
      <x:c r="G382" s="71" t="str">
        <x:v>Tooltip</x:v>
      </x:c>
      <x:c r="H382" s="71" t="str">
        <x:v>Star Ferry &amp; harbour</x:v>
      </x:c>
      <x:c r="I382" s="71" t="str">
        <x:v>Star Ferry &amp; harbour</x:v>
      </x:c>
      <x:c r="J382" s="73"/>
      <x:c r="K382" s="74" t="str">
        <x:f>IF(J382="",H382,IF(J382=I382,I382,J382))</x:f>
        <x:v>Star Ferry &amp; harbour</x:v>
      </x:c>
      <x:c r="L382" s="74" t="str">
        <x:f>IF(J382="","Keep current",IF(J382=I382,"Use suggestion","Custom"))</x:f>
        <x:v>Keep current</x:v>
      </x:c>
      <x:c r="M382" s="71" t="str">
        <x:v>Pending review</x:v>
      </x:c>
      <x:c r="N382" s="71" t="str">
        <x:v>Normal</x:v>
      </x:c>
      <x:c r="O382" s="71" t="str">
        <x:v>app/journey/new/trip-builder.tsx</x:v>
      </x:c>
      <x:c r="P382" s="71" t="str">
        <x:v>CATALOG:67</x:v>
      </x:c>
      <x:c r="Q382" s="71" t="str">
        <x:v>EN (default / shared)</x:v>
      </x:c>
      <x:c r="R382" s="71" t="str">
        <x:v>Already clear and direct; suggested wording intentionally keeps the current copy.</x:v>
      </x:c>
      <x:c r="S382" s="75" t="str">
        <x:v>Not applied — review required</x:v>
      </x:c>
    </x:row>
    <x:row r="383">
      <x:c r="A383" s="71" t="str">
        <x:v>MRV-8B7223B8F6</x:v>
      </x:c>
      <x:c r="B383" s="71" t="str">
        <x:v>Planning</x:v>
      </x:c>
      <x:c r="C383" s="71" t="str">
        <x:v>New trip builder</x:v>
      </x:c>
      <x:c r="D383" s="71" t="str">
        <x:v>/journey/new/trip-builder</x:v>
      </x:c>
      <x:c r="E383" s="71" t="str">
        <x:v>CATALOG</x:v>
      </x:c>
      <x:c r="F383" s="71" t="str">
        <x:v>Default</x:v>
      </x:c>
      <x:c r="G383" s="71" t="str">
        <x:v>Tooltip</x:v>
      </x:c>
      <x:c r="H383" s="71" t="str">
        <x:v>Dragon's Back</x:v>
      </x:c>
      <x:c r="I383" s="71" t="str">
        <x:v>Dragon's Back</x:v>
      </x:c>
      <x:c r="J383" s="73"/>
      <x:c r="K383" s="74" t="str">
        <x:f>IF(J383="",H383,IF(J383=I383,I383,J383))</x:f>
        <x:v>Dragon's Back</x:v>
      </x:c>
      <x:c r="L383" s="74" t="str">
        <x:f>IF(J383="","Keep current",IF(J383=I383,"Use suggestion","Custom"))</x:f>
        <x:v>Keep current</x:v>
      </x:c>
      <x:c r="M383" s="71" t="str">
        <x:v>Pending review</x:v>
      </x:c>
      <x:c r="N383" s="71" t="str">
        <x:v>Normal</x:v>
      </x:c>
      <x:c r="O383" s="71" t="str">
        <x:v>app/journey/new/trip-builder.tsx</x:v>
      </x:c>
      <x:c r="P383" s="71" t="str">
        <x:v>CATALOG:68</x:v>
      </x:c>
      <x:c r="Q383" s="71" t="str">
        <x:v>EN (default / shared)</x:v>
      </x:c>
      <x:c r="R383" s="71" t="str">
        <x:v>Already clear and direct; suggested wording intentionally keeps the current copy.</x:v>
      </x:c>
      <x:c r="S383" s="75" t="str">
        <x:v>Not applied — review required</x:v>
      </x:c>
    </x:row>
    <x:row r="384">
      <x:c r="A384" s="71" t="str">
        <x:v>MRV-E14752559A</x:v>
      </x:c>
      <x:c r="B384" s="71" t="str">
        <x:v>Planning</x:v>
      </x:c>
      <x:c r="C384" s="71" t="str">
        <x:v>New trip builder</x:v>
      </x:c>
      <x:c r="D384" s="71" t="str">
        <x:v>/journey/new/trip-builder</x:v>
      </x:c>
      <x:c r="E384" s="71" t="str">
        <x:v>CATALOG</x:v>
      </x:c>
      <x:c r="F384" s="71" t="str">
        <x:v>Default</x:v>
      </x:c>
      <x:c r="G384" s="71" t="str">
        <x:v>Tooltip</x:v>
      </x:c>
      <x:c r="H384" s="71" t="str">
        <x:v>Tai Kwun &amp; old Central</x:v>
      </x:c>
      <x:c r="I384" s="71" t="str">
        <x:v>Tai Kwun &amp; old Central</x:v>
      </x:c>
      <x:c r="J384" s="73"/>
      <x:c r="K384" s="74" t="str">
        <x:f>IF(J384="",H384,IF(J384=I384,I384,J384))</x:f>
        <x:v>Tai Kwun &amp; old Central</x:v>
      </x:c>
      <x:c r="L384" s="74" t="str">
        <x:f>IF(J384="","Keep current",IF(J384=I384,"Use suggestion","Custom"))</x:f>
        <x:v>Keep current</x:v>
      </x:c>
      <x:c r="M384" s="71" t="str">
        <x:v>Pending review</x:v>
      </x:c>
      <x:c r="N384" s="71" t="str">
        <x:v>Normal</x:v>
      </x:c>
      <x:c r="O384" s="71" t="str">
        <x:v>app/journey/new/trip-builder.tsx</x:v>
      </x:c>
      <x:c r="P384" s="71" t="str">
        <x:v>CATALOG:69</x:v>
      </x:c>
      <x:c r="Q384" s="71" t="str">
        <x:v>EN (default / shared)</x:v>
      </x:c>
      <x:c r="R384" s="71" t="str">
        <x:v>Already clear and direct; suggested wording intentionally keeps the current copy.</x:v>
      </x:c>
      <x:c r="S384" s="75" t="str">
        <x:v>Not applied — review required</x:v>
      </x:c>
    </x:row>
    <x:row r="385">
      <x:c r="A385" s="71" t="str">
        <x:v>MRV-6234B89ACF</x:v>
      </x:c>
      <x:c r="B385" s="71" t="str">
        <x:v>Planning</x:v>
      </x:c>
      <x:c r="C385" s="71" t="str">
        <x:v>New trip builder</x:v>
      </x:c>
      <x:c r="D385" s="71" t="str">
        <x:v>/journey/new/trip-builder</x:v>
      </x:c>
      <x:c r="E385" s="71" t="str">
        <x:v>CATALOG</x:v>
      </x:c>
      <x:c r="F385" s="71" t="str">
        <x:v>Default</x:v>
      </x:c>
      <x:c r="G385" s="71" t="str">
        <x:v>Tooltip</x:v>
      </x:c>
      <x:c r="H385" s="71" t="str">
        <x:v>Cantonese food night</x:v>
      </x:c>
      <x:c r="I385" s="71" t="str">
        <x:v>Cantonese food night</x:v>
      </x:c>
      <x:c r="J385" s="73"/>
      <x:c r="K385" s="74" t="str">
        <x:f>IF(J385="",H385,IF(J385=I385,I385,J385))</x:f>
        <x:v>Cantonese food night</x:v>
      </x:c>
      <x:c r="L385" s="74" t="str">
        <x:f>IF(J385="","Keep current",IF(J385=I385,"Use suggestion","Custom"))</x:f>
        <x:v>Keep current</x:v>
      </x:c>
      <x:c r="M385" s="71" t="str">
        <x:v>Pending review</x:v>
      </x:c>
      <x:c r="N385" s="71" t="str">
        <x:v>Normal</x:v>
      </x:c>
      <x:c r="O385" s="71" t="str">
        <x:v>app/journey/new/trip-builder.tsx</x:v>
      </x:c>
      <x:c r="P385" s="71" t="str">
        <x:v>CATALOG:70</x:v>
      </x:c>
      <x:c r="Q385" s="71" t="str">
        <x:v>EN (default / shared)</x:v>
      </x:c>
      <x:c r="R385" s="71" t="str">
        <x:v>Already clear and direct; suggested wording intentionally keeps the current copy.</x:v>
      </x:c>
      <x:c r="S385" s="75" t="str">
        <x:v>Not applied — review required</x:v>
      </x:c>
    </x:row>
    <x:row r="386">
      <x:c r="A386" s="71" t="str">
        <x:v>MRV-7DD1BF2D13</x:v>
      </x:c>
      <x:c r="B386" s="71" t="str">
        <x:v>Planning</x:v>
      </x:c>
      <x:c r="C386" s="71" t="str">
        <x:v>New trip builder</x:v>
      </x:c>
      <x:c r="D386" s="71" t="str">
        <x:v>/journey/new/trip-builder</x:v>
      </x:c>
      <x:c r="E386" s="71" t="str">
        <x:v>FILTERS</x:v>
      </x:c>
      <x:c r="F386" s="71" t="str">
        <x:v>Default</x:v>
      </x:c>
      <x:c r="G386" s="71" t="str">
        <x:v>Label</x:v>
      </x:c>
      <x:c r="H386" s="71" t="str">
        <x:v>All</x:v>
      </x:c>
      <x:c r="I386" s="71" t="str">
        <x:v>All</x:v>
      </x:c>
      <x:c r="J386" s="73"/>
      <x:c r="K386" s="74" t="str">
        <x:f>IF(J386="",H386,IF(J386=I386,I386,J386))</x:f>
        <x:v>All</x:v>
      </x:c>
      <x:c r="L386" s="74" t="str">
        <x:f>IF(J386="","Keep current",IF(J386=I386,"Use suggestion","Custom"))</x:f>
        <x:v>Keep current</x:v>
      </x:c>
      <x:c r="M386" s="71" t="str">
        <x:v>Pending review</x:v>
      </x:c>
      <x:c r="N386" s="71" t="str">
        <x:v>Normal</x:v>
      </x:c>
      <x:c r="O386" s="71" t="str">
        <x:v>app/journey/new/trip-builder.tsx</x:v>
      </x:c>
      <x:c r="P386" s="71" t="str">
        <x:v>FILTERS:104</x:v>
      </x:c>
      <x:c r="Q386" s="71" t="str">
        <x:v>EN (default / shared)</x:v>
      </x:c>
      <x:c r="R386" s="71" t="str">
        <x:v>Already clear and direct; suggested wording intentionally keeps the current copy. Duplicate wording: appears 6 times.</x:v>
      </x:c>
      <x:c r="S386" s="75" t="str">
        <x:v>Not applied — review required</x:v>
      </x:c>
    </x:row>
    <x:row r="387">
      <x:c r="A387" s="71" t="str">
        <x:v>MRV-9572DA2D79</x:v>
      </x:c>
      <x:c r="B387" s="71" t="str">
        <x:v>Planning</x:v>
      </x:c>
      <x:c r="C387" s="71" t="str">
        <x:v>New trip builder</x:v>
      </x:c>
      <x:c r="D387" s="71" t="str">
        <x:v>/journey/new/trip-builder</x:v>
      </x:c>
      <x:c r="E387" s="71" t="str">
        <x:v>FILTERS</x:v>
      </x:c>
      <x:c r="F387" s="71" t="str">
        <x:v>Default</x:v>
      </x:c>
      <x:c r="G387" s="71" t="str">
        <x:v>Label</x:v>
      </x:c>
      <x:c r="H387" s="71" t="str">
        <x:v>Food</x:v>
      </x:c>
      <x:c r="I387" s="71" t="str">
        <x:v>Food</x:v>
      </x:c>
      <x:c r="J387" s="73"/>
      <x:c r="K387" s="74" t="str">
        <x:f>IF(J387="",H387,IF(J387=I387,I387,J387))</x:f>
        <x:v>Food</x:v>
      </x:c>
      <x:c r="L387" s="74" t="str">
        <x:f>IF(J387="","Keep current",IF(J387=I387,"Use suggestion","Custom"))</x:f>
        <x:v>Keep current</x:v>
      </x:c>
      <x:c r="M387" s="71" t="str">
        <x:v>Pending review</x:v>
      </x:c>
      <x:c r="N387" s="71" t="str">
        <x:v>Normal</x:v>
      </x:c>
      <x:c r="O387" s="71" t="str">
        <x:v>app/journey/new/trip-builder.tsx</x:v>
      </x:c>
      <x:c r="P387" s="71" t="str">
        <x:v>FILTERS:104</x:v>
      </x:c>
      <x:c r="Q387" s="71" t="str">
        <x:v>EN (default / shared)</x:v>
      </x:c>
      <x:c r="R387" s="71" t="str">
        <x:v>Already clear and direct; suggested wording intentionally keeps the current copy. Duplicate wording: appears 5 times.</x:v>
      </x:c>
      <x:c r="S387" s="75" t="str">
        <x:v>Not applied — review required</x:v>
      </x:c>
    </x:row>
    <x:row r="388">
      <x:c r="A388" s="71" t="str">
        <x:v>MRV-BFBDD67F40</x:v>
      </x:c>
      <x:c r="B388" s="71" t="str">
        <x:v>Planning</x:v>
      </x:c>
      <x:c r="C388" s="71" t="str">
        <x:v>New trip builder</x:v>
      </x:c>
      <x:c r="D388" s="71" t="str">
        <x:v>/journey/new/trip-builder</x:v>
      </x:c>
      <x:c r="E388" s="71" t="str">
        <x:v>FILTERS</x:v>
      </x:c>
      <x:c r="F388" s="71" t="str">
        <x:v>Default</x:v>
      </x:c>
      <x:c r="G388" s="71" t="str">
        <x:v>Label</x:v>
      </x:c>
      <x:c r="H388" s="71" t="str">
        <x:v>Nature</x:v>
      </x:c>
      <x:c r="I388" s="71" t="str">
        <x:v>Nature</x:v>
      </x:c>
      <x:c r="J388" s="73"/>
      <x:c r="K388" s="74" t="str">
        <x:f>IF(J388="",H388,IF(J388=I388,I388,J388))</x:f>
        <x:v>Nature</x:v>
      </x:c>
      <x:c r="L388" s="74" t="str">
        <x:f>IF(J388="","Keep current",IF(J388=I388,"Use suggestion","Custom"))</x:f>
        <x:v>Keep current</x:v>
      </x:c>
      <x:c r="M388" s="71" t="str">
        <x:v>Pending review</x:v>
      </x:c>
      <x:c r="N388" s="71" t="str">
        <x:v>Normal</x:v>
      </x:c>
      <x:c r="O388" s="71" t="str">
        <x:v>app/journey/new/trip-builder.tsx</x:v>
      </x:c>
      <x:c r="P388" s="71" t="str">
        <x:v>FILTERS:104</x:v>
      </x:c>
      <x:c r="Q388" s="71" t="str">
        <x:v>EN (default / shared)</x:v>
      </x:c>
      <x:c r="R388" s="71" t="str">
        <x:v>Already clear and direct; suggested wording intentionally keeps the current copy. Duplicate wording: appears 5 times.</x:v>
      </x:c>
      <x:c r="S388" s="75" t="str">
        <x:v>Not applied — review required</x:v>
      </x:c>
    </x:row>
    <x:row r="389">
      <x:c r="A389" s="71" t="str">
        <x:v>MRV-C9F56E2A82</x:v>
      </x:c>
      <x:c r="B389" s="71" t="str">
        <x:v>Planning</x:v>
      </x:c>
      <x:c r="C389" s="71" t="str">
        <x:v>New trip builder</x:v>
      </x:c>
      <x:c r="D389" s="71" t="str">
        <x:v>/journey/new/trip-builder</x:v>
      </x:c>
      <x:c r="E389" s="71" t="str">
        <x:v>FILTERS</x:v>
      </x:c>
      <x:c r="F389" s="71" t="str">
        <x:v>Default</x:v>
      </x:c>
      <x:c r="G389" s="71" t="str">
        <x:v>Label</x:v>
      </x:c>
      <x:c r="H389" s="71" t="str">
        <x:v>Cities</x:v>
      </x:c>
      <x:c r="I389" s="71" t="str">
        <x:v>Cities</x:v>
      </x:c>
      <x:c r="J389" s="73"/>
      <x:c r="K389" s="74" t="str">
        <x:f>IF(J389="",H389,IF(J389=I389,I389,J389))</x:f>
        <x:v>Cities</x:v>
      </x:c>
      <x:c r="L389" s="74" t="str">
        <x:f>IF(J389="","Keep current",IF(J389=I389,"Use suggestion","Custom"))</x:f>
        <x:v>Keep current</x:v>
      </x:c>
      <x:c r="M389" s="71" t="str">
        <x:v>Pending review</x:v>
      </x:c>
      <x:c r="N389" s="71" t="str">
        <x:v>Normal</x:v>
      </x:c>
      <x:c r="O389" s="71" t="str">
        <x:v>app/journey/new/trip-builder.tsx</x:v>
      </x:c>
      <x:c r="P389" s="71" t="str">
        <x:v>FILTERS:104</x:v>
      </x:c>
      <x:c r="Q389" s="71" t="str">
        <x:v>EN (default / shared)</x:v>
      </x:c>
      <x:c r="R389" s="71" t="str">
        <x:v>Already clear and direct; suggested wording intentionally keeps the current copy. Duplicate wording: appears 3 times.</x:v>
      </x:c>
      <x:c r="S389" s="75" t="str">
        <x:v>Not applied — review required</x:v>
      </x:c>
    </x:row>
    <x:row r="390">
      <x:c r="A390" s="71" t="str">
        <x:v>MRV-8D32E0E042</x:v>
      </x:c>
      <x:c r="B390" s="71" t="str">
        <x:v>Planning</x:v>
      </x:c>
      <x:c r="C390" s="71" t="str">
        <x:v>New trip builder</x:v>
      </x:c>
      <x:c r="D390" s="71" t="str">
        <x:v>/journey/new/trip-builder</x:v>
      </x:c>
      <x:c r="E390" s="71" t="str">
        <x:v>FILTERS</x:v>
      </x:c>
      <x:c r="F390" s="71" t="str">
        <x:v>Default</x:v>
      </x:c>
      <x:c r="G390" s="71" t="str">
        <x:v>Label</x:v>
      </x:c>
      <x:c r="H390" s="71" t="str">
        <x:v>Beach</x:v>
      </x:c>
      <x:c r="I390" s="71" t="str">
        <x:v>Beach</x:v>
      </x:c>
      <x:c r="J390" s="73"/>
      <x:c r="K390" s="74" t="str">
        <x:f>IF(J390="",H390,IF(J390=I390,I390,J390))</x:f>
        <x:v>Beach</x:v>
      </x:c>
      <x:c r="L390" s="74" t="str">
        <x:f>IF(J390="","Keep current",IF(J390=I390,"Use suggestion","Custom"))</x:f>
        <x:v>Keep current</x:v>
      </x:c>
      <x:c r="M390" s="71" t="str">
        <x:v>Pending review</x:v>
      </x:c>
      <x:c r="N390" s="71" t="str">
        <x:v>Normal</x:v>
      </x:c>
      <x:c r="O390" s="71" t="str">
        <x:v>app/journey/new/trip-builder.tsx</x:v>
      </x:c>
      <x:c r="P390" s="71" t="str">
        <x:v>FILTERS:104</x:v>
      </x:c>
      <x:c r="Q390" s="71" t="str">
        <x:v>EN (default / shared)</x:v>
      </x:c>
      <x:c r="R390" s="71" t="str">
        <x:v>Already clear and direct; suggested wording intentionally keeps the current copy. Duplicate wording: appears 3 times.</x:v>
      </x:c>
      <x:c r="S390" s="75" t="str">
        <x:v>Not applied — review required</x:v>
      </x:c>
    </x:row>
    <x:row r="391">
      <x:c r="A391" s="71" t="str">
        <x:v>MRV-A29EA16CAD</x:v>
      </x:c>
      <x:c r="B391" s="71" t="str">
        <x:v>Planning</x:v>
      </x:c>
      <x:c r="C391" s="71" t="str">
        <x:v>New trip builder</x:v>
      </x:c>
      <x:c r="D391" s="71" t="str">
        <x:v>/journey/new/trip-builder</x:v>
      </x:c>
      <x:c r="E391" s="71" t="str">
        <x:v>STEPS</x:v>
      </x:c>
      <x:c r="F391" s="71" t="str">
        <x:v>Default</x:v>
      </x:c>
      <x:c r="G391" s="71" t="str">
        <x:v>Label</x:v>
      </x:c>
      <x:c r="H391" s="71" t="str">
        <x:v>Confirm</x:v>
      </x:c>
      <x:c r="I391" s="71" t="str">
        <x:v>Confirm</x:v>
      </x:c>
      <x:c r="J391" s="73"/>
      <x:c r="K391" s="74" t="str">
        <x:f>IF(J391="",H391,IF(J391=I391,I391,J391))</x:f>
        <x:v>Confirm</x:v>
      </x:c>
      <x:c r="L391" s="74" t="str">
        <x:f>IF(J391="","Keep current",IF(J391=I391,"Use suggestion","Custom"))</x:f>
        <x:v>Keep current</x:v>
      </x:c>
      <x:c r="M391" s="71" t="str">
        <x:v>Pending review</x:v>
      </x:c>
      <x:c r="N391" s="71" t="str">
        <x:v>Normal</x:v>
      </x:c>
      <x:c r="O391" s="71" t="str">
        <x:v>app/journey/new/trip-builder.tsx</x:v>
      </x:c>
      <x:c r="P391" s="71" t="str">
        <x:v>STEPS:106</x:v>
      </x:c>
      <x:c r="Q391" s="71" t="str">
        <x:v>EN (default / shared)</x:v>
      </x:c>
      <x:c r="R391" s="71" t="str">
        <x:v>Already clear and direct; suggested wording intentionally keeps the current copy.</x:v>
      </x:c>
      <x:c r="S391" s="75" t="str">
        <x:v>Not applied — review required</x:v>
      </x:c>
    </x:row>
    <x:row r="392">
      <x:c r="A392" s="71" t="str">
        <x:v>MRV-9A78439280</x:v>
      </x:c>
      <x:c r="B392" s="71" t="str">
        <x:v>Planning</x:v>
      </x:c>
      <x:c r="C392" s="71" t="str">
        <x:v>New trip builder</x:v>
      </x:c>
      <x:c r="D392" s="71" t="str">
        <x:v>/journey/new/trip-builder</x:v>
      </x:c>
      <x:c r="E392" s="71" t="str">
        <x:v>STEPS</x:v>
      </x:c>
      <x:c r="F392" s="71" t="str">
        <x:v>Default</x:v>
      </x:c>
      <x:c r="G392" s="71" t="str">
        <x:v>Label</x:v>
      </x:c>
      <x:c r="H392" s="71" t="str">
        <x:v>Places</x:v>
      </x:c>
      <x:c r="I392" s="71" t="str">
        <x:v>Places</x:v>
      </x:c>
      <x:c r="J392" s="73"/>
      <x:c r="K392" s="74" t="str">
        <x:f>IF(J392="",H392,IF(J392=I392,I392,J392))</x:f>
        <x:v>Places</x:v>
      </x:c>
      <x:c r="L392" s="74" t="str">
        <x:f>IF(J392="","Keep current",IF(J392=I392,"Use suggestion","Custom"))</x:f>
        <x:v>Keep current</x:v>
      </x:c>
      <x:c r="M392" s="71" t="str">
        <x:v>Pending review</x:v>
      </x:c>
      <x:c r="N392" s="71" t="str">
        <x:v>Normal</x:v>
      </x:c>
      <x:c r="O392" s="71" t="str">
        <x:v>app/journey/new/trip-builder.tsx</x:v>
      </x:c>
      <x:c r="P392" s="71" t="str">
        <x:v>STEPS:107</x:v>
      </x:c>
      <x:c r="Q392" s="71" t="str">
        <x:v>EN (default / shared)</x:v>
      </x:c>
      <x:c r="R392" s="71" t="str">
        <x:v>Already clear and direct; suggested wording intentionally keeps the current copy. Duplicate wording: appears 3 times. Terminology watch: ‘trip’ and ‘journey’ both describe the same plan. Terminology watch: ‘stops’, ‘destinations’ and ‘places’ overlap.</x:v>
      </x:c>
      <x:c r="S392" s="75" t="str">
        <x:v>Not applied — review required</x:v>
      </x:c>
    </x:row>
    <x:row r="393">
      <x:c r="A393" s="71" t="str">
        <x:v>MRV-BDFDA79333</x:v>
      </x:c>
      <x:c r="B393" s="71" t="str">
        <x:v>Planning</x:v>
      </x:c>
      <x:c r="C393" s="71" t="str">
        <x:v>New trip builder</x:v>
      </x:c>
      <x:c r="D393" s="71" t="str">
        <x:v>/journey/new/trip-builder</x:v>
      </x:c>
      <x:c r="E393" s="71" t="str">
        <x:v>STEPS</x:v>
      </x:c>
      <x:c r="F393" s="71" t="str">
        <x:v>Default</x:v>
      </x:c>
      <x:c r="G393" s="71" t="str">
        <x:v>Label</x:v>
      </x:c>
      <x:c r="H393" s="71" t="str">
        <x:v>Places</x:v>
      </x:c>
      <x:c r="I393" s="71" t="str">
        <x:v>Places</x:v>
      </x:c>
      <x:c r="J393" s="73"/>
      <x:c r="K393" s="74" t="str">
        <x:f>IF(J393="",H393,IF(J393=I393,I393,J393))</x:f>
        <x:v>Places</x:v>
      </x:c>
      <x:c r="L393" s="74" t="str">
        <x:f>IF(J393="","Keep current",IF(J393=I393,"Use suggestion","Custom"))</x:f>
        <x:v>Keep current</x:v>
      </x:c>
      <x:c r="M393" s="71" t="str">
        <x:v>Pending review</x:v>
      </x:c>
      <x:c r="N393" s="71" t="str">
        <x:v>Normal</x:v>
      </x:c>
      <x:c r="O393" s="71" t="str">
        <x:v>app/journey/new/trip-builder.tsx</x:v>
      </x:c>
      <x:c r="P393" s="71" t="str">
        <x:v>STEPS:108</x:v>
      </x:c>
      <x:c r="Q393" s="71" t="str">
        <x:v>EN (default / shared)</x:v>
      </x:c>
      <x:c r="R393" s="71" t="str">
        <x:v>Already clear and direct; suggested wording intentionally keeps the current copy. Duplicate wording: appears 3 times. Terminology watch: ‘trip’ and ‘journey’ both describe the same plan. Terminology watch: ‘stops’, ‘destinations’ and ‘places’ overlap.</x:v>
      </x:c>
      <x:c r="S393" s="75" t="str">
        <x:v>Not applied — review required</x:v>
      </x:c>
    </x:row>
    <x:row r="394">
      <x:c r="A394" s="71" t="str">
        <x:v>MRV-D205765807</x:v>
      </x:c>
      <x:c r="B394" s="71" t="str">
        <x:v>Planning</x:v>
      </x:c>
      <x:c r="C394" s="71" t="str">
        <x:v>New trip builder</x:v>
      </x:c>
      <x:c r="D394" s="71" t="str">
        <x:v>/journey/new/trip-builder</x:v>
      </x:c>
      <x:c r="E394" s="71" t="str">
        <x:v>STEPS</x:v>
      </x:c>
      <x:c r="F394" s="71" t="str">
        <x:v>Default</x:v>
      </x:c>
      <x:c r="G394" s="71" t="str">
        <x:v>Label</x:v>
      </x:c>
      <x:c r="H394" s="71" t="str">
        <x:v>Time</x:v>
      </x:c>
      <x:c r="I394" s="71" t="str">
        <x:v>Time</x:v>
      </x:c>
      <x:c r="J394" s="73"/>
      <x:c r="K394" s="74" t="str">
        <x:f>IF(J394="",H394,IF(J394=I394,I394,J394))</x:f>
        <x:v>Time</x:v>
      </x:c>
      <x:c r="L394" s="74" t="str">
        <x:f>IF(J394="","Keep current",IF(J394=I394,"Use suggestion","Custom"))</x:f>
        <x:v>Keep current</x:v>
      </x:c>
      <x:c r="M394" s="71" t="str">
        <x:v>Pending review</x:v>
      </x:c>
      <x:c r="N394" s="71" t="str">
        <x:v>Normal</x:v>
      </x:c>
      <x:c r="O394" s="71" t="str">
        <x:v>app/journey/new/trip-builder.tsx</x:v>
      </x:c>
      <x:c r="P394" s="71" t="str">
        <x:v>STEPS:109</x:v>
      </x:c>
      <x:c r="Q394" s="71" t="str">
        <x:v>EN (default / shared)</x:v>
      </x:c>
      <x:c r="R394" s="71" t="str">
        <x:v>Already clear and direct; suggested wording intentionally keeps the current copy. Duplicate wording: appears 2 times.</x:v>
      </x:c>
      <x:c r="S394" s="75" t="str">
        <x:v>Not applied — review required</x:v>
      </x:c>
    </x:row>
    <x:row r="395">
      <x:c r="A395" s="71" t="str">
        <x:v>MRV-6ED73E5AB5</x:v>
      </x:c>
      <x:c r="B395" s="71" t="str">
        <x:v>Planning</x:v>
      </x:c>
      <x:c r="C395" s="71" t="str">
        <x:v>New trip builder</x:v>
      </x:c>
      <x:c r="D395" s="71" t="str">
        <x:v>/journey/new/trip-builder</x:v>
      </x:c>
      <x:c r="E395" s="71" t="str">
        <x:v>OPEN_DAYS</x:v>
      </x:c>
      <x:c r="F395" s="71" t="str">
        <x:v>Default</x:v>
      </x:c>
      <x:c r="G395" s="71" t="str">
        <x:v>Tooltip</x:v>
      </x:c>
      <x:c r="H395" s="71" t="str">
        <x:v>Open day</x:v>
      </x:c>
      <x:c r="I395" s="71" t="str">
        <x:v>Open day</x:v>
      </x:c>
      <x:c r="J395" s="73"/>
      <x:c r="K395" s="74" t="str">
        <x:f>IF(J395="",H395,IF(J395=I395,I395,J395))</x:f>
        <x:v>Open day</x:v>
      </x:c>
      <x:c r="L395" s="74" t="str">
        <x:f>IF(J395="","Keep current",IF(J395=I395,"Use suggestion","Custom"))</x:f>
        <x:v>Keep current</x:v>
      </x:c>
      <x:c r="M395" s="71" t="str">
        <x:v>Pending review</x:v>
      </x:c>
      <x:c r="N395" s="71" t="str">
        <x:v>Normal</x:v>
      </x:c>
      <x:c r="O395" s="71" t="str">
        <x:v>app/journey/new/trip-builder.tsx</x:v>
      </x:c>
      <x:c r="P395" s="71" t="str">
        <x:v>OPEN_DAYS:114</x:v>
      </x:c>
      <x:c r="Q395" s="71" t="str">
        <x:v>EN (default / shared)</x:v>
      </x:c>
      <x:c r="R395" s="71" t="str">
        <x:v>Already clear and direct; suggested wording intentionally keeps the current copy.</x:v>
      </x:c>
      <x:c r="S395" s="75" t="str">
        <x:v>Not applied — review required</x:v>
      </x:c>
    </x:row>
    <x:row r="396">
      <x:c r="A396" s="71" t="str">
        <x:v>MRV-E125CA5923</x:v>
      </x:c>
      <x:c r="B396" s="71" t="str">
        <x:v>Planning</x:v>
      </x:c>
      <x:c r="C396" s="71" t="str">
        <x:v>New trip builder</x:v>
      </x:c>
      <x:c r="D396" s="71" t="str">
        <x:v>/journey/new/trip-builder</x:v>
      </x:c>
      <x:c r="E396" s="71" t="str">
        <x:v>OPEN_DAYS</x:v>
      </x:c>
      <x:c r="F396" s="71" t="str">
        <x:v>Default</x:v>
      </x:c>
      <x:c r="G396" s="71" t="str">
        <x:v>Tooltip</x:v>
      </x:c>
      <x:c r="H396" s="71" t="str">
        <x:v>Neighbourhood day</x:v>
      </x:c>
      <x:c r="I396" s="71" t="str">
        <x:v>Neighbourhood day</x:v>
      </x:c>
      <x:c r="J396" s="73"/>
      <x:c r="K396" s="74" t="str">
        <x:f>IF(J396="",H396,IF(J396=I396,I396,J396))</x:f>
        <x:v>Neighbourhood day</x:v>
      </x:c>
      <x:c r="L396" s="74" t="str">
        <x:f>IF(J396="","Keep current",IF(J396=I396,"Use suggestion","Custom"))</x:f>
        <x:v>Keep current</x:v>
      </x:c>
      <x:c r="M396" s="71" t="str">
        <x:v>Pending review</x:v>
      </x:c>
      <x:c r="N396" s="71" t="str">
        <x:v>Normal</x:v>
      </x:c>
      <x:c r="O396" s="71" t="str">
        <x:v>app/journey/new/trip-builder.tsx</x:v>
      </x:c>
      <x:c r="P396" s="71" t="str">
        <x:v>OPEN_DAYS:115</x:v>
      </x:c>
      <x:c r="Q396" s="71" t="str">
        <x:v>EN (default / shared)</x:v>
      </x:c>
      <x:c r="R396" s="71" t="str">
        <x:v>Already clear and direct; suggested wording intentionally keeps the current copy.</x:v>
      </x:c>
      <x:c r="S396" s="75" t="str">
        <x:v>Not applied — review required</x:v>
      </x:c>
    </x:row>
    <x:row r="397">
      <x:c r="A397" s="71" t="str">
        <x:v>MRV-A5E10D8D06</x:v>
      </x:c>
      <x:c r="B397" s="71" t="str">
        <x:v>Planning</x:v>
      </x:c>
      <x:c r="C397" s="71" t="str">
        <x:v>New trip builder</x:v>
      </x:c>
      <x:c r="D397" s="71" t="str">
        <x:v>/journey/new/trip-builder</x:v>
      </x:c>
      <x:c r="E397" s="71" t="str">
        <x:v>OPEN_DAYS</x:v>
      </x:c>
      <x:c r="F397" s="71" t="str">
        <x:v>Default</x:v>
      </x:c>
      <x:c r="G397" s="71" t="str">
        <x:v>Tooltip</x:v>
      </x:c>
      <x:c r="H397" s="71" t="str">
        <x:v>Day trip, if you feel like it</x:v>
      </x:c>
      <x:c r="I397" s="71" t="str">
        <x:v>Day trip, if you feel like it</x:v>
      </x:c>
      <x:c r="J397" s="73"/>
      <x:c r="K397" s="74" t="str">
        <x:f>IF(J397="",H397,IF(J397=I397,I397,J397))</x:f>
        <x:v>Day trip, if you feel like it</x:v>
      </x:c>
      <x:c r="L397" s="74" t="str">
        <x:f>IF(J397="","Keep current",IF(J397=I397,"Use suggestion","Custom"))</x:f>
        <x:v>Keep current</x:v>
      </x:c>
      <x:c r="M397" s="71" t="str">
        <x:v>Pending review</x:v>
      </x:c>
      <x:c r="N397" s="71" t="str">
        <x:v>Normal</x:v>
      </x:c>
      <x:c r="O397" s="71" t="str">
        <x:v>app/journey/new/trip-builder.tsx</x:v>
      </x:c>
      <x:c r="P397" s="71" t="str">
        <x:v>OPEN_DAYS:116</x:v>
      </x:c>
      <x:c r="Q397" s="71" t="str">
        <x:v>EN (default / shared)</x:v>
      </x:c>
      <x:c r="R397" s="71" t="str">
        <x:v>Already clear and direct; suggested wording intentionally keeps the current copy. Terminology watch: ‘trip’ and ‘journey’ both describe the same plan. Terminology watch: ‘stops’, ‘destinations’ and ‘places’ overlap.</x:v>
      </x:c>
      <x:c r="S397" s="75" t="str">
        <x:v>Not applied — review required</x:v>
      </x:c>
    </x:row>
    <x:row r="398">
      <x:c r="A398" s="71" t="str">
        <x:v>MRV-5C590E6963</x:v>
      </x:c>
      <x:c r="B398" s="71" t="str">
        <x:v>Planning</x:v>
      </x:c>
      <x:c r="C398" s="71" t="str">
        <x:v>New trip builder</x:v>
      </x:c>
      <x:c r="D398" s="71" t="str">
        <x:v>/journey/new/trip-builder</x:v>
      </x:c>
      <x:c r="E398" s="71" t="str">
        <x:v>OPEN_DAYS</x:v>
      </x:c>
      <x:c r="F398" s="71" t="str">
        <x:v>Default</x:v>
      </x:c>
      <x:c r="G398" s="71" t="str">
        <x:v>Tooltip</x:v>
      </x:c>
      <x:c r="H398" s="71" t="str">
        <x:v>Slow morning</x:v>
      </x:c>
      <x:c r="I398" s="71" t="str">
        <x:v>Slow morning</x:v>
      </x:c>
      <x:c r="J398" s="73"/>
      <x:c r="K398" s="74" t="str">
        <x:f>IF(J398="",H398,IF(J398=I398,I398,J398))</x:f>
        <x:v>Slow morning</x:v>
      </x:c>
      <x:c r="L398" s="74" t="str">
        <x:f>IF(J398="","Keep current",IF(J398=I398,"Use suggestion","Custom"))</x:f>
        <x:v>Keep current</x:v>
      </x:c>
      <x:c r="M398" s="71" t="str">
        <x:v>Pending review</x:v>
      </x:c>
      <x:c r="N398" s="71" t="str">
        <x:v>Normal</x:v>
      </x:c>
      <x:c r="O398" s="71" t="str">
        <x:v>app/journey/new/trip-builder.tsx</x:v>
      </x:c>
      <x:c r="P398" s="71" t="str">
        <x:v>OPEN_DAYS:117</x:v>
      </x:c>
      <x:c r="Q398" s="71" t="str">
        <x:v>EN (default / shared)</x:v>
      </x:c>
      <x:c r="R398" s="71" t="str">
        <x:v>Already clear and direct; suggested wording intentionally keeps the current copy.</x:v>
      </x:c>
      <x:c r="S398" s="75" t="str">
        <x:v>Not applied — review required</x:v>
      </x:c>
    </x:row>
    <x:row r="399">
      <x:c r="A399" s="71" t="str">
        <x:v>MRV-8C84828E7D</x:v>
      </x:c>
      <x:c r="B399" s="71" t="str">
        <x:v>Planning</x:v>
      </x:c>
      <x:c r="C399" s="71" t="str">
        <x:v>New trip builder</x:v>
      </x:c>
      <x:c r="D399" s="71" t="str">
        <x:v>/journey/new/trip-builder</x:v>
      </x:c>
      <x:c r="E399" s="71" t="str">
        <x:v>OPEN_DAYS</x:v>
      </x:c>
      <x:c r="F399" s="71" t="str">
        <x:v>Default</x:v>
      </x:c>
      <x:c r="G399" s="71" t="str">
        <x:v>Tooltip</x:v>
      </x:c>
      <x:c r="H399" s="71" t="str">
        <x:v>Repeat day</x:v>
      </x:c>
      <x:c r="I399" s="71" t="str">
        <x:v>Repeat day</x:v>
      </x:c>
      <x:c r="J399" s="73"/>
      <x:c r="K399" s="74" t="str">
        <x:f>IF(J399="",H399,IF(J399=I399,I399,J399))</x:f>
        <x:v>Repeat day</x:v>
      </x:c>
      <x:c r="L399" s="74" t="str">
        <x:f>IF(J399="","Keep current",IF(J399=I399,"Use suggestion","Custom"))</x:f>
        <x:v>Keep current</x:v>
      </x:c>
      <x:c r="M399" s="71" t="str">
        <x:v>Pending review</x:v>
      </x:c>
      <x:c r="N399" s="71" t="str">
        <x:v>Normal</x:v>
      </x:c>
      <x:c r="O399" s="71" t="str">
        <x:v>app/journey/new/trip-builder.tsx</x:v>
      </x:c>
      <x:c r="P399" s="71" t="str">
        <x:v>OPEN_DAYS:118</x:v>
      </x:c>
      <x:c r="Q399" s="71" t="str">
        <x:v>EN (default / shared)</x:v>
      </x:c>
      <x:c r="R399" s="71" t="str">
        <x:v>Already clear and direct; suggested wording intentionally keeps the current copy.</x:v>
      </x:c>
      <x:c r="S399" s="75" t="str">
        <x:v>Not applied — review required</x:v>
      </x:c>
    </x:row>
    <x:row r="400">
      <x:c r="A400" s="71" t="str">
        <x:v>MRV-A3D214043F</x:v>
      </x:c>
      <x:c r="B400" s="71" t="str">
        <x:v>Planning</x:v>
      </x:c>
      <x:c r="C400" s="71" t="str">
        <x:v>New trip builder</x:v>
      </x:c>
      <x:c r="D400" s="71" t="str">
        <x:v>/journey/new/trip-builder</x:v>
      </x:c>
      <x:c r="E400" s="71" t="str">
        <x:v>durationLabel</x:v>
      </x:c>
      <x:c r="F400" s="71" t="str">
        <x:v>Default</x:v>
      </x:c>
      <x:c r="G400" s="71" t="str">
        <x:v>Label</x:v>
      </x:c>
      <x:c r="H400" s="71" t="str">
        <x:v>Transfer to confirm</x:v>
      </x:c>
      <x:c r="I400" s="71" t="str">
        <x:v>Transfer to confirm</x:v>
      </x:c>
      <x:c r="J400" s="73"/>
      <x:c r="K400" s="74" t="str">
        <x:f>IF(J400="",H400,IF(J400=I400,I400,J400))</x:f>
        <x:v>Transfer to confirm</x:v>
      </x:c>
      <x:c r="L400" s="74" t="str">
        <x:f>IF(J400="","Keep current",IF(J400=I400,"Use suggestion","Custom"))</x:f>
        <x:v>Keep current</x:v>
      </x:c>
      <x:c r="M400" s="71" t="str">
        <x:v>Pending review</x:v>
      </x:c>
      <x:c r="N400" s="71" t="str">
        <x:v>Normal</x:v>
      </x:c>
      <x:c r="O400" s="71" t="str">
        <x:v>app/journey/new/trip-builder.tsx</x:v>
      </x:c>
      <x:c r="P400" s="71" t="str">
        <x:v>durationLabel:141</x:v>
      </x:c>
      <x:c r="Q400" s="71" t="str">
        <x:v>EN (default / shared)</x:v>
      </x:c>
      <x:c r="R400" s="71" t="str">
        <x:v>Already clear and direct; suggested wording intentionally keeps the current copy. Duplicate wording: appears 2 times.</x:v>
      </x:c>
      <x:c r="S400" s="75" t="str">
        <x:v>Not applied — review required</x:v>
      </x:c>
    </x:row>
    <x:row r="401">
      <x:c r="A401" s="71" t="str">
        <x:v>MRV-EFD874EB78</x:v>
      </x:c>
      <x:c r="B401" s="71" t="str">
        <x:v>Planning</x:v>
      </x:c>
      <x:c r="C401" s="71" t="str">
        <x:v>New trip builder</x:v>
      </x:c>
      <x:c r="D401" s="71" t="str">
        <x:v>/journey/new/trip-builder</x:v>
      </x:c>
      <x:c r="E401" s="71" t="str">
        <x:v>durationLabel</x:v>
      </x:c>
      <x:c r="F401" s="71" t="str">
        <x:v>Default</x:v>
      </x:c>
      <x:c r="G401" s="71" t="str">
        <x:v>Body copy</x:v>
      </x:c>
      <x:c r="H401" s="71" t="str">
        <x:v>~{Math.floor(minutes / 60) ? `{Math.floor(minutes / 60)}h ` : ""}{minutes % 60 ? `{minutes % 60}m` : ""}</x:v>
      </x:c>
      <x:c r="I401" s="71" t="str">
        <x:v>~{Math.floor(minutes / 60) ? `{Math.floor(minutes / 60)}h ` : ""}{minutes % 60 ? `{minutes % 60}m` : ""}</x:v>
      </x:c>
      <x:c r="J401" s="73"/>
      <x:c r="K401" s="74" t="str">
        <x:f>IF(J401="",H401,IF(J401=I401,I401,J401))</x:f>
        <x:v>~{Math.floor(minutes / 60) ? `{Math.floor(minutes / 60)}h ` : ""}{minutes % 60 ? `{minutes % 60}m` : ""}</x:v>
      </x:c>
      <x:c r="L401" s="74" t="str">
        <x:f>IF(J401="","Keep current",IF(J401=I401,"Use suggestion","Custom"))</x:f>
        <x:v>Keep current</x:v>
      </x:c>
      <x:c r="M401" s="71" t="str">
        <x:v>Pending review</x:v>
      </x:c>
      <x:c r="N401" s="71" t="str">
        <x:v>Normal</x:v>
      </x:c>
      <x:c r="O401" s="71" t="str">
        <x:v>app/journey/new/trip-builder.tsx</x:v>
      </x:c>
      <x:c r="P401" s="71" t="str">
        <x:v>durationLabel:141</x:v>
      </x:c>
      <x:c r="Q401" s="71" t="str">
        <x:v>EN (default / shared)</x:v>
      </x:c>
      <x:c r="R401" s="71" t="str">
        <x:v>Already clear and direct; suggested wording intentionally keeps the current copy. Dynamic traveller or trip value is represented as a token; user-generated values are excluded.</x:v>
      </x:c>
      <x:c r="S401" s="75" t="str">
        <x:v>Not applied — review required</x:v>
      </x:c>
    </x:row>
    <x:row r="402">
      <x:c r="A402" s="71" t="str">
        <x:v>MRV-887A9C5373</x:v>
      </x:c>
      <x:c r="B402" s="71" t="str">
        <x:v>Planning</x:v>
      </x:c>
      <x:c r="C402" s="71" t="str">
        <x:v>New trip builder</x:v>
      </x:c>
      <x:c r="D402" s="71" t="str">
        <x:v>/journey/new/trip-builder</x:v>
      </x:c>
      <x:c r="E402" s="71" t="str">
        <x:v>durationLabel</x:v>
      </x:c>
      <x:c r="F402" s="71" t="str">
        <x:v>Default</x:v>
      </x:c>
      <x:c r="G402" s="71" t="str">
        <x:v>Body copy</x:v>
      </x:c>
      <x:c r="H402" s="71" t="str">
        <x:v>{Math.floor(minutes / 60)}h</x:v>
      </x:c>
      <x:c r="I402" s="71" t="str">
        <x:v>{Math.floor(minutes / 60)}h</x:v>
      </x:c>
      <x:c r="J402" s="73"/>
      <x:c r="K402" s="74" t="str">
        <x:f>IF(J402="",H402,IF(J402=I402,I402,J402))</x:f>
        <x:v>{Math.floor(minutes / 60)}h</x:v>
      </x:c>
      <x:c r="L402" s="74" t="str">
        <x:f>IF(J402="","Keep current",IF(J402=I402,"Use suggestion","Custom"))</x:f>
        <x:v>Keep current</x:v>
      </x:c>
      <x:c r="M402" s="71" t="str">
        <x:v>Pending review</x:v>
      </x:c>
      <x:c r="N402" s="71" t="str">
        <x:v>Normal</x:v>
      </x:c>
      <x:c r="O402" s="71" t="str">
        <x:v>app/journey/new/trip-builder.tsx</x:v>
      </x:c>
      <x:c r="P402" s="71" t="str">
        <x:v>durationLabel:141</x:v>
      </x:c>
      <x:c r="Q402" s="71" t="str">
        <x:v>EN (default / shared)</x:v>
      </x:c>
      <x:c r="R402" s="71" t="str">
        <x:v>Already clear and direct; suggested wording intentionally keeps the current copy. Dynamic traveller or trip value is represented as a token; user-generated values are excluded.</x:v>
      </x:c>
      <x:c r="S402" s="75" t="str">
        <x:v>Not applied — review required</x:v>
      </x:c>
    </x:row>
    <x:row r="403">
      <x:c r="A403" s="71" t="str">
        <x:v>MRV-1960A83BBD</x:v>
      </x:c>
      <x:c r="B403" s="71" t="str">
        <x:v>Planning</x:v>
      </x:c>
      <x:c r="C403" s="71" t="str">
        <x:v>New trip builder</x:v>
      </x:c>
      <x:c r="D403" s="71" t="str">
        <x:v>/journey/new/trip-builder</x:v>
      </x:c>
      <x:c r="E403" s="71" t="str">
        <x:v>durationLabel</x:v>
      </x:c>
      <x:c r="F403" s="71" t="str">
        <x:v>Default</x:v>
      </x:c>
      <x:c r="G403" s="71" t="str">
        <x:v>Label</x:v>
      </x:c>
      <x:c r="H403" s="71" t="str">
        <x:v>{minutes % 60}m</x:v>
      </x:c>
      <x:c r="I403" s="71" t="str">
        <x:v>{minutes % 60}m</x:v>
      </x:c>
      <x:c r="J403" s="73"/>
      <x:c r="K403" s="74" t="str">
        <x:f>IF(J403="",H403,IF(J403=I403,I403,J403))</x:f>
        <x:v>{minutes % 60}m</x:v>
      </x:c>
      <x:c r="L403" s="74" t="str">
        <x:f>IF(J403="","Keep current",IF(J403=I403,"Use suggestion","Custom"))</x:f>
        <x:v>Keep current</x:v>
      </x:c>
      <x:c r="M403" s="71" t="str">
        <x:v>Pending review</x:v>
      </x:c>
      <x:c r="N403" s="71" t="str">
        <x:v>Normal</x:v>
      </x:c>
      <x:c r="O403" s="71" t="str">
        <x:v>app/journey/new/trip-builder.tsx</x:v>
      </x:c>
      <x:c r="P403" s="71" t="str">
        <x:v>durationLabel:141</x:v>
      </x:c>
      <x:c r="Q403" s="71" t="str">
        <x:v>EN (default / shared)</x:v>
      </x:c>
      <x:c r="R403" s="71" t="str">
        <x:v>Already clear and direct; suggested wording intentionally keeps the current copy. Dynamic traveller or trip value is represented as a token; user-generated values are excluded.</x:v>
      </x:c>
      <x:c r="S403" s="75" t="str">
        <x:v>Not applied — review required</x:v>
      </x:c>
    </x:row>
    <x:row r="404">
      <x:c r="A404" s="71" t="str">
        <x:v>MRV-353084E5E6</x:v>
      </x:c>
      <x:c r="B404" s="71" t="str">
        <x:v>Planning</x:v>
      </x:c>
      <x:c r="C404" s="71" t="str">
        <x:v>New trip builder</x:v>
      </x:c>
      <x:c r="D404" s="71" t="str">
        <x:v>/journey/new/trip-builder</x:v>
      </x:c>
      <x:c r="E404" s="71" t="str">
        <x:v>d</x:v>
      </x:c>
      <x:c r="F404" s="71" t="str">
        <x:v>Default</x:v>
      </x:c>
      <x:c r="G404" s="71" t="str">
        <x:v>Label</x:v>
      </x:c>
      <x:c r="H404" s="71" t="str">
        <x:v>{value}T00:00:00</x:v>
      </x:c>
      <x:c r="I404" s="71" t="str">
        <x:v>{value}T00:00:00</x:v>
      </x:c>
      <x:c r="J404" s="73"/>
      <x:c r="K404" s="74" t="str">
        <x:f>IF(J404="",H404,IF(J404=I404,I404,J404))</x:f>
        <x:v>{value}T00:00:00</x:v>
      </x:c>
      <x:c r="L404" s="74" t="str">
        <x:f>IF(J404="","Keep current",IF(J404=I404,"Use suggestion","Custom"))</x:f>
        <x:v>Keep current</x:v>
      </x:c>
      <x:c r="M404" s="71" t="str">
        <x:v>Pending review</x:v>
      </x:c>
      <x:c r="N404" s="71" t="str">
        <x:v>Normal</x:v>
      </x:c>
      <x:c r="O404" s="71" t="str">
        <x:v>app/journey/new/trip-builder.tsx</x:v>
      </x:c>
      <x:c r="P404" s="71" t="str">
        <x:v>d:145</x:v>
      </x:c>
      <x:c r="Q404" s="71" t="str">
        <x:v>EN (default / shared)</x:v>
      </x:c>
      <x:c r="R404" s="71" t="str">
        <x:v>Already clear and direct; suggested wording intentionally keeps the current copy. Duplicate wording: appears 2 times. Dynamic traveller or trip value is represented as a token; user-generated values are excluded.</x:v>
      </x:c>
      <x:c r="S404" s="75" t="str">
        <x:v>Not applied — review required</x:v>
      </x:c>
    </x:row>
    <x:row r="405">
      <x:c r="A405" s="71" t="str">
        <x:v>MRV-8AB34E6BC1</x:v>
      </x:c>
      <x:c r="B405" s="71" t="str">
        <x:v>Planning</x:v>
      </x:c>
      <x:c r="C405" s="71" t="str">
        <x:v>New trip builder</x:v>
      </x:c>
      <x:c r="D405" s="71" t="str">
        <x:v>/journey/new/trip-builder</x:v>
      </x:c>
      <x:c r="E405" s="71" t="str">
        <x:v>placeStateLabel</x:v>
      </x:c>
      <x:c r="F405" s="71" t="str">
        <x:v>Default</x:v>
      </x:c>
      <x:c r="G405" s="71" t="str">
        <x:v>Label</x:v>
      </x:c>
      <x:c r="H405" s="71" t="str">
        <x:v>Excluded</x:v>
      </x:c>
      <x:c r="I405" s="71" t="str">
        <x:v>Excluded</x:v>
      </x:c>
      <x:c r="J405" s="73"/>
      <x:c r="K405" s="74" t="str">
        <x:f>IF(J405="",H405,IF(J405=I405,I405,J405))</x:f>
        <x:v>Excluded</x:v>
      </x:c>
      <x:c r="L405" s="74" t="str">
        <x:f>IF(J405="","Keep current",IF(J405=I405,"Use suggestion","Custom"))</x:f>
        <x:v>Keep current</x:v>
      </x:c>
      <x:c r="M405" s="71" t="str">
        <x:v>Pending review</x:v>
      </x:c>
      <x:c r="N405" s="71" t="str">
        <x:v>Normal</x:v>
      </x:c>
      <x:c r="O405" s="71" t="str">
        <x:v>app/journey/new/trip-builder.tsx</x:v>
      </x:c>
      <x:c r="P405" s="71" t="str">
        <x:v>placeStateLabel:171</x:v>
      </x:c>
      <x:c r="Q405" s="71" t="str">
        <x:v>EN (default / shared)</x:v>
      </x:c>
      <x:c r="R405" s="71" t="str">
        <x:v>Already clear and direct; suggested wording intentionally keeps the current copy.</x:v>
      </x:c>
      <x:c r="S405" s="75" t="str">
        <x:v>Not applied — review required</x:v>
      </x:c>
    </x:row>
    <x:row r="406">
      <x:c r="A406" s="71" t="str">
        <x:v>MRV-A6E749EA35</x:v>
      </x:c>
      <x:c r="B406" s="71" t="str">
        <x:v>Planning</x:v>
      </x:c>
      <x:c r="C406" s="71" t="str">
        <x:v>New trip builder</x:v>
      </x:c>
      <x:c r="D406" s="71" t="str">
        <x:v>/journey/new/trip-builder</x:v>
      </x:c>
      <x:c r="E406" s="71" t="str">
        <x:v>placeStateLabel</x:v>
      </x:c>
      <x:c r="F406" s="71" t="str">
        <x:v>Default</x:v>
      </x:c>
      <x:c r="G406" s="71" t="str">
        <x:v>Label</x:v>
      </x:c>
      <x:c r="H406" s="71" t="str">
        <x:v>Base selected</x:v>
      </x:c>
      <x:c r="I406" s="71" t="str">
        <x:v>Base selected</x:v>
      </x:c>
      <x:c r="J406" s="73"/>
      <x:c r="K406" s="74" t="str">
        <x:f>IF(J406="",H406,IF(J406=I406,I406,J406))</x:f>
        <x:v>Base selected</x:v>
      </x:c>
      <x:c r="L406" s="74" t="str">
        <x:f>IF(J406="","Keep current",IF(J406=I406,"Use suggestion","Custom"))</x:f>
        <x:v>Keep current</x:v>
      </x:c>
      <x:c r="M406" s="71" t="str">
        <x:v>Pending review</x:v>
      </x:c>
      <x:c r="N406" s="71" t="str">
        <x:v>Normal</x:v>
      </x:c>
      <x:c r="O406" s="71" t="str">
        <x:v>app/journey/new/trip-builder.tsx</x:v>
      </x:c>
      <x:c r="P406" s="71" t="str">
        <x:v>placeStateLabel:172</x:v>
      </x:c>
      <x:c r="Q406" s="71" t="str">
        <x:v>EN (default / shared)</x:v>
      </x:c>
      <x:c r="R406" s="71" t="str">
        <x:v>Already clear and direct; suggested wording intentionally keeps the current copy.</x:v>
      </x:c>
      <x:c r="S406" s="75" t="str">
        <x:v>Not applied — review required</x:v>
      </x:c>
    </x:row>
    <x:row r="407">
      <x:c r="A407" s="71" t="str">
        <x:v>MRV-0AA591BD5C</x:v>
      </x:c>
      <x:c r="B407" s="71" t="str">
        <x:v>Planning</x:v>
      </x:c>
      <x:c r="C407" s="71" t="str">
        <x:v>New trip builder</x:v>
      </x:c>
      <x:c r="D407" s="71" t="str">
        <x:v>/journey/new/trip-builder</x:v>
      </x:c>
      <x:c r="E407" s="71" t="str">
        <x:v>placeStateLabel</x:v>
      </x:c>
      <x:c r="F407" s="71" t="str">
        <x:v>Default</x:v>
      </x:c>
      <x:c r="G407" s="71" t="str">
        <x:v>Label</x:v>
      </x:c>
      <x:c r="H407" s="71" t="str">
        <x:v>Needs confirmation</x:v>
      </x:c>
      <x:c r="I407" s="71" t="str">
        <x:v>Needs confirmation</x:v>
      </x:c>
      <x:c r="J407" s="73"/>
      <x:c r="K407" s="74" t="str">
        <x:f>IF(J407="",H407,IF(J407=I407,I407,J407))</x:f>
        <x:v>Needs confirmation</x:v>
      </x:c>
      <x:c r="L407" s="74" t="str">
        <x:f>IF(J407="","Keep current",IF(J407=I407,"Use suggestion","Custom"))</x:f>
        <x:v>Keep current</x:v>
      </x:c>
      <x:c r="M407" s="71" t="str">
        <x:v>Pending review</x:v>
      </x:c>
      <x:c r="N407" s="71" t="str">
        <x:v>Normal</x:v>
      </x:c>
      <x:c r="O407" s="71" t="str">
        <x:v>app/journey/new/trip-builder.tsx</x:v>
      </x:c>
      <x:c r="P407" s="71" t="str">
        <x:v>placeStateLabel:173</x:v>
      </x:c>
      <x:c r="Q407" s="71" t="str">
        <x:v>EN (default / shared)</x:v>
      </x:c>
      <x:c r="R407" s="71" t="str">
        <x:v>Already clear and direct; suggested wording intentionally keeps the current copy.</x:v>
      </x:c>
      <x:c r="S407" s="75" t="str">
        <x:v>Not applied — review required</x:v>
      </x:c>
    </x:row>
    <x:row r="408">
      <x:c r="A408" s="71" t="str">
        <x:v>MRV-73530747AA</x:v>
      </x:c>
      <x:c r="B408" s="71" t="str">
        <x:v>Planning</x:v>
      </x:c>
      <x:c r="C408" s="71" t="str">
        <x:v>New trip builder</x:v>
      </x:c>
      <x:c r="D408" s="71" t="str">
        <x:v>/journey/new/trip-builder</x:v>
      </x:c>
      <x:c r="E408" s="71" t="str">
        <x:v>placeStateLabel</x:v>
      </x:c>
      <x:c r="F408" s="71" t="str">
        <x:v>Default</x:v>
      </x:c>
      <x:c r="G408" s="71" t="str">
        <x:v>Label</x:v>
      </x:c>
      <x:c r="H408" s="71" t="str">
        <x:v>Unresolved</x:v>
      </x:c>
      <x:c r="I408" s="71" t="str">
        <x:v>Unresolved</x:v>
      </x:c>
      <x:c r="J408" s="73"/>
      <x:c r="K408" s="74" t="str">
        <x:f>IF(J408="",H408,IF(J408=I408,I408,J408))</x:f>
        <x:v>Unresolved</x:v>
      </x:c>
      <x:c r="L408" s="74" t="str">
        <x:f>IF(J408="","Keep current",IF(J408=I408,"Use suggestion","Custom"))</x:f>
        <x:v>Keep current</x:v>
      </x:c>
      <x:c r="M408" s="71" t="str">
        <x:v>Pending review</x:v>
      </x:c>
      <x:c r="N408" s="71" t="str">
        <x:v>Normal</x:v>
      </x:c>
      <x:c r="O408" s="71" t="str">
        <x:v>app/journey/new/trip-builder.tsx</x:v>
      </x:c>
      <x:c r="P408" s="71" t="str">
        <x:v>placeStateLabel:174</x:v>
      </x:c>
      <x:c r="Q408" s="71" t="str">
        <x:v>EN (default / shared)</x:v>
      </x:c>
      <x:c r="R408" s="71" t="str">
        <x:v>Already clear and direct; suggested wording intentionally keeps the current copy.</x:v>
      </x:c>
      <x:c r="S408" s="75" t="str">
        <x:v>Not applied — review required</x:v>
      </x:c>
    </x:row>
    <x:row r="409">
      <x:c r="A409" s="71" t="str">
        <x:v>MRV-E9C7688DA5</x:v>
      </x:c>
      <x:c r="B409" s="71" t="str">
        <x:v>Planning</x:v>
      </x:c>
      <x:c r="C409" s="71" t="str">
        <x:v>New trip builder</x:v>
      </x:c>
      <x:c r="D409" s="71" t="str">
        <x:v>/journey/new/trip-builder</x:v>
      </x:c>
      <x:c r="E409" s="71" t="str">
        <x:v>placeStateLabel</x:v>
      </x:c>
      <x:c r="F409" s="71" t="str">
        <x:v>Default</x:v>
      </x:c>
      <x:c r="G409" s="71" t="str">
        <x:v>Label</x:v>
      </x:c>
      <x:c r="H409" s="71" t="str">
        <x:v>Needs a base</x:v>
      </x:c>
      <x:c r="I409" s="71" t="str">
        <x:v>Needs a base</x:v>
      </x:c>
      <x:c r="J409" s="73"/>
      <x:c r="K409" s="74" t="str">
        <x:f>IF(J409="",H409,IF(J409=I409,I409,J409))</x:f>
        <x:v>Needs a base</x:v>
      </x:c>
      <x:c r="L409" s="74" t="str">
        <x:f>IF(J409="","Keep current",IF(J409=I409,"Use suggestion","Custom"))</x:f>
        <x:v>Keep current</x:v>
      </x:c>
      <x:c r="M409" s="71" t="str">
        <x:v>Pending review</x:v>
      </x:c>
      <x:c r="N409" s="71" t="str">
        <x:v>Normal</x:v>
      </x:c>
      <x:c r="O409" s="71" t="str">
        <x:v>app/journey/new/trip-builder.tsx</x:v>
      </x:c>
      <x:c r="P409" s="71" t="str">
        <x:v>placeStateLabel:175</x:v>
      </x:c>
      <x:c r="Q409" s="71" t="str">
        <x:v>EN (default / shared)</x:v>
      </x:c>
      <x:c r="R409" s="71" t="str">
        <x:v>Already clear and direct; suggested wording intentionally keeps the current copy.</x:v>
      </x:c>
      <x:c r="S409" s="75" t="str">
        <x:v>Not applied — review required</x:v>
      </x:c>
    </x:row>
    <x:row r="410">
      <x:c r="A410" s="71" t="str">
        <x:v>MRV-5CCE28602B</x:v>
      </x:c>
      <x:c r="B410" s="71" t="str">
        <x:v>Planning</x:v>
      </x:c>
      <x:c r="C410" s="71" t="str">
        <x:v>New trip builder</x:v>
      </x:c>
      <x:c r="D410" s="71" t="str">
        <x:v>/journey/new/trip-builder</x:v>
      </x:c>
      <x:c r="E410" s="71" t="str">
        <x:v>placeStateLabel</x:v>
      </x:c>
      <x:c r="F410" s="71" t="str">
        <x:v>Default</x:v>
      </x:c>
      <x:c r="G410" s="71" t="str">
        <x:v>Label</x:v>
      </x:c>
      <x:c r="H410" s="71" t="str">
        <x:v>Kept as an anchor</x:v>
      </x:c>
      <x:c r="I410" s="71" t="str">
        <x:v>Kept as an anchor</x:v>
      </x:c>
      <x:c r="J410" s="73"/>
      <x:c r="K410" s="74" t="str">
        <x:f>IF(J410="",H410,IF(J410=I410,I410,J410))</x:f>
        <x:v>Kept as an anchor</x:v>
      </x:c>
      <x:c r="L410" s="74" t="str">
        <x:f>IF(J410="","Keep current",IF(J410=I410,"Use suggestion","Custom"))</x:f>
        <x:v>Keep current</x:v>
      </x:c>
      <x:c r="M410" s="71" t="str">
        <x:v>Pending review</x:v>
      </x:c>
      <x:c r="N410" s="71" t="str">
        <x:v>Normal</x:v>
      </x:c>
      <x:c r="O410" s="71" t="str">
        <x:v>app/journey/new/trip-builder.tsx</x:v>
      </x:c>
      <x:c r="P410" s="71" t="str">
        <x:v>placeStateLabel:176</x:v>
      </x:c>
      <x:c r="Q410" s="71" t="str">
        <x:v>EN (default / shared)</x:v>
      </x:c>
      <x:c r="R410" s="71" t="str">
        <x:v>Already clear and direct; suggested wording intentionally keeps the current copy.</x:v>
      </x:c>
      <x:c r="S410" s="75" t="str">
        <x:v>Not applied — review required</x:v>
      </x:c>
    </x:row>
    <x:row r="411">
      <x:c r="A411" s="71" t="str">
        <x:v>MRV-443AE6984C</x:v>
      </x:c>
      <x:c r="B411" s="71" t="str">
        <x:v>Planning</x:v>
      </x:c>
      <x:c r="C411" s="71" t="str">
        <x:v>New trip builder</x:v>
      </x:c>
      <x:c r="D411" s="71" t="str">
        <x:v>/journey/new/trip-builder</x:v>
      </x:c>
      <x:c r="E411" s="71" t="str">
        <x:v>placeStateLabel</x:v>
      </x:c>
      <x:c r="F411" s="71" t="str">
        <x:v>Default</x:v>
      </x:c>
      <x:c r="G411" s="71" t="str">
        <x:v>Label</x:v>
      </x:c>
      <x:c r="H411" s="71" t="str">
        <x:v>Route destination</x:v>
      </x:c>
      <x:c r="I411" s="71" t="str">
        <x:v>Route destination</x:v>
      </x:c>
      <x:c r="J411" s="73"/>
      <x:c r="K411" s="74" t="str">
        <x:f>IF(J411="",H411,IF(J411=I411,I411,J411))</x:f>
        <x:v>Route destination</x:v>
      </x:c>
      <x:c r="L411" s="74" t="str">
        <x:f>IF(J411="","Keep current",IF(J411=I411,"Use suggestion","Custom"))</x:f>
        <x:v>Keep current</x:v>
      </x:c>
      <x:c r="M411" s="71" t="str">
        <x:v>Pending review</x:v>
      </x:c>
      <x:c r="N411" s="71" t="str">
        <x:v>Normal</x:v>
      </x:c>
      <x:c r="O411" s="71" t="str">
        <x:v>app/journey/new/trip-builder.tsx</x:v>
      </x:c>
      <x:c r="P411" s="71" t="str">
        <x:v>placeStateLabel:177</x:v>
      </x:c>
      <x:c r="Q411" s="71" t="str">
        <x:v>EN (default / shared)</x:v>
      </x:c>
      <x:c r="R411" s="71" t="str">
        <x:v>Already clear and direct; suggested wording intentionally keeps the current copy. Terminology watch: ‘trip’ and ‘journey’ both describe the same plan. Terminology watch: ‘stops’, ‘destinations’ and ‘places’ overlap.</x:v>
      </x:c>
      <x:c r="S411" s="75" t="str">
        <x:v>Not applied — review required</x:v>
      </x:c>
    </x:row>
    <x:row r="412">
      <x:c r="A412" s="71" t="str">
        <x:v>MRV-5B1AAD2FB6</x:v>
      </x:c>
      <x:c r="B412" s="71" t="str">
        <x:v>Planning</x:v>
      </x:c>
      <x:c r="C412" s="71" t="str">
        <x:v>New trip builder</x:v>
      </x:c>
      <x:c r="D412" s="71" t="str">
        <x:v>/journey/new/trip-builder</x:v>
      </x:c>
      <x:c r="E412" s="71" t="str">
        <x:v>placeImageFor</x:v>
      </x:c>
      <x:c r="F412" s="71" t="str">
        <x:v>Default</x:v>
      </x:c>
      <x:c r="G412" s="71" t="str">
        <x:v>Body copy</x:v>
      </x:c>
      <x:c r="H412" s="71" t="str">
        <x:v>{image.alt} {image.caption}</x:v>
      </x:c>
      <x:c r="I412" s="71" t="str">
        <x:v>{image.alt} {image.caption}</x:v>
      </x:c>
      <x:c r="J412" s="73"/>
      <x:c r="K412" s="74" t="str">
        <x:f>IF(J412="",H412,IF(J412=I412,I412,J412))</x:f>
        <x:v>{image.alt} {image.caption}</x:v>
      </x:c>
      <x:c r="L412" s="74" t="str">
        <x:f>IF(J412="","Keep current",IF(J412=I412,"Use suggestion","Custom"))</x:f>
        <x:v>Keep current</x:v>
      </x:c>
      <x:c r="M412" s="71" t="str">
        <x:v>Pending review</x:v>
      </x:c>
      <x:c r="N412" s="71" t="str">
        <x:v>Normal</x:v>
      </x:c>
      <x:c r="O412" s="71" t="str">
        <x:v>app/journey/new/trip-builder.tsx</x:v>
      </x:c>
      <x:c r="P412" s="71" t="str">
        <x:v>placeImageFor:186</x:v>
      </x:c>
      <x:c r="Q412" s="71" t="str">
        <x:v>EN (default / shared)</x:v>
      </x:c>
      <x:c r="R412" s="71" t="str">
        <x:v>Already clear and direct; suggested wording intentionally keeps the current copy. Dynamic traveller or trip value is represented as a token; user-generated values are excluded.</x:v>
      </x:c>
      <x:c r="S412" s="75" t="str">
        <x:v>Not applied — review required</x:v>
      </x:c>
    </x:row>
    <x:row r="413">
      <x:c r="A413" s="71" t="str">
        <x:v>MRV-5B666D200F</x:v>
      </x:c>
      <x:c r="B413" s="71" t="str">
        <x:v>Planning</x:v>
      </x:c>
      <x:c r="C413" s="71" t="str">
        <x:v>New trip builder</x:v>
      </x:c>
      <x:c r="D413" s="71" t="str">
        <x:v>/journey/new/trip-builder</x:v>
      </x:c>
      <x:c r="E413" s="71" t="str">
        <x:v>v</x:v>
      </x:c>
      <x:c r="F413" s="71" t="str">
        <x:v>Default</x:v>
      </x:c>
      <x:c r="G413" s="71" t="str">
        <x:v>Label</x:v>
      </x:c>
      <x:c r="H413" s="71" t="str">
        <x:v>{view}T00:00:00</x:v>
      </x:c>
      <x:c r="I413" s="71" t="str">
        <x:v>{view}T00:00:00</x:v>
      </x:c>
      <x:c r="J413" s="73"/>
      <x:c r="K413" s="74" t="str">
        <x:f>IF(J413="",H413,IF(J413=I413,I413,J413))</x:f>
        <x:v>{view}T00:00:00</x:v>
      </x:c>
      <x:c r="L413" s="74" t="str">
        <x:f>IF(J413="","Keep current",IF(J413=I413,"Use suggestion","Custom"))</x:f>
        <x:v>Keep current</x:v>
      </x:c>
      <x:c r="M413" s="71" t="str">
        <x:v>Pending review</x:v>
      </x:c>
      <x:c r="N413" s="71" t="str">
        <x:v>Normal</x:v>
      </x:c>
      <x:c r="O413" s="71" t="str">
        <x:v>app/journey/new/trip-builder.tsx</x:v>
      </x:c>
      <x:c r="P413" s="71" t="str">
        <x:v>v:204</x:v>
      </x:c>
      <x:c r="Q413" s="71" t="str">
        <x:v>EN (default / shared)</x:v>
      </x:c>
      <x:c r="R413" s="71" t="str">
        <x:v>Already clear and direct; suggested wording intentionally keeps the current copy. Dynamic traveller or trip value is represented as a token; user-generated values are excluded.</x:v>
      </x:c>
      <x:c r="S413" s="75" t="str">
        <x:v>Not applied — review required</x:v>
      </x:c>
    </x:row>
    <x:row r="414">
      <x:c r="A414" s="71" t="str">
        <x:v>MRV-0DA598A07C</x:v>
      </x:c>
      <x:c r="B414" s="71" t="str">
        <x:v>Planning</x:v>
      </x:c>
      <x:c r="C414" s="71" t="str">
        <x:v>New trip builder</x:v>
      </x:c>
      <x:c r="D414" s="71" t="str">
        <x:v>/journey/new/trip-builder</x:v>
      </x:c>
      <x:c r="E414" s="71" t="str">
        <x:v>Calendar</x:v>
      </x:c>
      <x:c r="F414" s="71" t="str">
        <x:v>Accessibility / input support</x:v>
      </x:c>
      <x:c r="G414" s="71" t="str">
        <x:v>Accessibility label</x:v>
      </x:c>
      <x:c r="H414" s="71" t="str">
        <x:v>Previous month</x:v>
      </x:c>
      <x:c r="I414" s="71" t="str">
        <x:v>Previous month</x:v>
      </x:c>
      <x:c r="J414" s="73"/>
      <x:c r="K414" s="74" t="str">
        <x:f>IF(J414="",H414,IF(J414=I414,I414,J414))</x:f>
        <x:v>Previous month</x:v>
      </x:c>
      <x:c r="L414" s="74" t="str">
        <x:f>IF(J414="","Keep current",IF(J414=I414,"Use suggestion","Custom"))</x:f>
        <x:v>Keep current</x:v>
      </x:c>
      <x:c r="M414" s="71" t="str">
        <x:v>Pending review</x:v>
      </x:c>
      <x:c r="N414" s="71" t="str">
        <x:v>Medium</x:v>
      </x:c>
      <x:c r="O414" s="71" t="str">
        <x:v>app/journey/new/trip-builder.tsx</x:v>
      </x:c>
      <x:c r="P414" s="71" t="str">
        <x:v>Calendar:213</x:v>
      </x:c>
      <x:c r="Q414" s="71" t="str">
        <x:v>EN (default / shared)</x:v>
      </x:c>
      <x:c r="R414" s="71" t="str">
        <x:v>Already clear and direct; suggested wording intentionally keeps the current copy.</x:v>
      </x:c>
      <x:c r="S414" s="75" t="str">
        <x:v>Not applied — review required</x:v>
      </x:c>
    </x:row>
    <x:row r="415">
      <x:c r="A415" s="71" t="str">
        <x:v>MRV-4643B7793B</x:v>
      </x:c>
      <x:c r="B415" s="71" t="str">
        <x:v>Planning</x:v>
      </x:c>
      <x:c r="C415" s="71" t="str">
        <x:v>New trip builder</x:v>
      </x:c>
      <x:c r="D415" s="71" t="str">
        <x:v>/journey/new/trip-builder</x:v>
      </x:c>
      <x:c r="E415" s="71" t="str">
        <x:v>Calendar</x:v>
      </x:c>
      <x:c r="F415" s="71" t="str">
        <x:v>Accessibility / input support</x:v>
      </x:c>
      <x:c r="G415" s="71" t="str">
        <x:v>Accessibility label</x:v>
      </x:c>
      <x:c r="H415" s="71" t="str">
        <x:v>Next month</x:v>
      </x:c>
      <x:c r="I415" s="71" t="str">
        <x:v>Next month</x:v>
      </x:c>
      <x:c r="J415" s="73"/>
      <x:c r="K415" s="74" t="str">
        <x:f>IF(J415="",H415,IF(J415=I415,I415,J415))</x:f>
        <x:v>Next month</x:v>
      </x:c>
      <x:c r="L415" s="74" t="str">
        <x:f>IF(J415="","Keep current",IF(J415=I415,"Use suggestion","Custom"))</x:f>
        <x:v>Keep current</x:v>
      </x:c>
      <x:c r="M415" s="71" t="str">
        <x:v>Pending review</x:v>
      </x:c>
      <x:c r="N415" s="71" t="str">
        <x:v>Medium</x:v>
      </x:c>
      <x:c r="O415" s="71" t="str">
        <x:v>app/journey/new/trip-builder.tsx</x:v>
      </x:c>
      <x:c r="P415" s="71" t="str">
        <x:v>Calendar:215</x:v>
      </x:c>
      <x:c r="Q415" s="71" t="str">
        <x:v>EN (default / shared)</x:v>
      </x:c>
      <x:c r="R415" s="71" t="str">
        <x:v>Already clear and direct; suggested wording intentionally keeps the current copy.</x:v>
      </x:c>
      <x:c r="S415" s="75" t="str">
        <x:v>Not applied — review required</x:v>
      </x:c>
    </x:row>
    <x:row r="416">
      <x:c r="A416" s="71" t="str">
        <x:v>MRV-6152161C6D</x:v>
      </x:c>
      <x:c r="B416" s="71" t="str">
        <x:v>Planning</x:v>
      </x:c>
      <x:c r="C416" s="71" t="str">
        <x:v>New trip builder</x:v>
      </x:c>
      <x:c r="D416" s="71" t="str">
        <x:v>/journey/new/trip-builder</x:v>
      </x:c>
      <x:c r="E416" s="71" t="str">
        <x:v>day</x:v>
      </x:c>
      <x:c r="F416" s="71" t="str">
        <x:v>Default</x:v>
      </x:c>
      <x:c r="G416" s="71" t="str">
        <x:v>Body copy</x:v>
      </x:c>
      <x:c r="H416" s="71" t="str">
        <x:v>{v.getFullYear()}-{pad(v.getMonth() + 1)}-{pad(i + 1)}</x:v>
      </x:c>
      <x:c r="I416" s="71" t="str">
        <x:v>{v.getFullYear()}-{pad(v.getMonth() + 1)}-{pad(i + 1)}</x:v>
      </x:c>
      <x:c r="J416" s="73"/>
      <x:c r="K416" s="74" t="str">
        <x:f>IF(J416="",H416,IF(J416=I416,I416,J416))</x:f>
        <x:v>{v.getFullYear()}-{pad(v.getMonth() + 1)}-{pad(i + 1)}</x:v>
      </x:c>
      <x:c r="L416" s="74" t="str">
        <x:f>IF(J416="","Keep current",IF(J416=I416,"Use suggestion","Custom"))</x:f>
        <x:v>Keep current</x:v>
      </x:c>
      <x:c r="M416" s="71" t="str">
        <x:v>Pending review</x:v>
      </x:c>
      <x:c r="N416" s="71" t="str">
        <x:v>Normal</x:v>
      </x:c>
      <x:c r="O416" s="71" t="str">
        <x:v>app/journey/new/trip-builder.tsx</x:v>
      </x:c>
      <x:c r="P416" s="71" t="str">
        <x:v>day:223</x:v>
      </x:c>
      <x:c r="Q416" s="71" t="str">
        <x:v>EN (default / shared)</x:v>
      </x:c>
      <x:c r="R416" s="71" t="str">
        <x:v>Already clear and direct; suggested wording intentionally keeps the current copy. Dynamic traveller or trip value is represented as a token; user-generated values are excluded.</x:v>
      </x:c>
      <x:c r="S416" s="75" t="str">
        <x:v>Not applied — review required</x:v>
      </x:c>
    </x:row>
    <x:row r="417">
      <x:c r="A417" s="71" t="str">
        <x:v>MRV-44F6B298D9</x:v>
      </x:c>
      <x:c r="B417" s="71" t="str">
        <x:v>Planning</x:v>
      </x:c>
      <x:c r="C417" s="71" t="str">
        <x:v>New trip builder</x:v>
      </x:c>
      <x:c r="D417" s="71" t="str">
        <x:v>/journey/new/trip-builder</x:v>
      </x:c>
      <x:c r="E417" s="71" t="str">
        <x:v>TripBuilderDocument</x:v>
      </x:c>
      <x:c r="F417" s="71" t="str">
        <x:v>Default</x:v>
      </x:c>
      <x:c r="G417" s="71" t="str">
        <x:v>Body copy</x:v>
      </x:c>
      <x:c r="H417" s="71" t="str">
        <x:v>trip-{crypto.randomUUID()}</x:v>
      </x:c>
      <x:c r="I417" s="71" t="str">
        <x:v>trip-{crypto.randomUUID()}</x:v>
      </x:c>
      <x:c r="J417" s="73"/>
      <x:c r="K417" s="74" t="str">
        <x:f>IF(J417="",H417,IF(J417=I417,I417,J417))</x:f>
        <x:v>trip-{crypto.randomUUID()}</x:v>
      </x:c>
      <x:c r="L417" s="74" t="str">
        <x:f>IF(J417="","Keep current",IF(J417=I417,"Use suggestion","Custom"))</x:f>
        <x:v>Keep current</x:v>
      </x:c>
      <x:c r="M417" s="71" t="str">
        <x:v>Pending review</x:v>
      </x:c>
      <x:c r="N417" s="71" t="str">
        <x:v>Normal</x:v>
      </x:c>
      <x:c r="O417" s="71" t="str">
        <x:v>app/journey/new/trip-builder.tsx</x:v>
      </x:c>
      <x:c r="P417" s="71" t="str">
        <x:v>TripBuilderDocument:308</x:v>
      </x:c>
      <x:c r="Q417" s="71" t="str">
        <x:v>EN (default / shared)</x:v>
      </x:c>
      <x:c r="R417"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417" s="75" t="str">
        <x:v>Not applied — review required</x:v>
      </x:c>
    </x:row>
    <x:row r="418">
      <x:c r="A418" s="71" t="str">
        <x:v>MRV-D5D982E5B8</x:v>
      </x:c>
      <x:c r="B418" s="71" t="str">
        <x:v>Planning</x:v>
      </x:c>
      <x:c r="C418" s="71" t="str">
        <x:v>New trip builder</x:v>
      </x:c>
      <x:c r="D418" s="71" t="str">
        <x:v>/journey/new/trip-builder</x:v>
      </x:c>
      <x:c r="E418" s="71" t="str">
        <x:v>TripBuilderDocument</x:v>
      </x:c>
      <x:c r="F418" s="71" t="str">
        <x:v>Default</x:v>
      </x:c>
      <x:c r="G418" s="71" t="str">
        <x:v>Label</x:v>
      </x:c>
      <x:c r="H418" s="71" t="str">
        <x:v>All</x:v>
      </x:c>
      <x:c r="I418" s="71" t="str">
        <x:v>All</x:v>
      </x:c>
      <x:c r="J418" s="73"/>
      <x:c r="K418" s="74" t="str">
        <x:f>IF(J418="",H418,IF(J418=I418,I418,J418))</x:f>
        <x:v>All</x:v>
      </x:c>
      <x:c r="L418" s="74" t="str">
        <x:f>IF(J418="","Keep current",IF(J418=I418,"Use suggestion","Custom"))</x:f>
        <x:v>Keep current</x:v>
      </x:c>
      <x:c r="M418" s="71" t="str">
        <x:v>Pending review</x:v>
      </x:c>
      <x:c r="N418" s="71" t="str">
        <x:v>Normal</x:v>
      </x:c>
      <x:c r="O418" s="71" t="str">
        <x:v>app/journey/new/trip-builder.tsx</x:v>
      </x:c>
      <x:c r="P418" s="71" t="str">
        <x:v>TripBuilderDocument:369</x:v>
      </x:c>
      <x:c r="Q418" s="71" t="str">
        <x:v>EN (default / shared)</x:v>
      </x:c>
      <x:c r="R418" s="71" t="str">
        <x:v>Already clear and direct; suggested wording intentionally keeps the current copy. Duplicate wording: appears 6 times.</x:v>
      </x:c>
      <x:c r="S418" s="75" t="str">
        <x:v>Not applied — review required</x:v>
      </x:c>
    </x:row>
    <x:row r="419">
      <x:c r="A419" s="71" t="str">
        <x:v>MRV-3F75851257</x:v>
      </x:c>
      <x:c r="B419" s="71" t="str">
        <x:v>Planning</x:v>
      </x:c>
      <x:c r="C419" s="71" t="str">
        <x:v>New trip builder</x:v>
      </x:c>
      <x:c r="D419" s="71" t="str">
        <x:v>/journey/new/trip-builder</x:v>
      </x:c>
      <x:c r="E419" s="71" t="str">
        <x:v>focusable</x:v>
      </x:c>
      <x:c r="F419" s="71" t="str">
        <x:v>Default</x:v>
      </x:c>
      <x:c r="G419" s="71" t="str">
        <x:v>Body copy</x:v>
      </x:c>
      <x:c r="H419" s="71" t="str">
        <x:v>button:not([disabled]), [href], input:not([disabled]), [tabindex]:not([tabindex="-1"])</x:v>
      </x:c>
      <x:c r="I419" s="71" t="str">
        <x:v>button:not([disabled]), [href], input:not([disabled]), [tabindex]:not([tabindex="-1"])</x:v>
      </x:c>
      <x:c r="J419" s="73"/>
      <x:c r="K419" s="74" t="str">
        <x:f>IF(J419="",H419,IF(J419=I419,I419,J419))</x:f>
        <x:v>button:not([disabled]), [href], input:not([disabled]), [tabindex]:not([tabindex="-1"])</x:v>
      </x:c>
      <x:c r="L419" s="74" t="str">
        <x:f>IF(J419="","Keep current",IF(J419=I419,"Use suggestion","Custom"))</x:f>
        <x:v>Keep current</x:v>
      </x:c>
      <x:c r="M419" s="71" t="str">
        <x:v>Pending review</x:v>
      </x:c>
      <x:c r="N419" s="71" t="str">
        <x:v>Normal</x:v>
      </x:c>
      <x:c r="O419" s="71" t="str">
        <x:v>app/journey/new/trip-builder.tsx</x:v>
      </x:c>
      <x:c r="P419" s="71" t="str">
        <x:v>focusable:392</x:v>
      </x:c>
      <x:c r="Q419" s="71" t="str">
        <x:v>EN (default / shared)</x:v>
      </x:c>
      <x:c r="R419" s="71" t="str">
        <x:v>Already clear and direct; suggested wording intentionally keeps the current copy.</x:v>
      </x:c>
      <x:c r="S419" s="75" t="str">
        <x:v>Not applied — review required</x:v>
      </x:c>
    </x:row>
    <x:row r="420">
      <x:c r="A420" s="71" t="str">
        <x:v>MRV-45323189F7</x:v>
      </x:c>
      <x:c r="B420" s="71" t="str">
        <x:v>Planning</x:v>
      </x:c>
      <x:c r="C420" s="71" t="str">
        <x:v>New trip builder</x:v>
      </x:c>
      <x:c r="D420" s="71" t="str">
        <x:v>/journey/new/trip-builder</x:v>
      </x:c>
      <x:c r="E420" s="71" t="str">
        <x:v>onKeyDown</x:v>
      </x:c>
      <x:c r="F420" s="71" t="str">
        <x:v>Default</x:v>
      </x:c>
      <x:c r="G420" s="71" t="str">
        <x:v>Label</x:v>
      </x:c>
      <x:c r="H420" s="71" t="str">
        <x:v>Escape</x:v>
      </x:c>
      <x:c r="I420" s="71" t="str">
        <x:v>Escape</x:v>
      </x:c>
      <x:c r="J420" s="73"/>
      <x:c r="K420" s="74" t="str">
        <x:f>IF(J420="",H420,IF(J420=I420,I420,J420))</x:f>
        <x:v>Escape</x:v>
      </x:c>
      <x:c r="L420" s="74" t="str">
        <x:f>IF(J420="","Keep current",IF(J420=I420,"Use suggestion","Custom"))</x:f>
        <x:v>Keep current</x:v>
      </x:c>
      <x:c r="M420" s="71" t="str">
        <x:v>Pending review</x:v>
      </x:c>
      <x:c r="N420" s="71" t="str">
        <x:v>Normal</x:v>
      </x:c>
      <x:c r="O420" s="71" t="str">
        <x:v>app/journey/new/trip-builder.tsx</x:v>
      </x:c>
      <x:c r="P420" s="71" t="str">
        <x:v>onKeyDown:395</x:v>
      </x:c>
      <x:c r="Q420" s="71" t="str">
        <x:v>EN (default / shared)</x:v>
      </x:c>
      <x:c r="R420" s="71" t="str">
        <x:v>Already clear and direct; suggested wording intentionally keeps the current copy. Duplicate wording: appears 4 times.</x:v>
      </x:c>
      <x:c r="S420" s="75" t="str">
        <x:v>Not applied — review required</x:v>
      </x:c>
    </x:row>
    <x:row r="421">
      <x:c r="A421" s="71" t="str">
        <x:v>MRV-850D4FA389</x:v>
      </x:c>
      <x:c r="B421" s="71" t="str">
        <x:v>Planning</x:v>
      </x:c>
      <x:c r="C421" s="71" t="str">
        <x:v>New trip builder</x:v>
      </x:c>
      <x:c r="D421" s="71" t="str">
        <x:v>/journey/new/trip-builder</x:v>
      </x:c>
      <x:c r="E421" s="71" t="str">
        <x:v>onKeyDown</x:v>
      </x:c>
      <x:c r="F421" s="71" t="str">
        <x:v>Default</x:v>
      </x:c>
      <x:c r="G421" s="71" t="str">
        <x:v>Label</x:v>
      </x:c>
      <x:c r="H421" s="71" t="str">
        <x:v>Tab</x:v>
      </x:c>
      <x:c r="I421" s="71" t="str">
        <x:v>Tab</x:v>
      </x:c>
      <x:c r="J421" s="73"/>
      <x:c r="K421" s="74" t="str">
        <x:f>IF(J421="",H421,IF(J421=I421,I421,J421))</x:f>
        <x:v>Tab</x:v>
      </x:c>
      <x:c r="L421" s="74" t="str">
        <x:f>IF(J421="","Keep current",IF(J421=I421,"Use suggestion","Custom"))</x:f>
        <x:v>Keep current</x:v>
      </x:c>
      <x:c r="M421" s="71" t="str">
        <x:v>Pending review</x:v>
      </x:c>
      <x:c r="N421" s="71" t="str">
        <x:v>Normal</x:v>
      </x:c>
      <x:c r="O421" s="71" t="str">
        <x:v>app/journey/new/trip-builder.tsx</x:v>
      </x:c>
      <x:c r="P421" s="71" t="str">
        <x:v>onKeyDown:400</x:v>
      </x:c>
      <x:c r="Q421" s="71" t="str">
        <x:v>EN (default / shared)</x:v>
      </x:c>
      <x:c r="R421" s="71" t="str">
        <x:v>Already clear and direct; suggested wording intentionally keeps the current copy. Duplicate wording: appears 2 times.</x:v>
      </x:c>
      <x:c r="S421" s="75" t="str">
        <x:v>Not applied — review required</x:v>
      </x:c>
    </x:row>
    <x:row r="422">
      <x:c r="A422" s="71" t="str">
        <x:v>MRV-69133E5303</x:v>
      </x:c>
      <x:c r="B422" s="71" t="str">
        <x:v>Planning</x:v>
      </x:c>
      <x:c r="C422" s="71" t="str">
        <x:v>New trip builder</x:v>
      </x:c>
      <x:c r="D422" s="71" t="str">
        <x:v>/journey/new/trip-builder</x:v>
      </x:c>
      <x:c r="E422" s="71" t="str">
        <x:v>durationEnd</x:v>
      </x:c>
      <x:c r="F422" s="71" t="str">
        <x:v>Default</x:v>
      </x:c>
      <x:c r="G422" s="71" t="str">
        <x:v>Label</x:v>
      </x:c>
      <x:c r="H422" s="71" t="str">
        <x:v>{today}T00:00:00</x:v>
      </x:c>
      <x:c r="I422" s="71" t="str">
        <x:v>{today}T00:00:00</x:v>
      </x:c>
      <x:c r="J422" s="73"/>
      <x:c r="K422" s="74" t="str">
        <x:f>IF(J422="",H422,IF(J422=I422,I422,J422))</x:f>
        <x:v>{today}T00:00:00</x:v>
      </x:c>
      <x:c r="L422" s="74" t="str">
        <x:f>IF(J422="","Keep current",IF(J422=I422,"Use suggestion","Custom"))</x:f>
        <x:v>Keep current</x:v>
      </x:c>
      <x:c r="M422" s="71" t="str">
        <x:v>Pending review</x:v>
      </x:c>
      <x:c r="N422" s="71" t="str">
        <x:v>Normal</x:v>
      </x:c>
      <x:c r="O422" s="71" t="str">
        <x:v>app/journey/new/trip-builder.tsx</x:v>
      </x:c>
      <x:c r="P422" s="71" t="str">
        <x:v>durationEnd:587</x:v>
      </x:c>
      <x:c r="Q422" s="71" t="str">
        <x:v>EN (default / shared)</x:v>
      </x:c>
      <x:c r="R422" s="71" t="str">
        <x:v>Already clear and direct; suggested wording intentionally keeps the current copy. Dynamic traveller or trip value is represented as a token; user-generated values are excluded.</x:v>
      </x:c>
      <x:c r="S422" s="75" t="str">
        <x:v>Not applied — review required</x:v>
      </x:c>
    </x:row>
    <x:row r="423">
      <x:c r="A423" s="71" t="str">
        <x:v>MRV-6E9EA842EF</x:v>
      </x:c>
      <x:c r="B423" s="71" t="str">
        <x:v>Planning</x:v>
      </x:c>
      <x:c r="C423" s="71" t="str">
        <x:v>New trip builder</x:v>
      </x:c>
      <x:c r="D423" s="71" t="str">
        <x:v>/journey/new/trip-builder</x:v>
      </x:c>
      <x:c r="E423" s="71" t="str">
        <x:v>response</x:v>
      </x:c>
      <x:c r="F423" s="71" t="str">
        <x:v>Default</x:v>
      </x:c>
      <x:c r="G423" s="71" t="str">
        <x:v>Body copy</x:v>
      </x:c>
      <x:c r="H423" s="71" t="str">
        <x:v>&amp;country={encodeURIComponent(country)}</x:v>
      </x:c>
      <x:c r="I423" s="71" t="str">
        <x:v>&amp;country={encodeURIComponent(country)}</x:v>
      </x:c>
      <x:c r="J423" s="73"/>
      <x:c r="K423" s="74" t="str">
        <x:f>IF(J423="",H423,IF(J423=I423,I423,J423))</x:f>
        <x:v>&amp;country={encodeURIComponent(country)}</x:v>
      </x:c>
      <x:c r="L423" s="74" t="str">
        <x:f>IF(J423="","Keep current",IF(J423=I423,"Use suggestion","Custom"))</x:f>
        <x:v>Keep current</x:v>
      </x:c>
      <x:c r="M423" s="71" t="str">
        <x:v>Pending review</x:v>
      </x:c>
      <x:c r="N423" s="71" t="str">
        <x:v>Normal</x:v>
      </x:c>
      <x:c r="O423" s="71" t="str">
        <x:v>app/journey/new/trip-builder.tsx</x:v>
      </x:c>
      <x:c r="P423" s="71" t="str">
        <x:v>response:634</x:v>
      </x:c>
      <x:c r="Q423" s="71" t="str">
        <x:v>EN (default / shared)</x:v>
      </x:c>
      <x:c r="R423" s="71" t="str">
        <x:v>Already clear and direct; suggested wording intentionally keeps the current copy. Dynamic traveller or trip value is represented as a token; user-generated values are excluded.</x:v>
      </x:c>
      <x:c r="S423" s="75" t="str">
        <x:v>Not applied — review required</x:v>
      </x:c>
    </x:row>
    <x:row r="424">
      <x:c r="A424" s="71" t="str">
        <x:v>MRV-9B410F95B2</x:v>
      </x:c>
      <x:c r="B424" s="71" t="str">
        <x:v>Planning</x:v>
      </x:c>
      <x:c r="C424" s="71" t="str">
        <x:v>New trip builder</x:v>
      </x:c>
      <x:c r="D424" s="71" t="str">
        <x:v>/journey/new/trip-builder</x:v>
      </x:c>
      <x:c r="E424" s="71" t="str">
        <x:v>d</x:v>
      </x:c>
      <x:c r="F424" s="71" t="str">
        <x:v>Default</x:v>
      </x:c>
      <x:c r="G424" s="71" t="str">
        <x:v>Label</x:v>
      </x:c>
      <x:c r="H424" s="71" t="str">
        <x:v>{endDate}T00:00:00</x:v>
      </x:c>
      <x:c r="I424" s="71" t="str">
        <x:v>{endDate}T00:00:00</x:v>
      </x:c>
      <x:c r="J424" s="73"/>
      <x:c r="K424" s="74" t="str">
        <x:f>IF(J424="",H424,IF(J424=I424,I424,J424))</x:f>
        <x:v>{endDate}T00:00:00</x:v>
      </x:c>
      <x:c r="L424" s="74" t="str">
        <x:f>IF(J424="","Keep current",IF(J424=I424,"Use suggestion","Custom"))</x:f>
        <x:v>Keep current</x:v>
      </x:c>
      <x:c r="M424" s="71" t="str">
        <x:v>Pending review</x:v>
      </x:c>
      <x:c r="N424" s="71" t="str">
        <x:v>Normal</x:v>
      </x:c>
      <x:c r="O424" s="71" t="str">
        <x:v>app/journey/new/trip-builder.tsx</x:v>
      </x:c>
      <x:c r="P424" s="71" t="str">
        <x:v>d:706</x:v>
      </x:c>
      <x:c r="Q424" s="71" t="str">
        <x:v>EN (default / shared)</x:v>
      </x:c>
      <x:c r="R424" s="71" t="str">
        <x:v>Already clear and direct; suggested wording intentionally keeps the current copy. Dynamic traveller or trip value is represented as a token; user-generated values are excluded.</x:v>
      </x:c>
      <x:c r="S424" s="75" t="str">
        <x:v>Not applied — review required</x:v>
      </x:c>
    </x:row>
    <x:row r="425">
      <x:c r="A425" s="71" t="str">
        <x:v>MRV-06B5B79CC3</x:v>
      </x:c>
      <x:c r="B425" s="71" t="str">
        <x:v>Planning</x:v>
      </x:c>
      <x:c r="C425" s="71" t="str">
        <x:v>New trip builder</x:v>
      </x:c>
      <x:c r="D425" s="71" t="str">
        <x:v>/journey/new/trip-builder</x:v>
      </x:c>
      <x:c r="E425" s="71" t="str">
        <x:v>d</x:v>
      </x:c>
      <x:c r="F425" s="71" t="str">
        <x:v>Default</x:v>
      </x:c>
      <x:c r="G425" s="71" t="str">
        <x:v>Label</x:v>
      </x:c>
      <x:c r="H425" s="71" t="str">
        <x:v>{startDate}T00:00:00</x:v>
      </x:c>
      <x:c r="I425" s="71" t="str">
        <x:v>{startDate}T00:00:00</x:v>
      </x:c>
      <x:c r="J425" s="73"/>
      <x:c r="K425" s="74" t="str">
        <x:f>IF(J425="",H425,IF(J425=I425,I425,J425))</x:f>
        <x:v>{startDate}T00:00:00</x:v>
      </x:c>
      <x:c r="L425" s="74" t="str">
        <x:f>IF(J425="","Keep current",IF(J425=I425,"Use suggestion","Custom"))</x:f>
        <x:v>Keep current</x:v>
      </x:c>
      <x:c r="M425" s="71" t="str">
        <x:v>Pending review</x:v>
      </x:c>
      <x:c r="N425" s="71" t="str">
        <x:v>Normal</x:v>
      </x:c>
      <x:c r="O425" s="71" t="str">
        <x:v>app/journey/new/trip-builder.tsx</x:v>
      </x:c>
      <x:c r="P425" s="71" t="str">
        <x:v>d:706</x:v>
      </x:c>
      <x:c r="Q425" s="71" t="str">
        <x:v>EN (default / shared)</x:v>
      </x:c>
      <x:c r="R425" s="71" t="str">
        <x:v>Already clear and direct; suggested wording intentionally keeps the current copy. Duplicate wording: appears 5 times. Dynamic traveller or trip value is represented as a token; user-generated values are excluded.</x:v>
      </x:c>
      <x:c r="S425" s="75" t="str">
        <x:v>Not applied — review required</x:v>
      </x:c>
    </x:row>
    <x:row r="426">
      <x:c r="A426" s="71" t="str">
        <x:v>MRV-51B83CE4DC</x:v>
      </x:c>
      <x:c r="B426" s="71" t="str">
        <x:v>Planning</x:v>
      </x:c>
      <x:c r="C426" s="71" t="str">
        <x:v>New trip builder</x:v>
      </x:c>
      <x:c r="D426" s="71" t="str">
        <x:v>/journey/new/trip-builder</x:v>
      </x:c>
      <x:c r="E426" s="71" t="str">
        <x:v>key</x:v>
      </x:c>
      <x:c r="F426" s="71" t="str">
        <x:v>Default</x:v>
      </x:c>
      <x:c r="G426" s="71" t="str">
        <x:v>Body copy</x:v>
      </x:c>
      <x:c r="H426" s="71" t="str">
        <x:v>morrovia:trip-intent-tracked:{tripId}</x:v>
      </x:c>
      <x:c r="I426" s="71" t="str">
        <x:v>morrovia:trip-intent-tracked:{tripId}</x:v>
      </x:c>
      <x:c r="J426" s="73"/>
      <x:c r="K426" s="74" t="str">
        <x:f>IF(J426="",H426,IF(J426=I426,I426,J426))</x:f>
        <x:v>morrovia:trip-intent-tracked:{tripId}</x:v>
      </x:c>
      <x:c r="L426" s="74" t="str">
        <x:f>IF(J426="","Keep current",IF(J426=I426,"Use suggestion","Custom"))</x:f>
        <x:v>Keep current</x:v>
      </x:c>
      <x:c r="M426" s="71" t="str">
        <x:v>Pending review</x:v>
      </x:c>
      <x:c r="N426" s="71" t="str">
        <x:v>Normal</x:v>
      </x:c>
      <x:c r="O426" s="71" t="str">
        <x:v>app/journey/new/trip-builder.tsx</x:v>
      </x:c>
      <x:c r="P426" s="71" t="str">
        <x:v>key:771</x:v>
      </x:c>
      <x:c r="Q426" s="71" t="str">
        <x:v>EN (default / shared)</x:v>
      </x:c>
      <x:c r="R426"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426" s="75" t="str">
        <x:v>Not applied — review required</x:v>
      </x:c>
    </x:row>
    <x:row r="427">
      <x:c r="A427" s="71" t="str">
        <x:v>MRV-3F15BA7D5F</x:v>
      </x:c>
      <x:c r="B427" s="71" t="str">
        <x:v>Planning</x:v>
      </x:c>
      <x:c r="C427" s="71" t="str">
        <x:v>New trip builder</x:v>
      </x:c>
      <x:c r="D427" s="71" t="str">
        <x:v>/journey/new/trip-builder</x:v>
      </x:c>
      <x:c r="E427" s="71" t="str">
        <x:v>key</x:v>
      </x:c>
      <x:c r="F427" s="71" t="str">
        <x:v>Default</x:v>
      </x:c>
      <x:c r="G427" s="71" t="str">
        <x:v>Body copy</x:v>
      </x:c>
      <x:c r="H427" s="71" t="str">
        <x:v>morrovia:budget-viewed:{tripId}</x:v>
      </x:c>
      <x:c r="I427" s="71" t="str">
        <x:v>morrovia:budget-viewed:{tripId}</x:v>
      </x:c>
      <x:c r="J427" s="73"/>
      <x:c r="K427" s="74" t="str">
        <x:f>IF(J427="",H427,IF(J427=I427,I427,J427))</x:f>
        <x:v>morrovia:budget-viewed:{tripId}</x:v>
      </x:c>
      <x:c r="L427" s="74" t="str">
        <x:f>IF(J427="","Keep current",IF(J427=I427,"Use suggestion","Custom"))</x:f>
        <x:v>Keep current</x:v>
      </x:c>
      <x:c r="M427" s="71" t="str">
        <x:v>Pending review</x:v>
      </x:c>
      <x:c r="N427" s="71" t="str">
        <x:v>Normal</x:v>
      </x:c>
      <x:c r="O427" s="71" t="str">
        <x:v>app/journey/new/trip-builder.tsx</x:v>
      </x:c>
      <x:c r="P427" s="71" t="str">
        <x:v>key:787</x:v>
      </x:c>
      <x:c r="Q427" s="71" t="str">
        <x:v>EN (default / shared)</x:v>
      </x:c>
      <x:c r="R427" s="71" t="str">
        <x:v>Already clear and direct; suggested wording intentionally keeps the current copy. Dynamic traveller or trip value is represented as a token; user-generated values are excluded.</x:v>
      </x:c>
      <x:c r="S427" s="75" t="str">
        <x:v>Not applied — review required</x:v>
      </x:c>
    </x:row>
    <x:row r="428">
      <x:c r="A428" s="71" t="str">
        <x:v>MRV-DA824285E1</x:v>
      </x:c>
      <x:c r="B428" s="71" t="str">
        <x:v>Planning</x:v>
      </x:c>
      <x:c r="C428" s="71" t="str">
        <x:v>New trip builder</x:v>
      </x:c>
      <x:c r="D428" s="71" t="str">
        <x:v>/journey/new/trip-builder</x:v>
      </x:c>
      <x:c r="E428" s="71" t="str">
        <x:v>stepLabels</x:v>
      </x:c>
      <x:c r="F428" s="71" t="str">
        <x:v>Default</x:v>
      </x:c>
      <x:c r="G428" s="71" t="str">
        <x:v>Label</x:v>
      </x:c>
      <x:c r="H428" s="71" t="str">
        <x:v>Lugares</x:v>
      </x:c>
      <x:c r="I428" s="71" t="str">
        <x:v>Lugares</x:v>
      </x:c>
      <x:c r="J428" s="73"/>
      <x:c r="K428" s="74" t="str">
        <x:f>IF(J428="",H428,IF(J428=I428,I428,J428))</x:f>
        <x:v>Lugares</x:v>
      </x:c>
      <x:c r="L428" s="74" t="str">
        <x:f>IF(J428="","Keep current",IF(J428=I428,"Use suggestion","Custom"))</x:f>
        <x:v>Keep current</x:v>
      </x:c>
      <x:c r="M428" s="71" t="str">
        <x:v>Pending review</x:v>
      </x:c>
      <x:c r="N428" s="71" t="str">
        <x:v>Normal</x:v>
      </x:c>
      <x:c r="O428" s="71" t="str">
        <x:v>app/journey/new/trip-builder.tsx</x:v>
      </x:c>
      <x:c r="P428" s="71" t="str">
        <x:v>stepLabels:807</x:v>
      </x:c>
      <x:c r="Q428" s="71" t="str">
        <x:v>ES</x:v>
      </x:c>
      <x:c r="R428" s="71" t="str">
        <x:v>Already clear and direct; suggested wording intentionally keeps the current copy.</x:v>
      </x:c>
      <x:c r="S428" s="75" t="str">
        <x:v>Not applied — review required</x:v>
      </x:c>
    </x:row>
    <x:row r="429">
      <x:c r="A429" s="71" t="str">
        <x:v>MRV-29FD6BFD59</x:v>
      </x:c>
      <x:c r="B429" s="71" t="str">
        <x:v>Planning</x:v>
      </x:c>
      <x:c r="C429" s="71" t="str">
        <x:v>New trip builder</x:v>
      </x:c>
      <x:c r="D429" s="71" t="str">
        <x:v>/journey/new/trip-builder</x:v>
      </x:c>
      <x:c r="E429" s="71" t="str">
        <x:v>stepLabels</x:v>
      </x:c>
      <x:c r="F429" s="71" t="str">
        <x:v>Default</x:v>
      </x:c>
      <x:c r="G429" s="71" t="str">
        <x:v>Label</x:v>
      </x:c>
      <x:c r="H429" s="71" t="str">
        <x:v>Tiempo</x:v>
      </x:c>
      <x:c r="I429" s="71" t="str">
        <x:v>Tiempo</x:v>
      </x:c>
      <x:c r="J429" s="73"/>
      <x:c r="K429" s="74" t="str">
        <x:f>IF(J429="",H429,IF(J429=I429,I429,J429))</x:f>
        <x:v>Tiempo</x:v>
      </x:c>
      <x:c r="L429" s="74" t="str">
        <x:f>IF(J429="","Keep current",IF(J429=I429,"Use suggestion","Custom"))</x:f>
        <x:v>Keep current</x:v>
      </x:c>
      <x:c r="M429" s="71" t="str">
        <x:v>Pending review</x:v>
      </x:c>
      <x:c r="N429" s="71" t="str">
        <x:v>Normal</x:v>
      </x:c>
      <x:c r="O429" s="71" t="str">
        <x:v>app/journey/new/trip-builder.tsx</x:v>
      </x:c>
      <x:c r="P429" s="71" t="str">
        <x:v>stepLabels:807</x:v>
      </x:c>
      <x:c r="Q429" s="71" t="str">
        <x:v>ES</x:v>
      </x:c>
      <x:c r="R429" s="71" t="str">
        <x:v>Already clear and direct; suggested wording intentionally keeps the current copy.</x:v>
      </x:c>
      <x:c r="S429" s="75" t="str">
        <x:v>Not applied — review required</x:v>
      </x:c>
    </x:row>
    <x:row r="430">
      <x:c r="A430" s="71" t="str">
        <x:v>MRV-7DD73B36EB</x:v>
      </x:c>
      <x:c r="B430" s="71" t="str">
        <x:v>Planning</x:v>
      </x:c>
      <x:c r="C430" s="71" t="str">
        <x:v>New trip builder</x:v>
      </x:c>
      <x:c r="D430" s="71" t="str">
        <x:v>/journey/new/trip-builder</x:v>
      </x:c>
      <x:c r="E430" s="71" t="str">
        <x:v>stepLabels</x:v>
      </x:c>
      <x:c r="F430" s="71" t="str">
        <x:v>Default</x:v>
      </x:c>
      <x:c r="G430" s="71" t="str">
        <x:v>Label</x:v>
      </x:c>
      <x:c r="H430" s="71" t="str">
        <x:v>Places</x:v>
      </x:c>
      <x:c r="I430" s="71" t="str">
        <x:v>Places</x:v>
      </x:c>
      <x:c r="J430" s="73"/>
      <x:c r="K430" s="74" t="str">
        <x:f>IF(J430="",H430,IF(J430=I430,I430,J430))</x:f>
        <x:v>Places</x:v>
      </x:c>
      <x:c r="L430" s="74" t="str">
        <x:f>IF(J430="","Keep current",IF(J430=I430,"Use suggestion","Custom"))</x:f>
        <x:v>Keep current</x:v>
      </x:c>
      <x:c r="M430" s="71" t="str">
        <x:v>Pending review</x:v>
      </x:c>
      <x:c r="N430" s="71" t="str">
        <x:v>Normal</x:v>
      </x:c>
      <x:c r="O430" s="71" t="str">
        <x:v>app/journey/new/trip-builder.tsx</x:v>
      </x:c>
      <x:c r="P430" s="71" t="str">
        <x:v>stepLabels:808</x:v>
      </x:c>
      <x:c r="Q430" s="71" t="str">
        <x:v>EN</x:v>
      </x:c>
      <x:c r="R430" s="71" t="str">
        <x:v>Already clear and direct; suggested wording intentionally keeps the current copy. Duplicate wording: appears 3 times. Terminology watch: ‘trip’ and ‘journey’ both describe the same plan. Terminology watch: ‘stops’, ‘destinations’ and ‘places’ overlap.</x:v>
      </x:c>
      <x:c r="S430" s="75" t="str">
        <x:v>Not applied — review required</x:v>
      </x:c>
    </x:row>
    <x:row r="431">
      <x:c r="A431" s="71" t="str">
        <x:v>MRV-305300E1A6</x:v>
      </x:c>
      <x:c r="B431" s="71" t="str">
        <x:v>Planning</x:v>
      </x:c>
      <x:c r="C431" s="71" t="str">
        <x:v>New trip builder</x:v>
      </x:c>
      <x:c r="D431" s="71" t="str">
        <x:v>/journey/new/trip-builder</x:v>
      </x:c>
      <x:c r="E431" s="71" t="str">
        <x:v>stepLabels</x:v>
      </x:c>
      <x:c r="F431" s="71" t="str">
        <x:v>Default</x:v>
      </x:c>
      <x:c r="G431" s="71" t="str">
        <x:v>Label</x:v>
      </x:c>
      <x:c r="H431" s="71" t="str">
        <x:v>Time</x:v>
      </x:c>
      <x:c r="I431" s="71" t="str">
        <x:v>Time</x:v>
      </x:c>
      <x:c r="J431" s="73"/>
      <x:c r="K431" s="74" t="str">
        <x:f>IF(J431="",H431,IF(J431=I431,I431,J431))</x:f>
        <x:v>Time</x:v>
      </x:c>
      <x:c r="L431" s="74" t="str">
        <x:f>IF(J431="","Keep current",IF(J431=I431,"Use suggestion","Custom"))</x:f>
        <x:v>Keep current</x:v>
      </x:c>
      <x:c r="M431" s="71" t="str">
        <x:v>Pending review</x:v>
      </x:c>
      <x:c r="N431" s="71" t="str">
        <x:v>Normal</x:v>
      </x:c>
      <x:c r="O431" s="71" t="str">
        <x:v>app/journey/new/trip-builder.tsx</x:v>
      </x:c>
      <x:c r="P431" s="71" t="str">
        <x:v>stepLabels:808</x:v>
      </x:c>
      <x:c r="Q431" s="71" t="str">
        <x:v>EN</x:v>
      </x:c>
      <x:c r="R431" s="71" t="str">
        <x:v>Already clear and direct; suggested wording intentionally keeps the current copy. Duplicate wording: appears 2 times.</x:v>
      </x:c>
      <x:c r="S431" s="75" t="str">
        <x:v>Not applied — review required</x:v>
      </x:c>
    </x:row>
    <x:row r="432">
      <x:c r="A432" s="71" t="str">
        <x:v>MRV-FB58B11283</x:v>
      </x:c>
      <x:c r="B432" s="71" t="str">
        <x:v>Planning</x:v>
      </x:c>
      <x:c r="C432" s="71" t="str">
        <x:v>New trip builder</x:v>
      </x:c>
      <x:c r="D432" s="71" t="str">
        <x:v>/journey/new/trip-builder</x:v>
      </x:c>
      <x:c r="E432" s="71" t="str">
        <x:v>stepNotes</x:v>
      </x:c>
      <x:c r="F432" s="71" t="str">
        <x:v>Default</x:v>
      </x:c>
      <x:c r="G432" s="71" t="str">
        <x:v>Label</x:v>
      </x:c>
      <x:c r="H432" s="71" t="str">
        <x:v>El viaje</x:v>
      </x:c>
      <x:c r="I432" s="71" t="str">
        <x:v>El viaje</x:v>
      </x:c>
      <x:c r="J432" s="73"/>
      <x:c r="K432" s="74" t="str">
        <x:f>IF(J432="",H432,IF(J432=I432,I432,J432))</x:f>
        <x:v>El viaje</x:v>
      </x:c>
      <x:c r="L432" s="74" t="str">
        <x:f>IF(J432="","Keep current",IF(J432=I432,"Use suggestion","Custom"))</x:f>
        <x:v>Keep current</x:v>
      </x:c>
      <x:c r="M432" s="71" t="str">
        <x:v>Pending review</x:v>
      </x:c>
      <x:c r="N432" s="71" t="str">
        <x:v>Normal</x:v>
      </x:c>
      <x:c r="O432" s="71" t="str">
        <x:v>app/journey/new/trip-builder.tsx</x:v>
      </x:c>
      <x:c r="P432" s="71" t="str">
        <x:v>stepNotes:810</x:v>
      </x:c>
      <x:c r="Q432" s="71" t="str">
        <x:v>ES</x:v>
      </x:c>
      <x:c r="R432" s="71" t="str">
        <x:v>Already clear and direct; suggested wording intentionally keeps the current copy.</x:v>
      </x:c>
      <x:c r="S432" s="75" t="str">
        <x:v>Not applied — review required</x:v>
      </x:c>
    </x:row>
    <x:row r="433">
      <x:c r="A433" s="71" t="str">
        <x:v>MRV-29FC112976</x:v>
      </x:c>
      <x:c r="B433" s="71" t="str">
        <x:v>Planning</x:v>
      </x:c>
      <x:c r="C433" s="71" t="str">
        <x:v>New trip builder</x:v>
      </x:c>
      <x:c r="D433" s="71" t="str">
        <x:v>/journey/new/trip-builder</x:v>
      </x:c>
      <x:c r="E433" s="71" t="str">
        <x:v>stepNotes</x:v>
      </x:c>
      <x:c r="F433" s="71" t="str">
        <x:v>Default</x:v>
      </x:c>
      <x:c r="G433" s="71" t="str">
        <x:v>Label</x:v>
      </x:c>
      <x:c r="H433" s="71" t="str">
        <x:v>Fechas y noches</x:v>
      </x:c>
      <x:c r="I433" s="71" t="str">
        <x:v>Fechas y noches</x:v>
      </x:c>
      <x:c r="J433" s="73"/>
      <x:c r="K433" s="74" t="str">
        <x:f>IF(J433="",H433,IF(J433=I433,I433,J433))</x:f>
        <x:v>Fechas y noches</x:v>
      </x:c>
      <x:c r="L433" s="74" t="str">
        <x:f>IF(J433="","Keep current",IF(J433=I433,"Use suggestion","Custom"))</x:f>
        <x:v>Keep current</x:v>
      </x:c>
      <x:c r="M433" s="71" t="str">
        <x:v>Pending review</x:v>
      </x:c>
      <x:c r="N433" s="71" t="str">
        <x:v>Normal</x:v>
      </x:c>
      <x:c r="O433" s="71" t="str">
        <x:v>app/journey/new/trip-builder.tsx</x:v>
      </x:c>
      <x:c r="P433" s="71" t="str">
        <x:v>stepNotes:810</x:v>
      </x:c>
      <x:c r="Q433" s="71" t="str">
        <x:v>ES</x:v>
      </x:c>
      <x:c r="R433" s="71" t="str">
        <x:v>Already clear and direct; suggested wording intentionally keeps the current copy.</x:v>
      </x:c>
      <x:c r="S433" s="75" t="str">
        <x:v>Not applied — review required</x:v>
      </x:c>
    </x:row>
    <x:row r="434">
      <x:c r="A434" s="71" t="str">
        <x:v>MRV-CF27AEC074</x:v>
      </x:c>
      <x:c r="B434" s="71" t="str">
        <x:v>Planning</x:v>
      </x:c>
      <x:c r="C434" s="71" t="str">
        <x:v>New trip builder</x:v>
      </x:c>
      <x:c r="D434" s="71" t="str">
        <x:v>/journey/new/trip-builder</x:v>
      </x:c>
      <x:c r="E434" s="71" t="str">
        <x:v>stepNotes</x:v>
      </x:c>
      <x:c r="F434" s="71" t="str">
        <x:v>Default</x:v>
      </x:c>
      <x:c r="G434" s="71" t="str">
        <x:v>Label</x:v>
      </x:c>
      <x:c r="H434" s="71" t="str">
        <x:v>The trip</x:v>
      </x:c>
      <x:c r="I434" s="71" t="str">
        <x:v>The trip</x:v>
      </x:c>
      <x:c r="J434" s="73"/>
      <x:c r="K434" s="74" t="str">
        <x:f>IF(J434="",H434,IF(J434=I434,I434,J434))</x:f>
        <x:v>The trip</x:v>
      </x:c>
      <x:c r="L434" s="74" t="str">
        <x:f>IF(J434="","Keep current",IF(J434=I434,"Use suggestion","Custom"))</x:f>
        <x:v>Keep current</x:v>
      </x:c>
      <x:c r="M434" s="71" t="str">
        <x:v>Pending review</x:v>
      </x:c>
      <x:c r="N434" s="71" t="str">
        <x:v>Normal</x:v>
      </x:c>
      <x:c r="O434" s="71" t="str">
        <x:v>app/journey/new/trip-builder.tsx</x:v>
      </x:c>
      <x:c r="P434" s="71" t="str">
        <x:v>stepNotes:811</x:v>
      </x:c>
      <x:c r="Q434" s="71" t="str">
        <x:v>EN</x:v>
      </x:c>
      <x:c r="R434" s="71" t="str">
        <x:v>Already clear and direct; suggested wording intentionally keeps the current copy. Terminology watch: ‘trip’ and ‘journey’ both describe the same plan. Terminology watch: ‘stops’, ‘destinations’ and ‘places’ overlap.</x:v>
      </x:c>
      <x:c r="S434" s="75" t="str">
        <x:v>Not applied — review required</x:v>
      </x:c>
    </x:row>
    <x:row r="435">
      <x:c r="A435" s="71" t="str">
        <x:v>MRV-D1C2E81426</x:v>
      </x:c>
      <x:c r="B435" s="71" t="str">
        <x:v>Planning</x:v>
      </x:c>
      <x:c r="C435" s="71" t="str">
        <x:v>New trip builder</x:v>
      </x:c>
      <x:c r="D435" s="71" t="str">
        <x:v>/journey/new/trip-builder</x:v>
      </x:c>
      <x:c r="E435" s="71" t="str">
        <x:v>stepNotes</x:v>
      </x:c>
      <x:c r="F435" s="71" t="str">
        <x:v>Default</x:v>
      </x:c>
      <x:c r="G435" s="71" t="str">
        <x:v>Label</x:v>
      </x:c>
      <x:c r="H435" s="71" t="str">
        <x:v>Dates and nights</x:v>
      </x:c>
      <x:c r="I435" s="71" t="str">
        <x:v>Dates and nights</x:v>
      </x:c>
      <x:c r="J435" s="73"/>
      <x:c r="K435" s="74" t="str">
        <x:f>IF(J435="",H435,IF(J435=I435,I435,J435))</x:f>
        <x:v>Dates and nights</x:v>
      </x:c>
      <x:c r="L435" s="74" t="str">
        <x:f>IF(J435="","Keep current",IF(J435=I435,"Use suggestion","Custom"))</x:f>
        <x:v>Keep current</x:v>
      </x:c>
      <x:c r="M435" s="71" t="str">
        <x:v>Pending review</x:v>
      </x:c>
      <x:c r="N435" s="71" t="str">
        <x:v>Normal</x:v>
      </x:c>
      <x:c r="O435" s="71" t="str">
        <x:v>app/journey/new/trip-builder.tsx</x:v>
      </x:c>
      <x:c r="P435" s="71" t="str">
        <x:v>stepNotes:811</x:v>
      </x:c>
      <x:c r="Q435" s="71" t="str">
        <x:v>EN</x:v>
      </x:c>
      <x:c r="R435" s="71" t="str">
        <x:v>Already clear and direct; suggested wording intentionally keeps the current copy.</x:v>
      </x:c>
      <x:c r="S435" s="75" t="str">
        <x:v>Not applied — review required</x:v>
      </x:c>
    </x:row>
    <x:row r="436">
      <x:c r="A436" s="71" t="str">
        <x:v>MRV-FF5DA59189</x:v>
      </x:c>
      <x:c r="B436" s="71" t="str">
        <x:v>Planning</x:v>
      </x:c>
      <x:c r="C436" s="71" t="str">
        <x:v>New trip builder</x:v>
      </x:c>
      <x:c r="D436" s="71" t="str">
        <x:v>/journey/new/trip-builder</x:v>
      </x:c>
      <x:c r="E436" s="71" t="str">
        <x:v>stepGuidance</x:v>
      </x:c>
      <x:c r="F436" s="71" t="str">
        <x:v>Default</x:v>
      </x:c>
      <x:c r="G436" s="71" t="str">
        <x:v>Body copy</x:v>
      </x:c>
      <x:c r="H436" s="71" t="str">
        <x:v>Elige los lugares.</x:v>
      </x:c>
      <x:c r="I436" s="71" t="str">
        <x:v>Elige los lugares.</x:v>
      </x:c>
      <x:c r="J436" s="73"/>
      <x:c r="K436" s="74" t="str">
        <x:f>IF(J436="",H436,IF(J436=I436,I436,J436))</x:f>
        <x:v>Elige los lugares.</x:v>
      </x:c>
      <x:c r="L436" s="74" t="str">
        <x:f>IF(J436="","Keep current",IF(J436=I436,"Use suggestion","Custom"))</x:f>
        <x:v>Keep current</x:v>
      </x:c>
      <x:c r="M436" s="71" t="str">
        <x:v>Pending review</x:v>
      </x:c>
      <x:c r="N436" s="71" t="str">
        <x:v>Normal</x:v>
      </x:c>
      <x:c r="O436" s="71" t="str">
        <x:v>app/journey/new/trip-builder.tsx</x:v>
      </x:c>
      <x:c r="P436" s="71" t="str">
        <x:v>stepGuidance:814</x:v>
      </x:c>
      <x:c r="Q436" s="71" t="str">
        <x:v>ES</x:v>
      </x:c>
      <x:c r="R436" s="71" t="str">
        <x:v>Already clear and direct; suggested wording intentionally keeps the current copy.</x:v>
      </x:c>
      <x:c r="S436" s="75" t="str">
        <x:v>Not applied — review required</x:v>
      </x:c>
    </x:row>
    <x:row r="437">
      <x:c r="A437" s="71" t="str">
        <x:v>MRV-7D727DAF89</x:v>
      </x:c>
      <x:c r="B437" s="71" t="str">
        <x:v>Planning</x:v>
      </x:c>
      <x:c r="C437" s="71" t="str">
        <x:v>New trip builder</x:v>
      </x:c>
      <x:c r="D437" s="71" t="str">
        <x:v>/journey/new/trip-builder</x:v>
      </x:c>
      <x:c r="E437" s="71" t="str">
        <x:v>stepGuidance</x:v>
      </x:c>
      <x:c r="F437" s="71" t="str">
        <x:v>Default</x:v>
      </x:c>
      <x:c r="G437" s="71" t="str">
        <x:v>Body copy</x:v>
      </x:c>
      <x:c r="H437" s="71" t="str">
        <x:v>Morrovia ya ha recogido lo que pudo de tu idea. Corrige solo lo necesario.</x:v>
      </x:c>
      <x:c r="I437" s="71" t="str">
        <x:v>Morrovia ya ha recogido lo que pudo de tu idea. Corrige solo lo necesario.</x:v>
      </x:c>
      <x:c r="J437" s="73"/>
      <x:c r="K437" s="74" t="str">
        <x:f>IF(J437="",H437,IF(J437=I437,I437,J437))</x:f>
        <x:v>Morrovia ya ha recogido lo que pudo de tu idea. Corrige solo lo necesario.</x:v>
      </x:c>
      <x:c r="L437" s="74" t="str">
        <x:f>IF(J437="","Keep current",IF(J437=I437,"Use suggestion","Custom"))</x:f>
        <x:v>Keep current</x:v>
      </x:c>
      <x:c r="M437" s="71" t="str">
        <x:v>Pending review</x:v>
      </x:c>
      <x:c r="N437" s="71" t="str">
        <x:v>Normal</x:v>
      </x:c>
      <x:c r="O437" s="71" t="str">
        <x:v>app/journey/new/trip-builder.tsx</x:v>
      </x:c>
      <x:c r="P437" s="71" t="str">
        <x:v>stepGuidance:814</x:v>
      </x:c>
      <x:c r="Q437" s="71" t="str">
        <x:v>ES</x:v>
      </x:c>
      <x:c r="R437" s="71" t="str">
        <x:v>Already clear and direct; suggested wording intentionally keeps the current copy.</x:v>
      </x:c>
      <x:c r="S437" s="75" t="str">
        <x:v>Not applied — review required</x:v>
      </x:c>
    </x:row>
    <x:row r="438">
      <x:c r="A438" s="71" t="str">
        <x:v>MRV-F1ED01F13A</x:v>
      </x:c>
      <x:c r="B438" s="71" t="str">
        <x:v>Planning</x:v>
      </x:c>
      <x:c r="C438" s="71" t="str">
        <x:v>New trip builder</x:v>
      </x:c>
      <x:c r="D438" s="71" t="str">
        <x:v>/journey/new/trip-builder</x:v>
      </x:c>
      <x:c r="E438" s="71" t="str">
        <x:v>stepGuidance</x:v>
      </x:c>
      <x:c r="F438" s="71" t="str">
        <x:v>Default</x:v>
      </x:c>
      <x:c r="G438" s="71" t="str">
        <x:v>Body copy</x:v>
      </x:c>
      <x:c r="H438" s="71" t="str">
        <x:v>Define el tiempo.</x:v>
      </x:c>
      <x:c r="I438" s="71" t="str">
        <x:v>Define el tiempo.</x:v>
      </x:c>
      <x:c r="J438" s="73"/>
      <x:c r="K438" s="74" t="str">
        <x:f>IF(J438="",H438,IF(J438=I438,I438,J438))</x:f>
        <x:v>Define el tiempo.</x:v>
      </x:c>
      <x:c r="L438" s="74" t="str">
        <x:f>IF(J438="","Keep current",IF(J438=I438,"Use suggestion","Custom"))</x:f>
        <x:v>Keep current</x:v>
      </x:c>
      <x:c r="M438" s="71" t="str">
        <x:v>Pending review</x:v>
      </x:c>
      <x:c r="N438" s="71" t="str">
        <x:v>Normal</x:v>
      </x:c>
      <x:c r="O438" s="71" t="str">
        <x:v>app/journey/new/trip-builder.tsx</x:v>
      </x:c>
      <x:c r="P438" s="71" t="str">
        <x:v>stepGuidance:815</x:v>
      </x:c>
      <x:c r="Q438" s="71" t="str">
        <x:v>ES</x:v>
      </x:c>
      <x:c r="R438" s="71" t="str">
        <x:v>Already clear and direct; suggested wording intentionally keeps the current copy.</x:v>
      </x:c>
      <x:c r="S438" s="75" t="str">
        <x:v>Not applied — review required</x:v>
      </x:c>
    </x:row>
    <x:row r="439">
      <x:c r="A439" s="71" t="str">
        <x:v>MRV-246C225D83</x:v>
      </x:c>
      <x:c r="B439" s="71" t="str">
        <x:v>Planning</x:v>
      </x:c>
      <x:c r="C439" s="71" t="str">
        <x:v>New trip builder</x:v>
      </x:c>
      <x:c r="D439" s="71" t="str">
        <x:v>/journey/new/trip-builder</x:v>
      </x:c>
      <x:c r="E439" s="71" t="str">
        <x:v>stepGuidance</x:v>
      </x:c>
      <x:c r="F439" s="71" t="str">
        <x:v>Default</x:v>
      </x:c>
      <x:c r="G439" s="71" t="str">
        <x:v>Body copy</x:v>
      </x:c>
      <x:c r="H439" s="71" t="str">
        <x:v>Elige las fechas y ajusta las noches antes de crear el viaje.</x:v>
      </x:c>
      <x:c r="I439" s="71" t="str">
        <x:v>Elige las fechas y ajusta las noches antes de crear el viaje.</x:v>
      </x:c>
      <x:c r="J439" s="73"/>
      <x:c r="K439" s="74" t="str">
        <x:f>IF(J439="",H439,IF(J439=I439,I439,J439))</x:f>
        <x:v>Elige las fechas y ajusta las noches antes de crear el viaje.</x:v>
      </x:c>
      <x:c r="L439" s="74" t="str">
        <x:f>IF(J439="","Keep current",IF(J439=I439,"Use suggestion","Custom"))</x:f>
        <x:v>Keep current</x:v>
      </x:c>
      <x:c r="M439" s="71" t="str">
        <x:v>Pending review</x:v>
      </x:c>
      <x:c r="N439" s="71" t="str">
        <x:v>Normal</x:v>
      </x:c>
      <x:c r="O439" s="71" t="str">
        <x:v>app/journey/new/trip-builder.tsx</x:v>
      </x:c>
      <x:c r="P439" s="71" t="str">
        <x:v>stepGuidance:815</x:v>
      </x:c>
      <x:c r="Q439" s="71" t="str">
        <x:v>ES</x:v>
      </x:c>
      <x:c r="R439" s="71" t="str">
        <x:v>Already clear and direct; suggested wording intentionally keeps the current copy.</x:v>
      </x:c>
      <x:c r="S439" s="75" t="str">
        <x:v>Not applied — review required</x:v>
      </x:c>
    </x:row>
    <x:row r="440">
      <x:c r="A440" s="71" t="str">
        <x:v>MRV-F2C3668EEC</x:v>
      </x:c>
      <x:c r="B440" s="71" t="str">
        <x:v>Planning</x:v>
      </x:c>
      <x:c r="C440" s="71" t="str">
        <x:v>New trip builder</x:v>
      </x:c>
      <x:c r="D440" s="71" t="str">
        <x:v>/journey/new/trip-builder</x:v>
      </x:c>
      <x:c r="E440" s="71" t="str">
        <x:v>stepGuidance</x:v>
      </x:c>
      <x:c r="F440" s="71" t="str">
        <x:v>Default</x:v>
      </x:c>
      <x:c r="G440" s="71" t="str">
        <x:v>Body copy</x:v>
      </x:c>
      <x:c r="H440" s="71" t="str">
        <x:v>Choose the places.</x:v>
      </x:c>
      <x:c r="I440" s="71" t="str">
        <x:v>Choose the places.</x:v>
      </x:c>
      <x:c r="J440" s="73"/>
      <x:c r="K440" s="74" t="str">
        <x:f>IF(J440="",H440,IF(J440=I440,I440,J440))</x:f>
        <x:v>Choose the places.</x:v>
      </x:c>
      <x:c r="L440" s="74" t="str">
        <x:f>IF(J440="","Keep current",IF(J440=I440,"Use suggestion","Custom"))</x:f>
        <x:v>Keep current</x:v>
      </x:c>
      <x:c r="M440" s="71" t="str">
        <x:v>Pending review</x:v>
      </x:c>
      <x:c r="N440" s="71" t="str">
        <x:v>Normal</x:v>
      </x:c>
      <x:c r="O440" s="71" t="str">
        <x:v>app/journey/new/trip-builder.tsx</x:v>
      </x:c>
      <x:c r="P440" s="71" t="str">
        <x:v>stepGuidance:818</x:v>
      </x:c>
      <x:c r="Q440" s="71" t="str">
        <x:v>EN</x:v>
      </x:c>
      <x:c r="R440" s="71" t="str">
        <x:v>Already clear and direct; suggested wording intentionally keeps the current copy. Terminology watch: ‘trip’ and ‘journey’ both describe the same plan. Terminology watch: ‘stops’, ‘destinations’ and ‘places’ overlap.</x:v>
      </x:c>
      <x:c r="S440" s="75" t="str">
        <x:v>Not applied — review required</x:v>
      </x:c>
    </x:row>
    <x:row r="441">
      <x:c r="A441" s="71" t="str">
        <x:v>MRV-C416B36772</x:v>
      </x:c>
      <x:c r="B441" s="71" t="str">
        <x:v>Planning</x:v>
      </x:c>
      <x:c r="C441" s="71" t="str">
        <x:v>New trip builder</x:v>
      </x:c>
      <x:c r="D441" s="71" t="str">
        <x:v>/journey/new/trip-builder</x:v>
      </x:c>
      <x:c r="E441" s="71" t="str">
        <x:v>stepGuidance</x:v>
      </x:c>
      <x:c r="F441" s="71" t="str">
        <x:v>Default</x:v>
      </x:c>
      <x:c r="G441" s="71" t="str">
        <x:v>Body copy</x:v>
      </x:c>
      <x:c r="H441" s="71" t="str">
        <x:v>We’ve picked up what we can from your idea. Correct only what needs it.</x:v>
      </x:c>
      <x:c r="I441" s="71" t="str">
        <x:v>We’ve picked up what we can from your idea. Correct only what needs it.</x:v>
      </x:c>
      <x:c r="J441" s="73"/>
      <x:c r="K441" s="74" t="str">
        <x:f>IF(J441="",H441,IF(J441=I441,I441,J441))</x:f>
        <x:v>We’ve picked up what we can from your idea. Correct only what needs it.</x:v>
      </x:c>
      <x:c r="L441" s="74" t="str">
        <x:f>IF(J441="","Keep current",IF(J441=I441,"Use suggestion","Custom"))</x:f>
        <x:v>Keep current</x:v>
      </x:c>
      <x:c r="M441" s="71" t="str">
        <x:v>Pending review</x:v>
      </x:c>
      <x:c r="N441" s="71" t="str">
        <x:v>Normal</x:v>
      </x:c>
      <x:c r="O441" s="71" t="str">
        <x:v>app/journey/new/trip-builder.tsx</x:v>
      </x:c>
      <x:c r="P441" s="71" t="str">
        <x:v>stepGuidance:818</x:v>
      </x:c>
      <x:c r="Q441" s="71" t="str">
        <x:v>EN</x:v>
      </x:c>
      <x:c r="R441" s="71" t="str">
        <x:v>Already clear and direct; suggested wording intentionally keeps the current copy.</x:v>
      </x:c>
      <x:c r="S441" s="75" t="str">
        <x:v>Not applied — review required</x:v>
      </x:c>
    </x:row>
    <x:row r="442">
      <x:c r="A442" s="71" t="str">
        <x:v>MRV-0EE37A69CE</x:v>
      </x:c>
      <x:c r="B442" s="71" t="str">
        <x:v>Planning</x:v>
      </x:c>
      <x:c r="C442" s="71" t="str">
        <x:v>New trip builder</x:v>
      </x:c>
      <x:c r="D442" s="71" t="str">
        <x:v>/journey/new/trip-builder</x:v>
      </x:c>
      <x:c r="E442" s="71" t="str">
        <x:v>stepGuidance</x:v>
      </x:c>
      <x:c r="F442" s="71" t="str">
        <x:v>Default</x:v>
      </x:c>
      <x:c r="G442" s="71" t="str">
        <x:v>Body copy</x:v>
      </x:c>
      <x:c r="H442" s="71" t="str">
        <x:v>Set the time.</x:v>
      </x:c>
      <x:c r="I442" s="71" t="str">
        <x:v>Set the time.</x:v>
      </x:c>
      <x:c r="J442" s="73"/>
      <x:c r="K442" s="74" t="str">
        <x:f>IF(J442="",H442,IF(J442=I442,I442,J442))</x:f>
        <x:v>Set the time.</x:v>
      </x:c>
      <x:c r="L442" s="74" t="str">
        <x:f>IF(J442="","Keep current",IF(J442=I442,"Use suggestion","Custom"))</x:f>
        <x:v>Keep current</x:v>
      </x:c>
      <x:c r="M442" s="71" t="str">
        <x:v>Pending review</x:v>
      </x:c>
      <x:c r="N442" s="71" t="str">
        <x:v>Normal</x:v>
      </x:c>
      <x:c r="O442" s="71" t="str">
        <x:v>app/journey/new/trip-builder.tsx</x:v>
      </x:c>
      <x:c r="P442" s="71" t="str">
        <x:v>stepGuidance:819</x:v>
      </x:c>
      <x:c r="Q442" s="71" t="str">
        <x:v>EN</x:v>
      </x:c>
      <x:c r="R442" s="71" t="str">
        <x:v>Already clear and direct; suggested wording intentionally keeps the current copy.</x:v>
      </x:c>
      <x:c r="S442" s="75" t="str">
        <x:v>Not applied — review required</x:v>
      </x:c>
    </x:row>
    <x:row r="443">
      <x:c r="A443" s="71" t="str">
        <x:v>MRV-1FEB7733E4</x:v>
      </x:c>
      <x:c r="B443" s="71" t="str">
        <x:v>Planning</x:v>
      </x:c>
      <x:c r="C443" s="71" t="str">
        <x:v>New trip builder</x:v>
      </x:c>
      <x:c r="D443" s="71" t="str">
        <x:v>/journey/new/trip-builder</x:v>
      </x:c>
      <x:c r="E443" s="71" t="str">
        <x:v>stepGuidance</x:v>
      </x:c>
      <x:c r="F443" s="71" t="str">
        <x:v>Default</x:v>
      </x:c>
      <x:c r="G443" s="71" t="str">
        <x:v>Body copy</x:v>
      </x:c>
      <x:c r="H443" s="71" t="str">
        <x:v>Set your dates, then adjust nights before we build your trip.</x:v>
      </x:c>
      <x:c r="I443" s="71" t="str">
        <x:v>Set your dates, then adjust nights before we build your trip.</x:v>
      </x:c>
      <x:c r="J443" s="73"/>
      <x:c r="K443" s="74" t="str">
        <x:f>IF(J443="",H443,IF(J443=I443,I443,J443))</x:f>
        <x:v>Set your dates, then adjust nights before we build your trip.</x:v>
      </x:c>
      <x:c r="L443" s="74" t="str">
        <x:f>IF(J443="","Keep current",IF(J443=I443,"Use suggestion","Custom"))</x:f>
        <x:v>Keep current</x:v>
      </x:c>
      <x:c r="M443" s="71" t="str">
        <x:v>Pending review</x:v>
      </x:c>
      <x:c r="N443" s="71" t="str">
        <x:v>Normal</x:v>
      </x:c>
      <x:c r="O443" s="71" t="str">
        <x:v>app/journey/new/trip-builder.tsx</x:v>
      </x:c>
      <x:c r="P443" s="71" t="str">
        <x:v>stepGuidance:819</x:v>
      </x:c>
      <x:c r="Q443" s="71" t="str">
        <x:v>EN</x:v>
      </x:c>
      <x:c r="R443" s="71" t="str">
        <x:v>Already clear and direct; suggested wording intentionally keeps the current copy. Terminology watch: ‘trip’ and ‘journey’ both describe the same plan. Terminology watch: ‘stops’, ‘destinations’ and ‘places’ overlap.</x:v>
      </x:c>
      <x:c r="S443" s="75" t="str">
        <x:v>Not applied — review required</x:v>
      </x:c>
    </x:row>
    <x:row r="444">
      <x:c r="A444" s="71" t="str">
        <x:v>MRV-A7723FE2C0</x:v>
      </x:c>
      <x:c r="B444" s="71" t="str">
        <x:v>Planning</x:v>
      </x:c>
      <x:c r="C444" s="71" t="str">
        <x:v>New trip builder</x:v>
      </x:c>
      <x:c r="D444" s="71" t="str">
        <x:v>/journey/new/trip-builder</x:v>
      </x:c>
      <x:c r="E444" s="71" t="str">
        <x:v>pickedUpPreferences</x:v>
      </x:c>
      <x:c r="F444" s="71" t="str">
        <x:v>Default</x:v>
      </x:c>
      <x:c r="G444" s="71" t="str">
        <x:v>Body copy</x:v>
      </x:c>
      <x:c r="H444" s="71" t="str">
        <x:v>{effectiveStructuredBrief.duration.value} {effectiveStructuredBrief.duration.unit}</x:v>
      </x:c>
      <x:c r="I444" s="71" t="str">
        <x:v>{effectiveStructuredBrief.duration.value} {effectiveStructuredBrief.duration.unit}</x:v>
      </x:c>
      <x:c r="J444" s="73"/>
      <x:c r="K444" s="74" t="str">
        <x:f>IF(J444="",H444,IF(J444=I444,I444,J444))</x:f>
        <x:v>{effectiveStructuredBrief.duration.value} {effectiveStructuredBrief.duration.unit}</x:v>
      </x:c>
      <x:c r="L444" s="74" t="str">
        <x:f>IF(J444="","Keep current",IF(J444=I444,"Use suggestion","Custom"))</x:f>
        <x:v>Keep current</x:v>
      </x:c>
      <x:c r="M444" s="71" t="str">
        <x:v>Pending review</x:v>
      </x:c>
      <x:c r="N444" s="71" t="str">
        <x:v>Normal</x:v>
      </x:c>
      <x:c r="O444" s="71" t="str">
        <x:v>app/journey/new/trip-builder.tsx</x:v>
      </x:c>
      <x:c r="P444" s="71" t="str">
        <x:v>pickedUpPreferences:823</x:v>
      </x:c>
      <x:c r="Q444" s="71" t="str">
        <x:v>EN (default / shared)</x:v>
      </x:c>
      <x:c r="R444" s="71" t="str">
        <x:v>Already clear and direct; suggested wording intentionally keeps the current copy. Dynamic traveller or trip value is represented as a token; user-generated values are excluded.</x:v>
      </x:c>
      <x:c r="S444" s="75" t="str">
        <x:v>Not applied — review required</x:v>
      </x:c>
    </x:row>
    <x:row r="445">
      <x:c r="A445" s="71" t="str">
        <x:v>MRV-C4367197E3</x:v>
      </x:c>
      <x:c r="B445" s="71" t="str">
        <x:v>Planning</x:v>
      </x:c>
      <x:c r="C445" s="71" t="str">
        <x:v>New trip builder</x:v>
      </x:c>
      <x:c r="D445" s="71" t="str">
        <x:v>/journey/new/trip-builder</x:v>
      </x:c>
      <x:c r="E445" s="71" t="str">
        <x:v>pickedUpPreferences</x:v>
      </x:c>
      <x:c r="F445" s="71" t="str">
        <x:v>Default</x:v>
      </x:c>
      <x:c r="G445" s="71" t="str">
        <x:v>Label</x:v>
      </x:c>
      <x:c r="H445" s="71" t="str">
        <x:v>Tren preferido</x:v>
      </x:c>
      <x:c r="I445" s="71" t="str">
        <x:v>Tren preferido</x:v>
      </x:c>
      <x:c r="J445" s="73"/>
      <x:c r="K445" s="74" t="str">
        <x:f>IF(J445="",H445,IF(J445=I445,I445,J445))</x:f>
        <x:v>Tren preferido</x:v>
      </x:c>
      <x:c r="L445" s="74" t="str">
        <x:f>IF(J445="","Keep current",IF(J445=I445,"Use suggestion","Custom"))</x:f>
        <x:v>Keep current</x:v>
      </x:c>
      <x:c r="M445" s="71" t="str">
        <x:v>Pending review</x:v>
      </x:c>
      <x:c r="N445" s="71" t="str">
        <x:v>Normal</x:v>
      </x:c>
      <x:c r="O445" s="71" t="str">
        <x:v>app/journey/new/trip-builder.tsx</x:v>
      </x:c>
      <x:c r="P445" s="71" t="str">
        <x:v>pickedUpPreferences:825</x:v>
      </x:c>
      <x:c r="Q445" s="71" t="str">
        <x:v>ES</x:v>
      </x:c>
      <x:c r="R445" s="71" t="str">
        <x:v>Already clear and direct; suggested wording intentionally keeps the current copy.</x:v>
      </x:c>
      <x:c r="S445" s="75" t="str">
        <x:v>Not applied — review required</x:v>
      </x:c>
    </x:row>
    <x:row r="446">
      <x:c r="A446" s="71" t="str">
        <x:v>MRV-2792126DA7</x:v>
      </x:c>
      <x:c r="B446" s="71" t="str">
        <x:v>Planning</x:v>
      </x:c>
      <x:c r="C446" s="71" t="str">
        <x:v>New trip builder</x:v>
      </x:c>
      <x:c r="D446" s="71" t="str">
        <x:v>/journey/new/trip-builder</x:v>
      </x:c>
      <x:c r="E446" s="71" t="str">
        <x:v>pickedUpPreferences</x:v>
      </x:c>
      <x:c r="F446" s="71" t="str">
        <x:v>Default</x:v>
      </x:c>
      <x:c r="G446" s="71" t="str">
        <x:v>Label</x:v>
      </x:c>
      <x:c r="H446" s="71" t="str">
        <x:v>Train preferred</x:v>
      </x:c>
      <x:c r="I446" s="71" t="str">
        <x:v>Train preferred</x:v>
      </x:c>
      <x:c r="J446" s="73"/>
      <x:c r="K446" s="74" t="str">
        <x:f>IF(J446="",H446,IF(J446=I446,I446,J446))</x:f>
        <x:v>Train preferred</x:v>
      </x:c>
      <x:c r="L446" s="74" t="str">
        <x:f>IF(J446="","Keep current",IF(J446=I446,"Use suggestion","Custom"))</x:f>
        <x:v>Keep current</x:v>
      </x:c>
      <x:c r="M446" s="71" t="str">
        <x:v>Pending review</x:v>
      </x:c>
      <x:c r="N446" s="71" t="str">
        <x:v>Normal</x:v>
      </x:c>
      <x:c r="O446" s="71" t="str">
        <x:v>app/journey/new/trip-builder.tsx</x:v>
      </x:c>
      <x:c r="P446" s="71" t="str">
        <x:v>pickedUpPreferences:825</x:v>
      </x:c>
      <x:c r="Q446" s="71" t="str">
        <x:v>EN</x:v>
      </x:c>
      <x:c r="R446" s="71" t="str">
        <x:v>Already clear and direct; suggested wording intentionally keeps the current copy.</x:v>
      </x:c>
      <x:c r="S446" s="75" t="str">
        <x:v>Not applied — review required</x:v>
      </x:c>
    </x:row>
    <x:row r="447">
      <x:c r="A447" s="71" t="str">
        <x:v>MRV-4F15DC08F6</x:v>
      </x:c>
      <x:c r="B447" s="71" t="str">
        <x:v>Planning</x:v>
      </x:c>
      <x:c r="C447" s="71" t="str">
        <x:v>New trip builder</x:v>
      </x:c>
      <x:c r="D447" s="71" t="str">
        <x:v>/journey/new/trip-builder</x:v>
      </x:c>
      <x:c r="E447" s="71" t="str">
        <x:v>pickedUpPreferences</x:v>
      </x:c>
      <x:c r="F447" s="71" t="str">
        <x:v>Default</x:v>
      </x:c>
      <x:c r="G447" s="71" t="str">
        <x:v>Label</x:v>
      </x:c>
      <x:c r="H447" s="71" t="str">
        <x:v>Volar cuando convenga</x:v>
      </x:c>
      <x:c r="I447" s="71" t="str">
        <x:v>Volar cuando convenga</x:v>
      </x:c>
      <x:c r="J447" s="73"/>
      <x:c r="K447" s="74" t="str">
        <x:f>IF(J447="",H447,IF(J447=I447,I447,J447))</x:f>
        <x:v>Volar cuando convenga</x:v>
      </x:c>
      <x:c r="L447" s="74" t="str">
        <x:f>IF(J447="","Keep current",IF(J447=I447,"Use suggestion","Custom"))</x:f>
        <x:v>Keep current</x:v>
      </x:c>
      <x:c r="M447" s="71" t="str">
        <x:v>Pending review</x:v>
      </x:c>
      <x:c r="N447" s="71" t="str">
        <x:v>Normal</x:v>
      </x:c>
      <x:c r="O447" s="71" t="str">
        <x:v>app/journey/new/trip-builder.tsx</x:v>
      </x:c>
      <x:c r="P447" s="71" t="str">
        <x:v>pickedUpPreferences:826</x:v>
      </x:c>
      <x:c r="Q447" s="71" t="str">
        <x:v>ES</x:v>
      </x:c>
      <x:c r="R447" s="71" t="str">
        <x:v>Already clear and direct; suggested wording intentionally keeps the current copy.</x:v>
      </x:c>
      <x:c r="S447" s="75" t="str">
        <x:v>Not applied — review required</x:v>
      </x:c>
    </x:row>
    <x:row r="448">
      <x:c r="A448" s="71" t="str">
        <x:v>MRV-7BF901B670</x:v>
      </x:c>
      <x:c r="B448" s="71" t="str">
        <x:v>Planning</x:v>
      </x:c>
      <x:c r="C448" s="71" t="str">
        <x:v>New trip builder</x:v>
      </x:c>
      <x:c r="D448" s="71" t="str">
        <x:v>/journey/new/trip-builder</x:v>
      </x:c>
      <x:c r="E448" s="71" t="str">
        <x:v>pickedUpPreferences</x:v>
      </x:c>
      <x:c r="F448" s="71" t="str">
        <x:v>Default</x:v>
      </x:c>
      <x:c r="G448" s="71" t="str">
        <x:v>Label</x:v>
      </x:c>
      <x:c r="H448" s="71" t="str">
        <x:v>Fly when it helps</x:v>
      </x:c>
      <x:c r="I448" s="71" t="str">
        <x:v>Fly when it helps</x:v>
      </x:c>
      <x:c r="J448" s="73"/>
      <x:c r="K448" s="74" t="str">
        <x:f>IF(J448="",H448,IF(J448=I448,I448,J448))</x:f>
        <x:v>Fly when it helps</x:v>
      </x:c>
      <x:c r="L448" s="74" t="str">
        <x:f>IF(J448="","Keep current",IF(J448=I448,"Use suggestion","Custom"))</x:f>
        <x:v>Keep current</x:v>
      </x:c>
      <x:c r="M448" s="71" t="str">
        <x:v>Pending review</x:v>
      </x:c>
      <x:c r="N448" s="71" t="str">
        <x:v>Normal</x:v>
      </x:c>
      <x:c r="O448" s="71" t="str">
        <x:v>app/journey/new/trip-builder.tsx</x:v>
      </x:c>
      <x:c r="P448" s="71" t="str">
        <x:v>pickedUpPreferences:826</x:v>
      </x:c>
      <x:c r="Q448" s="71" t="str">
        <x:v>EN</x:v>
      </x:c>
      <x:c r="R448" s="71" t="str">
        <x:v>Already clear and direct; suggested wording intentionally keeps the current copy.</x:v>
      </x:c>
      <x:c r="S448" s="75" t="str">
        <x:v>Not applied — review required</x:v>
      </x:c>
    </x:row>
    <x:row r="449">
      <x:c r="A449" s="71" t="str">
        <x:v>MRV-DCA2A780A3</x:v>
      </x:c>
      <x:c r="B449" s="71" t="str">
        <x:v>Planning</x:v>
      </x:c>
      <x:c r="C449" s="71" t="str">
        <x:v>New trip builder</x:v>
      </x:c>
      <x:c r="D449" s="71" t="str">
        <x:v>/journey/new/trip-builder</x:v>
      </x:c>
      <x:c r="E449" s="71" t="str">
        <x:v>pickedUpPreferences</x:v>
      </x:c>
      <x:c r="F449" s="71" t="str">
        <x:v>Default</x:v>
      </x:c>
      <x:c r="G449" s="71" t="str">
        <x:v>Label</x:v>
      </x:c>
      <x:c r="H449" s="71" t="str">
        <x:v>Evitar coche</x:v>
      </x:c>
      <x:c r="I449" s="71" t="str">
        <x:v>Evitar coche</x:v>
      </x:c>
      <x:c r="J449" s="73"/>
      <x:c r="K449" s="74" t="str">
        <x:f>IF(J449="",H449,IF(J449=I449,I449,J449))</x:f>
        <x:v>Evitar coche</x:v>
      </x:c>
      <x:c r="L449" s="74" t="str">
        <x:f>IF(J449="","Keep current",IF(J449=I449,"Use suggestion","Custom"))</x:f>
        <x:v>Keep current</x:v>
      </x:c>
      <x:c r="M449" s="71" t="str">
        <x:v>Pending review</x:v>
      </x:c>
      <x:c r="N449" s="71" t="str">
        <x:v>Normal</x:v>
      </x:c>
      <x:c r="O449" s="71" t="str">
        <x:v>app/journey/new/trip-builder.tsx</x:v>
      </x:c>
      <x:c r="P449" s="71" t="str">
        <x:v>pickedUpPreferences:829</x:v>
      </x:c>
      <x:c r="Q449" s="71" t="str">
        <x:v>ES</x:v>
      </x:c>
      <x:c r="R449" s="71" t="str">
        <x:v>Already clear and direct; suggested wording intentionally keeps the current copy. Duplicate wording: appears 2 times.</x:v>
      </x:c>
      <x:c r="S449" s="75" t="str">
        <x:v>Not applied — review required</x:v>
      </x:c>
    </x:row>
    <x:row r="450">
      <x:c r="A450" s="71" t="str">
        <x:v>MRV-A6E5ED7FCD</x:v>
      </x:c>
      <x:c r="B450" s="71" t="str">
        <x:v>Planning</x:v>
      </x:c>
      <x:c r="C450" s="71" t="str">
        <x:v>New trip builder</x:v>
      </x:c>
      <x:c r="D450" s="71" t="str">
        <x:v>/journey/new/trip-builder</x:v>
      </x:c>
      <x:c r="E450" s="71" t="str">
        <x:v>pickedUpPreferences</x:v>
      </x:c>
      <x:c r="F450" s="71" t="str">
        <x:v>Default</x:v>
      </x:c>
      <x:c r="G450" s="71" t="str">
        <x:v>Label</x:v>
      </x:c>
      <x:c r="H450" s="71" t="str">
        <x:v>Avoid driving</x:v>
      </x:c>
      <x:c r="I450" s="71" t="str">
        <x:v>Avoid driving</x:v>
      </x:c>
      <x:c r="J450" s="73"/>
      <x:c r="K450" s="74" t="str">
        <x:f>IF(J450="",H450,IF(J450=I450,I450,J450))</x:f>
        <x:v>Avoid driving</x:v>
      </x:c>
      <x:c r="L450" s="74" t="str">
        <x:f>IF(J450="","Keep current",IF(J450=I450,"Use suggestion","Custom"))</x:f>
        <x:v>Keep current</x:v>
      </x:c>
      <x:c r="M450" s="71" t="str">
        <x:v>Pending review</x:v>
      </x:c>
      <x:c r="N450" s="71" t="str">
        <x:v>Normal</x:v>
      </x:c>
      <x:c r="O450" s="71" t="str">
        <x:v>app/journey/new/trip-builder.tsx</x:v>
      </x:c>
      <x:c r="P450" s="71" t="str">
        <x:v>pickedUpPreferences:829</x:v>
      </x:c>
      <x:c r="Q450" s="71" t="str">
        <x:v>EN</x:v>
      </x:c>
      <x:c r="R450" s="71" t="str">
        <x:v>Already clear and direct; suggested wording intentionally keeps the current copy. Duplicate wording: appears 2 times.</x:v>
      </x:c>
      <x:c r="S450" s="75" t="str">
        <x:v>Not applied — review required</x:v>
      </x:c>
    </x:row>
    <x:row r="451">
      <x:c r="A451" s="71" t="str">
        <x:v>MRV-A785D5DD16</x:v>
      </x:c>
      <x:c r="B451" s="71" t="str">
        <x:v>Planning</x:v>
      </x:c>
      <x:c r="C451" s="71" t="str">
        <x:v>New trip builder</x:v>
      </x:c>
      <x:c r="D451" s="71" t="str">
        <x:v>/journey/new/trip-builder</x:v>
      </x:c>
      <x:c r="E451" s="71" t="str">
        <x:v>openSummaryEditor</x:v>
      </x:c>
      <x:c r="F451" s="71" t="str">
        <x:v>Default</x:v>
      </x:c>
      <x:c r="G451" s="71" t="str">
        <x:v>CTA / button</x:v>
      </x:c>
      <x:c r="H451" s="71" t="str">
        <x:v>builder-{target}</x:v>
      </x:c>
      <x:c r="I451" s="71" t="str">
        <x:v>builder-{target}</x:v>
      </x:c>
      <x:c r="J451" s="73"/>
      <x:c r="K451" s="74" t="str">
        <x:f>IF(J451="",H451,IF(J451=I451,I451,J451))</x:f>
        <x:v>builder-{target}</x:v>
      </x:c>
      <x:c r="L451" s="74" t="str">
        <x:f>IF(J451="","Keep current",IF(J451=I451,"Use suggestion","Custom"))</x:f>
        <x:v>Keep current</x:v>
      </x:c>
      <x:c r="M451" s="71" t="str">
        <x:v>Pending review</x:v>
      </x:c>
      <x:c r="N451" s="71" t="str">
        <x:v>Medium</x:v>
      </x:c>
      <x:c r="O451" s="71" t="str">
        <x:v>app/journey/new/trip-builder.tsx</x:v>
      </x:c>
      <x:c r="P451" s="71" t="str">
        <x:v>openSummaryEditor:843</x:v>
      </x:c>
      <x:c r="Q451" s="71" t="str">
        <x:v>EN (default / shared)</x:v>
      </x:c>
      <x:c r="R451" s="71" t="str">
        <x:v>Already clear and direct; suggested wording intentionally keeps the current copy. Dynamic traveller or trip value is represented as a token; user-generated values are excluded.</x:v>
      </x:c>
      <x:c r="S451" s="75" t="str">
        <x:v>Not applied — review required</x:v>
      </x:c>
    </x:row>
    <x:row r="452">
      <x:c r="A452" s="71" t="str">
        <x:v>MRV-B58A5E9683</x:v>
      </x:c>
      <x:c r="B452" s="71" t="str">
        <x:v>Planning</x:v>
      </x:c>
      <x:c r="C452" s="71" t="str">
        <x:v>New trip builder</x:v>
      </x:c>
      <x:c r="D452" s="71" t="str">
        <x:v>/journey/new/trip-builder</x:v>
      </x:c>
      <x:c r="E452" s="71" t="str">
        <x:v>routeAnalyticsKey</x:v>
      </x:c>
      <x:c r="F452" s="71" t="str">
        <x:v>Default</x:v>
      </x:c>
      <x:c r="G452" s="71" t="str">
        <x:v>Body copy</x:v>
      </x:c>
      <x:c r="H452" s="71" t="str">
        <x:v>{tripId}:{routeKey}:{startDate}:{endDate}:{effectiveIntent.hardConstraints.fixedCommitments.length}:{effectiveIntent.hardConstraints.avoidDriving}</x:v>
      </x:c>
      <x:c r="I452" s="71" t="str">
        <x:v>{tripId}:{routeKey}:{startDate}:{endDate}:{effectiveIntent.hardConstraints.fixedCommitments.length}:{effectiveIntent.hardConstraints.avoidDriving}</x:v>
      </x:c>
      <x:c r="J452" s="73"/>
      <x:c r="K452" s="74" t="str">
        <x:f>IF(J452="",H452,IF(J452=I452,I452,J452))</x:f>
        <x:v>{tripId}:{routeKey}:{startDate}:{endDate}:{effectiveIntent.hardConstraints.fixedCommitments.length}:{effectiveIntent.hardConstraints.avoidDriving}</x:v>
      </x:c>
      <x:c r="L452" s="74" t="str">
        <x:f>IF(J452="","Keep current",IF(J452=I452,"Use suggestion","Custom"))</x:f>
        <x:v>Keep current</x:v>
      </x:c>
      <x:c r="M452" s="71" t="str">
        <x:v>Pending review</x:v>
      </x:c>
      <x:c r="N452" s="71" t="str">
        <x:v>Normal</x:v>
      </x:c>
      <x:c r="O452" s="71" t="str">
        <x:v>app/journey/new/trip-builder.tsx</x:v>
      </x:c>
      <x:c r="P452" s="71" t="str">
        <x:v>routeAnalyticsKey:867</x:v>
      </x:c>
      <x:c r="Q452" s="71" t="str">
        <x:v>EN (default / shared)</x:v>
      </x:c>
      <x:c r="R452" s="71" t="str">
        <x:v>Already clear and direct; suggested wording intentionally keeps the current copy. Dynamic traveller or trip value is represented as a token; user-generated values are excluded.</x:v>
      </x:c>
      <x:c r="S452" s="75" t="str">
        <x:v>Not applied — review required</x:v>
      </x:c>
    </x:row>
    <x:row r="453">
      <x:c r="A453" s="71" t="str">
        <x:v>MRV-02A7127614</x:v>
      </x:c>
      <x:c r="B453" s="71" t="str">
        <x:v>Planning</x:v>
      </x:c>
      <x:c r="C453" s="71" t="str">
        <x:v>New trip builder</x:v>
      </x:c>
      <x:c r="D453" s="71" t="str">
        <x:v>/journey/new/trip-builder</x:v>
      </x:c>
      <x:c r="E453" s="71" t="str">
        <x:v>key</x:v>
      </x:c>
      <x:c r="F453" s="71" t="str">
        <x:v>Default</x:v>
      </x:c>
      <x:c r="G453" s="71" t="str">
        <x:v>Body copy</x:v>
      </x:c>
      <x:c r="H453" s="71" t="str">
        <x:v>morrovia:route-generated:{routeAnalyticsKey}</x:v>
      </x:c>
      <x:c r="I453" s="71" t="str">
        <x:v>morrovia:route-generated:{routeAnalyticsKey}</x:v>
      </x:c>
      <x:c r="J453" s="73"/>
      <x:c r="K453" s="74" t="str">
        <x:f>IF(J453="",H453,IF(J453=I453,I453,J453))</x:f>
        <x:v>morrovia:route-generated:{routeAnalyticsKey}</x:v>
      </x:c>
      <x:c r="L453" s="74" t="str">
        <x:f>IF(J453="","Keep current",IF(J453=I453,"Use suggestion","Custom"))</x:f>
        <x:v>Keep current</x:v>
      </x:c>
      <x:c r="M453" s="71" t="str">
        <x:v>Pending review</x:v>
      </x:c>
      <x:c r="N453" s="71" t="str">
        <x:v>Normal</x:v>
      </x:c>
      <x:c r="O453" s="71" t="str">
        <x:v>app/journey/new/trip-builder.tsx</x:v>
      </x:c>
      <x:c r="P453" s="71" t="str">
        <x:v>key:871</x:v>
      </x:c>
      <x:c r="Q453" s="71" t="str">
        <x:v>EN (default / shared)</x:v>
      </x:c>
      <x:c r="R453" s="71" t="str">
        <x:v>Already clear and direct; suggested wording intentionally keeps the current copy. Dynamic traveller or trip value is represented as a token; user-generated values are excluded.</x:v>
      </x:c>
      <x:c r="S453" s="75" t="str">
        <x:v>Not applied — review required</x:v>
      </x:c>
    </x:row>
    <x:row r="454">
      <x:c r="A454" s="71" t="str">
        <x:v>MRV-83279523FF</x:v>
      </x:c>
      <x:c r="B454" s="71" t="str">
        <x:v>Planning</x:v>
      </x:c>
      <x:c r="C454" s="71" t="str">
        <x:v>New trip builder</x:v>
      </x:c>
      <x:c r="D454" s="71" t="str">
        <x:v>/journey/new/trip-builder</x:v>
      </x:c>
      <x:c r="E454" s="71" t="str">
        <x:v>tripTimingNotice</x:v>
      </x:c>
      <x:c r="F454" s="71" t="str">
        <x:v>Default</x:v>
      </x:c>
      <x:c r="G454" s="71" t="str">
        <x:v>Body copy</x:v>
      </x:c>
      <x:c r="H454" s="71" t="str">
        <x:v>The fixed stays cannot be reconciled with the trip dates.</x:v>
      </x:c>
      <x:c r="I454" s="71" t="str">
        <x:v>The fixed stays cannot be reconciled with the trip dates.</x:v>
      </x:c>
      <x:c r="J454" s="73"/>
      <x:c r="K454" s="74" t="str">
        <x:f>IF(J454="",H454,IF(J454=I454,I454,J454))</x:f>
        <x:v>The fixed stays cannot be reconciled with the trip dates.</x:v>
      </x:c>
      <x:c r="L454" s="74" t="str">
        <x:f>IF(J454="","Keep current",IF(J454=I454,"Use suggestion","Custom"))</x:f>
        <x:v>Keep current</x:v>
      </x:c>
      <x:c r="M454" s="71" t="str">
        <x:v>Pending review</x:v>
      </x:c>
      <x:c r="N454" s="71" t="str">
        <x:v>Normal</x:v>
      </x:c>
      <x:c r="O454" s="71" t="str">
        <x:v>app/journey/new/trip-builder.tsx</x:v>
      </x:c>
      <x:c r="P454" s="71" t="str">
        <x:v>tripTimingNotice:970</x:v>
      </x:c>
      <x:c r="Q454" s="71" t="str">
        <x:v>EN (default / shared)</x:v>
      </x:c>
      <x:c r="R454" s="71" t="str">
        <x:v>Already clear and direct; suggested wording intentionally keeps the current copy. Terminology watch: ‘trip’ and ‘journey’ both describe the same plan. Terminology watch: ‘stops’, ‘destinations’ and ‘places’ overlap.</x:v>
      </x:c>
      <x:c r="S454" s="75" t="str">
        <x:v>Not applied — review required</x:v>
      </x:c>
    </x:row>
    <x:row r="455">
      <x:c r="A455" s="71" t="str">
        <x:v>MRV-3D64239A47</x:v>
      </x:c>
      <x:c r="B455" s="71" t="str">
        <x:v>Planning</x:v>
      </x:c>
      <x:c r="C455" s="71" t="str">
        <x:v>New trip builder</x:v>
      </x:c>
      <x:c r="D455" s="71" t="str">
        <x:v>/journey/new/trip-builder</x:v>
      </x:c>
      <x:c r="E455" s="71" t="str">
        <x:v>tripTimingNotice</x:v>
      </x:c>
      <x:c r="F455" s="71" t="str">
        <x:v>Default</x:v>
      </x:c>
      <x:c r="G455" s="71" t="str">
        <x:v>Body copy</x:v>
      </x:c>
      <x:c r="H455" s="71" t="str">
        <x:v>Some destination minimums cannot fit inside the available nights.</x:v>
      </x:c>
      <x:c r="I455" s="71" t="str">
        <x:v>Some destination minimums cannot fit inside the available nights.</x:v>
      </x:c>
      <x:c r="J455" s="73"/>
      <x:c r="K455" s="74" t="str">
        <x:f>IF(J455="",H455,IF(J455=I455,I455,J455))</x:f>
        <x:v>Some destination minimums cannot fit inside the available nights.</x:v>
      </x:c>
      <x:c r="L455" s="74" t="str">
        <x:f>IF(J455="","Keep current",IF(J455=I455,"Use suggestion","Custom"))</x:f>
        <x:v>Keep current</x:v>
      </x:c>
      <x:c r="M455" s="71" t="str">
        <x:v>Pending review</x:v>
      </x:c>
      <x:c r="N455" s="71" t="str">
        <x:v>Normal</x:v>
      </x:c>
      <x:c r="O455" s="71" t="str">
        <x:v>app/journey/new/trip-builder.tsx</x:v>
      </x:c>
      <x:c r="P455" s="71" t="str">
        <x:v>tripTimingNotice:972</x:v>
      </x:c>
      <x:c r="Q455" s="71" t="str">
        <x:v>EN (default / shared)</x:v>
      </x:c>
      <x:c r="R455" s="71" t="str">
        <x:v>Already clear and direct; suggested wording intentionally keeps the current copy. Terminology watch: ‘trip’ and ‘journey’ both describe the same plan. Terminology watch: ‘stops’, ‘destinations’ and ‘places’ overlap.</x:v>
      </x:c>
      <x:c r="S455" s="75" t="str">
        <x:v>Not applied — review required</x:v>
      </x:c>
    </x:row>
    <x:row r="456">
      <x:c r="A456" s="71" t="str">
        <x:v>MRV-8604161302</x:v>
      </x:c>
      <x:c r="B456" s="71" t="str">
        <x:v>Planning</x:v>
      </x:c>
      <x:c r="C456" s="71" t="str">
        <x:v>New trip builder</x:v>
      </x:c>
      <x:c r="D456" s="71" t="str">
        <x:v>/journey/new/trip-builder</x:v>
      </x:c>
      <x:c r="E456" s="71" t="str">
        <x:v>tripTimingNotice</x:v>
      </x:c>
      <x:c r="F456" s="71" t="str">
        <x:v>Default</x:v>
      </x:c>
      <x:c r="G456" s="71" t="str">
        <x:v>Body copy</x:v>
      </x:c>
      <x:c r="H456" s="71" t="str">
        <x:v>Este viaje está comprimido: {routeIntelligence.comfortableDays} días serían un ritmo más cómodo.</x:v>
      </x:c>
      <x:c r="I456" s="71" t="str">
        <x:v>Este viaje está comprimido: {routeIntelligence.comfortableDays} días serían un ritmo más cómodo.</x:v>
      </x:c>
      <x:c r="J456" s="73"/>
      <x:c r="K456" s="74" t="str">
        <x:f>IF(J456="",H456,IF(J456=I456,I456,J456))</x:f>
        <x:v>Este viaje está comprimido: {routeIntelligence.comfortableDays} días serían un ritmo más cómodo.</x:v>
      </x:c>
      <x:c r="L456" s="74" t="str">
        <x:f>IF(J456="","Keep current",IF(J456=I456,"Use suggestion","Custom"))</x:f>
        <x:v>Keep current</x:v>
      </x:c>
      <x:c r="M456" s="71" t="str">
        <x:v>Pending review</x:v>
      </x:c>
      <x:c r="N456" s="71" t="str">
        <x:v>Normal</x:v>
      </x:c>
      <x:c r="O456" s="71" t="str">
        <x:v>app/journey/new/trip-builder.tsx</x:v>
      </x:c>
      <x:c r="P456" s="71" t="str">
        <x:v>tripTimingNotice:974</x:v>
      </x:c>
      <x:c r="Q456" s="71" t="str">
        <x:v>ES</x:v>
      </x:c>
      <x:c r="R456" s="71" t="str">
        <x:v>Already clear and direct; suggested wording intentionally keeps the current copy. Dynamic traveller or trip value is represented as a token; user-generated values are excluded.</x:v>
      </x:c>
      <x:c r="S456" s="75" t="str">
        <x:v>Not applied — review required</x:v>
      </x:c>
    </x:row>
    <x:row r="457">
      <x:c r="A457" s="71" t="str">
        <x:v>MRV-99E0ABEA94</x:v>
      </x:c>
      <x:c r="B457" s="71" t="str">
        <x:v>Planning</x:v>
      </x:c>
      <x:c r="C457" s="71" t="str">
        <x:v>New trip builder</x:v>
      </x:c>
      <x:c r="D457" s="71" t="str">
        <x:v>/journey/new/trip-builder</x:v>
      </x:c>
      <x:c r="E457" s="71" t="str">
        <x:v>tripTimingNotice</x:v>
      </x:c>
      <x:c r="F457" s="71" t="str">
        <x:v>Default</x:v>
      </x:c>
      <x:c r="G457" s="71" t="str">
        <x:v>Body copy</x:v>
      </x:c>
      <x:c r="H457" s="71" t="str">
        <x:v>This trip is compressed: {routeIntelligence.comfortableDays} days would feel more comfortable.</x:v>
      </x:c>
      <x:c r="I457" s="71" t="str">
        <x:v>This trip is compressed: {routeIntelligence.comfortableDays} days would feel more comfortable.</x:v>
      </x:c>
      <x:c r="J457" s="73"/>
      <x:c r="K457" s="74" t="str">
        <x:f>IF(J457="",H457,IF(J457=I457,I457,J457))</x:f>
        <x:v>This trip is compressed: {routeIntelligence.comfortableDays} days would feel more comfortable.</x:v>
      </x:c>
      <x:c r="L457" s="74" t="str">
        <x:f>IF(J457="","Keep current",IF(J457=I457,"Use suggestion","Custom"))</x:f>
        <x:v>Keep current</x:v>
      </x:c>
      <x:c r="M457" s="71" t="str">
        <x:v>Pending review</x:v>
      </x:c>
      <x:c r="N457" s="71" t="str">
        <x:v>Normal</x:v>
      </x:c>
      <x:c r="O457" s="71" t="str">
        <x:v>app/journey/new/trip-builder.tsx</x:v>
      </x:c>
      <x:c r="P457" s="71" t="str">
        <x:v>tripTimingNotice:974</x:v>
      </x:c>
      <x:c r="Q457" s="71" t="str">
        <x:v>EN</x:v>
      </x:c>
      <x:c r="R457"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457" s="75" t="str">
        <x:v>Not applied — review required</x:v>
      </x:c>
    </x:row>
    <x:row r="458">
      <x:c r="A458" s="71" t="str">
        <x:v>MRV-C20A028A77</x:v>
      </x:c>
      <x:c r="B458" s="71" t="str">
        <x:v>Planning</x:v>
      </x:c>
      <x:c r="C458" s="71" t="str">
        <x:v>New trip builder</x:v>
      </x:c>
      <x:c r="D458" s="71" t="str">
        <x:v>/journey/new/trip-builder</x:v>
      </x:c>
      <x:c r="E458" s="71" t="str">
        <x:v>tripTimingNotice</x:v>
      </x:c>
      <x:c r="F458" s="71" t="str">
        <x:v>Default</x:v>
      </x:c>
      <x:c r="G458" s="71" t="str">
        <x:v>Body copy</x:v>
      </x:c>
      <x:c r="H458" s="71" t="str">
        <x:v>{longTransferCount} traslados largos ocupan una parte importante de este viaje.</x:v>
      </x:c>
      <x:c r="I458" s="71" t="str">
        <x:v>{longTransferCount} traslados largos ocupan una parte importante de este viaje.</x:v>
      </x:c>
      <x:c r="J458" s="73"/>
      <x:c r="K458" s="74" t="str">
        <x:f>IF(J458="",H458,IF(J458=I458,I458,J458))</x:f>
        <x:v>{longTransferCount} traslados largos ocupan una parte importante de este viaje.</x:v>
      </x:c>
      <x:c r="L458" s="74" t="str">
        <x:f>IF(J458="","Keep current",IF(J458=I458,"Use suggestion","Custom"))</x:f>
        <x:v>Keep current</x:v>
      </x:c>
      <x:c r="M458" s="71" t="str">
        <x:v>Pending review</x:v>
      </x:c>
      <x:c r="N458" s="71" t="str">
        <x:v>Normal</x:v>
      </x:c>
      <x:c r="O458" s="71" t="str">
        <x:v>app/journey/new/trip-builder.tsx</x:v>
      </x:c>
      <x:c r="P458" s="71" t="str">
        <x:v>tripTimingNotice:976</x:v>
      </x:c>
      <x:c r="Q458" s="71" t="str">
        <x:v>ES</x:v>
      </x:c>
      <x:c r="R458" s="71" t="str">
        <x:v>Already clear and direct; suggested wording intentionally keeps the current copy. Dynamic traveller or trip value is represented as a token; user-generated values are excluded.</x:v>
      </x:c>
      <x:c r="S458" s="75" t="str">
        <x:v>Not applied — review required</x:v>
      </x:c>
    </x:row>
    <x:row r="459">
      <x:c r="A459" s="71" t="str">
        <x:v>MRV-BA2676E8E1</x:v>
      </x:c>
      <x:c r="B459" s="71" t="str">
        <x:v>Planning</x:v>
      </x:c>
      <x:c r="C459" s="71" t="str">
        <x:v>New trip builder</x:v>
      </x:c>
      <x:c r="D459" s="71" t="str">
        <x:v>/journey/new/trip-builder</x:v>
      </x:c>
      <x:c r="E459" s="71" t="str">
        <x:v>tripTimingNotice</x:v>
      </x:c>
      <x:c r="F459" s="71" t="str">
        <x:v>Default</x:v>
      </x:c>
      <x:c r="G459" s="71" t="str">
        <x:v>Body copy</x:v>
      </x:c>
      <x:c r="H459" s="71" t="str">
        <x:v>{longTransferCount} long transfers take a meaningful amount of time from this trip.</x:v>
      </x:c>
      <x:c r="I459" s="71" t="str">
        <x:v>{longTransferCount} long transfers take a meaningful amount of time from this trip.</x:v>
      </x:c>
      <x:c r="J459" s="73"/>
      <x:c r="K459" s="74" t="str">
        <x:f>IF(J459="",H459,IF(J459=I459,I459,J459))</x:f>
        <x:v>{longTransferCount} long transfers take a meaningful amount of time from this trip.</x:v>
      </x:c>
      <x:c r="L459" s="74" t="str">
        <x:f>IF(J459="","Keep current",IF(J459=I459,"Use suggestion","Custom"))</x:f>
        <x:v>Keep current</x:v>
      </x:c>
      <x:c r="M459" s="71" t="str">
        <x:v>Pending review</x:v>
      </x:c>
      <x:c r="N459" s="71" t="str">
        <x:v>Normal</x:v>
      </x:c>
      <x:c r="O459" s="71" t="str">
        <x:v>app/journey/new/trip-builder.tsx</x:v>
      </x:c>
      <x:c r="P459" s="71" t="str">
        <x:v>tripTimingNotice:976</x:v>
      </x:c>
      <x:c r="Q459" s="71" t="str">
        <x:v>EN</x:v>
      </x:c>
      <x:c r="R45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459" s="75" t="str">
        <x:v>Not applied — review required</x:v>
      </x:c>
    </x:row>
    <x:row r="460">
      <x:c r="A460" s="71" t="str">
        <x:v>MRV-B59BF8062B</x:v>
      </x:c>
      <x:c r="B460" s="71" t="str">
        <x:v>Planning</x:v>
      </x:c>
      <x:c r="C460" s="71" t="str">
        <x:v>New trip builder</x:v>
      </x:c>
      <x:c r="D460" s="71" t="str">
        <x:v>/journey/new/trip-builder</x:v>
      </x:c>
      <x:c r="E460" s="71" t="str">
        <x:v>nextEnd</x:v>
      </x:c>
      <x:c r="F460" s="71" t="str">
        <x:v>Default</x:v>
      </x:c>
      <x:c r="G460" s="71" t="str">
        <x:v>Label</x:v>
      </x:c>
      <x:c r="H460" s="71" t="str">
        <x:v>{startDate}T00:00:00</x:v>
      </x:c>
      <x:c r="I460" s="71" t="str">
        <x:v>{startDate}T00:00:00</x:v>
      </x:c>
      <x:c r="J460" s="73"/>
      <x:c r="K460" s="74" t="str">
        <x:f>IF(J460="",H460,IF(J460=I460,I460,J460))</x:f>
        <x:v>{startDate}T00:00:00</x:v>
      </x:c>
      <x:c r="L460" s="74" t="str">
        <x:f>IF(J460="","Keep current",IF(J460=I460,"Use suggestion","Custom"))</x:f>
        <x:v>Keep current</x:v>
      </x:c>
      <x:c r="M460" s="71" t="str">
        <x:v>Pending review</x:v>
      </x:c>
      <x:c r="N460" s="71" t="str">
        <x:v>Normal</x:v>
      </x:c>
      <x:c r="O460" s="71" t="str">
        <x:v>app/journey/new/trip-builder.tsx</x:v>
      </x:c>
      <x:c r="P460" s="71" t="str">
        <x:v>nextEnd:1078</x:v>
      </x:c>
      <x:c r="Q460" s="71" t="str">
        <x:v>EN (default / shared)</x:v>
      </x:c>
      <x:c r="R460" s="71" t="str">
        <x:v>Already clear and direct; suggested wording intentionally keeps the current copy. Duplicate wording: appears 5 times. Dynamic traveller or trip value is represented as a token; user-generated values are excluded.</x:v>
      </x:c>
      <x:c r="S460" s="75" t="str">
        <x:v>Not applied — review required</x:v>
      </x:c>
    </x:row>
    <x:row r="461">
      <x:c r="A461" s="71" t="str">
        <x:v>MRV-60426B0E38</x:v>
      </x:c>
      <x:c r="B461" s="71" t="str">
        <x:v>Planning</x:v>
      </x:c>
      <x:c r="C461" s="71" t="str">
        <x:v>New trip builder</x:v>
      </x:c>
      <x:c r="D461" s="71" t="str">
        <x:v>/journey/new/trip-builder</x:v>
      </x:c>
      <x:c r="E461" s="71" t="str">
        <x:v>addStop</x:v>
      </x:c>
      <x:c r="F461" s="71" t="str">
        <x:v>Failure / recovery</x:v>
      </x:c>
      <x:c r="G461" s="71" t="str">
        <x:v>Body copy</x:v>
      </x:c>
      <x:c r="H461" s="71" t="str">
        <x:v>{value} is already in your route.</x:v>
      </x:c>
      <x:c r="I461" s="71" t="str">
        <x:v>{value} is already in your route.</x:v>
      </x:c>
      <x:c r="J461" s="73"/>
      <x:c r="K461" s="74" t="str">
        <x:f>IF(J461="",H461,IF(J461=I461,I461,J461))</x:f>
        <x:v>{value} is already in your route.</x:v>
      </x:c>
      <x:c r="L461" s="74" t="str">
        <x:f>IF(J461="","Keep current",IF(J461=I461,"Use suggestion","Custom"))</x:f>
        <x:v>Keep current</x:v>
      </x:c>
      <x:c r="M461" s="71" t="str">
        <x:v>Pending review</x:v>
      </x:c>
      <x:c r="N461" s="71" t="str">
        <x:v>High</x:v>
      </x:c>
      <x:c r="O461" s="71" t="str">
        <x:v>app/journey/new/trip-builder.tsx</x:v>
      </x:c>
      <x:c r="P461" s="71" t="str">
        <x:v>addStop:1104</x:v>
      </x:c>
      <x:c r="Q461" s="71" t="str">
        <x:v>EN (default / shared)</x:v>
      </x:c>
      <x:c r="R461" s="71" t="str">
        <x:v>Already clear and direct; suggested wording intentionally keeps the current copy. Dynamic traveller or trip value is represented as a token; user-generated values are excluded.</x:v>
      </x:c>
      <x:c r="S461" s="75" t="str">
        <x:v>Not applied — review required</x:v>
      </x:c>
    </x:row>
    <x:row r="462">
      <x:c r="A462" s="71" t="str">
        <x:v>MRV-989C94458A</x:v>
      </x:c>
      <x:c r="B462" s="71" t="str">
        <x:v>Planning</x:v>
      </x:c>
      <x:c r="C462" s="71" t="str">
        <x:v>New trip builder</x:v>
      </x:c>
      <x:c r="D462" s="71" t="str">
        <x:v>/journey/new/trip-builder</x:v>
      </x:c>
      <x:c r="E462" s="71" t="str">
        <x:v>response</x:v>
      </x:c>
      <x:c r="F462" s="71" t="str">
        <x:v>Default</x:v>
      </x:c>
      <x:c r="G462" s="71" t="str">
        <x:v>Body copy</x:v>
      </x:c>
      <x:c r="H462" s="71" t="str">
        <x:v>&amp;country={encodeURIComponent(routeCountry)}</x:v>
      </x:c>
      <x:c r="I462" s="71" t="str">
        <x:v>&amp;country={encodeURIComponent(routeCountry)}</x:v>
      </x:c>
      <x:c r="J462" s="73"/>
      <x:c r="K462" s="74" t="str">
        <x:f>IF(J462="",H462,IF(J462=I462,I462,J462))</x:f>
        <x:v>&amp;country={encodeURIComponent(routeCountry)}</x:v>
      </x:c>
      <x:c r="L462" s="74" t="str">
        <x:f>IF(J462="","Keep current",IF(J462=I462,"Use suggestion","Custom"))</x:f>
        <x:v>Keep current</x:v>
      </x:c>
      <x:c r="M462" s="71" t="str">
        <x:v>Pending review</x:v>
      </x:c>
      <x:c r="N462" s="71" t="str">
        <x:v>Normal</x:v>
      </x:c>
      <x:c r="O462" s="71" t="str">
        <x:v>app/journey/new/trip-builder.tsx</x:v>
      </x:c>
      <x:c r="P462" s="71" t="str">
        <x:v>response:1113</x:v>
      </x:c>
      <x:c r="Q462" s="71" t="str">
        <x:v>EN (default / shared)</x:v>
      </x:c>
      <x:c r="R462" s="71" t="str">
        <x:v>Already clear and direct; suggested wording intentionally keeps the current copy. Dynamic traveller or trip value is represented as a token; user-generated values are excluded.</x:v>
      </x:c>
      <x:c r="S462" s="75" t="str">
        <x:v>Not applied — review required</x:v>
      </x:c>
    </x:row>
    <x:row r="463">
      <x:c r="A463" s="71" t="str">
        <x:v>MRV-99D512894D</x:v>
      </x:c>
      <x:c r="B463" s="71" t="str">
        <x:v>Planning</x:v>
      </x:c>
      <x:c r="C463" s="71" t="str">
        <x:v>New trip builder</x:v>
      </x:c>
      <x:c r="D463" s="71" t="str">
        <x:v>/journey/new/trip-builder</x:v>
      </x:c>
      <x:c r="E463" s="71" t="str">
        <x:v>response</x:v>
      </x:c>
      <x:c r="F463" s="71" t="str">
        <x:v>Default</x:v>
      </x:c>
      <x:c r="G463" s="71" t="str">
        <x:v>Body copy</x:v>
      </x:c>
      <x:c r="H463" s="71" t="str">
        <x:v>&amp;nearLat={nearby[1]}&amp;nearLon={nearby[0]}</x:v>
      </x:c>
      <x:c r="I463" s="71" t="str">
        <x:v>&amp;nearLat={nearby[1]}&amp;nearLon={nearby[0]}</x:v>
      </x:c>
      <x:c r="J463" s="73"/>
      <x:c r="K463" s="74" t="str">
        <x:f>IF(J463="",H463,IF(J463=I463,I463,J463))</x:f>
        <x:v>&amp;nearLat={nearby[1]}&amp;nearLon={nearby[0]}</x:v>
      </x:c>
      <x:c r="L463" s="74" t="str">
        <x:f>IF(J463="","Keep current",IF(J463=I463,"Use suggestion","Custom"))</x:f>
        <x:v>Keep current</x:v>
      </x:c>
      <x:c r="M463" s="71" t="str">
        <x:v>Pending review</x:v>
      </x:c>
      <x:c r="N463" s="71" t="str">
        <x:v>Normal</x:v>
      </x:c>
      <x:c r="O463" s="71" t="str">
        <x:v>app/journey/new/trip-builder.tsx</x:v>
      </x:c>
      <x:c r="P463" s="71" t="str">
        <x:v>response:1113</x:v>
      </x:c>
      <x:c r="Q463" s="71" t="str">
        <x:v>EN (default / shared)</x:v>
      </x:c>
      <x:c r="R463" s="71" t="str">
        <x:v>Already clear and direct; suggested wording intentionally keeps the current copy. Dynamic traveller or trip value is represented as a token; user-generated values are excluded.</x:v>
      </x:c>
      <x:c r="S463" s="75" t="str">
        <x:v>Not applied — review required</x:v>
      </x:c>
    </x:row>
    <x:row r="464">
      <x:c r="A464" s="71" t="str">
        <x:v>MRV-B53CCC6DB4</x:v>
      </x:c>
      <x:c r="B464" s="71" t="str">
        <x:v>Planning</x:v>
      </x:c>
      <x:c r="C464" s="71" t="str">
        <x:v>New trip builder</x:v>
      </x:c>
      <x:c r="D464" s="71" t="str">
        <x:v>/journey/new/trip-builder</x:v>
      </x:c>
      <x:c r="E464" s="71" t="str">
        <x:v>addStop</x:v>
      </x:c>
      <x:c r="F464" s="71" t="str">
        <x:v>Failure / recovery</x:v>
      </x:c>
      <x:c r="G464" s="71" t="str">
        <x:v>Body copy</x:v>
      </x:c>
      <x:c r="H464" s="71" t="str">
        <x:v>No pudimos verificar “{value}”. Prueba una ciudad, región o lugar con su país.</x:v>
      </x:c>
      <x:c r="I464" s="71" t="str">
        <x:v>No pudimos verificar “{value}”. Prueba una ciudad, región o lugar con su país.</x:v>
      </x:c>
      <x:c r="J464" s="73"/>
      <x:c r="K464" s="74" t="str">
        <x:f>IF(J464="",H464,IF(J464=I464,I464,J464))</x:f>
        <x:v>No pudimos verificar “{value}”. Prueba una ciudad, región o lugar con su país.</x:v>
      </x:c>
      <x:c r="L464" s="74" t="str">
        <x:f>IF(J464="","Keep current",IF(J464=I464,"Use suggestion","Custom"))</x:f>
        <x:v>Keep current</x:v>
      </x:c>
      <x:c r="M464" s="71" t="str">
        <x:v>Pending review</x:v>
      </x:c>
      <x:c r="N464" s="71" t="str">
        <x:v>High</x:v>
      </x:c>
      <x:c r="O464" s="71" t="str">
        <x:v>app/journey/new/trip-builder.tsx</x:v>
      </x:c>
      <x:c r="P464" s="71" t="str">
        <x:v>addStop:1116</x:v>
      </x:c>
      <x:c r="Q464" s="71" t="str">
        <x:v>ES</x:v>
      </x:c>
      <x:c r="R464" s="71" t="str">
        <x:v>Already clear and direct; suggested wording intentionally keeps the current copy. Dynamic traveller or trip value is represented as a token; user-generated values are excluded.</x:v>
      </x:c>
      <x:c r="S464" s="75" t="str">
        <x:v>Not applied — review required</x:v>
      </x:c>
    </x:row>
    <x:row r="465">
      <x:c r="A465" s="71" t="str">
        <x:v>MRV-10F9DB2595</x:v>
      </x:c>
      <x:c r="B465" s="71" t="str">
        <x:v>Planning</x:v>
      </x:c>
      <x:c r="C465" s="71" t="str">
        <x:v>New trip builder</x:v>
      </x:c>
      <x:c r="D465" s="71" t="str">
        <x:v>/journey/new/trip-builder</x:v>
      </x:c>
      <x:c r="E465" s="71" t="str">
        <x:v>addStop</x:v>
      </x:c>
      <x:c r="F465" s="71" t="str">
        <x:v>Failure / recovery</x:v>
      </x:c>
      <x:c r="G465" s="71" t="str">
        <x:v>Body copy</x:v>
      </x:c>
      <x:c r="H465" s="71" t="str">
        <x:v>We couldn't verify “{value}”. Try a city, region or landmark with its country.</x:v>
      </x:c>
      <x:c r="I465" s="71" t="str">
        <x:v>We couldn't verify “{value}”. Try a city, region or landmark with its country.</x:v>
      </x:c>
      <x:c r="J465" s="73"/>
      <x:c r="K465" s="74" t="str">
        <x:f>IF(J465="",H465,IF(J465=I465,I465,J465))</x:f>
        <x:v>We couldn't verify “{value}”. Try a city, region or landmark with its country.</x:v>
      </x:c>
      <x:c r="L465" s="74" t="str">
        <x:f>IF(J465="","Keep current",IF(J465=I465,"Use suggestion","Custom"))</x:f>
        <x:v>Keep current</x:v>
      </x:c>
      <x:c r="M465" s="71" t="str">
        <x:v>Pending review</x:v>
      </x:c>
      <x:c r="N465" s="71" t="str">
        <x:v>High</x:v>
      </x:c>
      <x:c r="O465" s="71" t="str">
        <x:v>app/journey/new/trip-builder.tsx</x:v>
      </x:c>
      <x:c r="P465" s="71" t="str">
        <x:v>addStop:1116</x:v>
      </x:c>
      <x:c r="Q465" s="71" t="str">
        <x:v>EN</x:v>
      </x:c>
      <x:c r="R465" s="71" t="str">
        <x:v>Already clear and direct; suggested wording intentionally keeps the current copy. Dynamic traveller or trip value is represented as a token; user-generated values are excluded.</x:v>
      </x:c>
      <x:c r="S465" s="75" t="str">
        <x:v>Not applied — review required</x:v>
      </x:c>
    </x:row>
    <x:row r="466">
      <x:c r="A466" s="71" t="str">
        <x:v>MRV-D894BF5699</x:v>
      </x:c>
      <x:c r="B466" s="71" t="str">
        <x:v>Planning</x:v>
      </x:c>
      <x:c r="C466" s="71" t="str">
        <x:v>New trip builder</x:v>
      </x:c>
      <x:c r="D466" s="71" t="str">
        <x:v>/journey/new/trip-builder</x:v>
      </x:c>
      <x:c r="E466" s="71" t="str">
        <x:v>id</x:v>
      </x:c>
      <x:c r="F466" s="71" t="str">
        <x:v>Default</x:v>
      </x:c>
      <x:c r="G466" s="71" t="str">
        <x:v>Body copy</x:v>
      </x:c>
      <x:c r="H466" s="71" t="str">
        <x:v>{resolvedName.toLowerCase().replace(/[^a-z0-9]+/g, "-")}-{Date.now()}</x:v>
      </x:c>
      <x:c r="I466" s="71" t="str">
        <x:v>{resolvedName.toLowerCase().replace(/[^a-z0-9]+/g, "-")}-{Date.now()}</x:v>
      </x:c>
      <x:c r="J466" s="73"/>
      <x:c r="K466" s="74" t="str">
        <x:f>IF(J466="",H466,IF(J466=I466,I466,J466))</x:f>
        <x:v>{resolvedName.toLowerCase().replace(/[^a-z0-9]+/g, "-")}-{Date.now()}</x:v>
      </x:c>
      <x:c r="L466" s="74" t="str">
        <x:f>IF(J466="","Keep current",IF(J466=I466,"Use suggestion","Custom"))</x:f>
        <x:v>Keep current</x:v>
      </x:c>
      <x:c r="M466" s="71" t="str">
        <x:v>Pending review</x:v>
      </x:c>
      <x:c r="N466" s="71" t="str">
        <x:v>Normal</x:v>
      </x:c>
      <x:c r="O466" s="71" t="str">
        <x:v>app/journey/new/trip-builder.tsx</x:v>
      </x:c>
      <x:c r="P466" s="71" t="str">
        <x:v>id:1119</x:v>
      </x:c>
      <x:c r="Q466" s="71" t="str">
        <x:v>EN (default / shared)</x:v>
      </x:c>
      <x:c r="R466" s="71" t="str">
        <x:v>Already clear and direct; suggested wording intentionally keeps the current copy. Dynamic traveller or trip value is represented as a token; user-generated values are excluded.</x:v>
      </x:c>
      <x:c r="S466" s="75" t="str">
        <x:v>Not applied — review required</x:v>
      </x:c>
    </x:row>
    <x:row r="467">
      <x:c r="A467" s="71" t="str">
        <x:v>MRV-E18736D2F5</x:v>
      </x:c>
      <x:c r="B467" s="71" t="str">
        <x:v>Planning</x:v>
      </x:c>
      <x:c r="C467" s="71" t="str">
        <x:v>New trip builder</x:v>
      </x:c>
      <x:c r="D467" s="71" t="str">
        <x:v>/journey/new/trip-builder</x:v>
      </x:c>
      <x:c r="E467" s="71" t="str">
        <x:v>addStop</x:v>
      </x:c>
      <x:c r="F467" s="71" t="str">
        <x:v>Default</x:v>
      </x:c>
      <x:c r="G467" s="71" t="str">
        <x:v>Label</x:v>
      </x:c>
      <x:c r="H467" s="71" t="str">
        <x:v>Traveller builder selection</x:v>
      </x:c>
      <x:c r="I467" s="71" t="str">
        <x:v>Traveller builder selection</x:v>
      </x:c>
      <x:c r="J467" s="73"/>
      <x:c r="K467" s="74" t="str">
        <x:f>IF(J467="",H467,IF(J467=I467,I467,J467))</x:f>
        <x:v>Traveller builder selection</x:v>
      </x:c>
      <x:c r="L467" s="74" t="str">
        <x:f>IF(J467="","Keep current",IF(J467=I467,"Use suggestion","Custom"))</x:f>
        <x:v>Keep current</x:v>
      </x:c>
      <x:c r="M467" s="71" t="str">
        <x:v>Pending review</x:v>
      </x:c>
      <x:c r="N467" s="71" t="str">
        <x:v>Normal</x:v>
      </x:c>
      <x:c r="O467" s="71" t="str">
        <x:v>app/journey/new/trip-builder.tsx</x:v>
      </x:c>
      <x:c r="P467" s="71" t="str">
        <x:v>addStop:1133</x:v>
      </x:c>
      <x:c r="Q467" s="71" t="str">
        <x:v>EN (default / shared)</x:v>
      </x:c>
      <x:c r="R467" s="71" t="str">
        <x:v>Already clear and direct; suggested wording intentionally keeps the current copy. Duplicate wording: appears 2 times.</x:v>
      </x:c>
      <x:c r="S467" s="75" t="str">
        <x:v>Not applied — review required</x:v>
      </x:c>
    </x:row>
    <x:row r="468">
      <x:c r="A468" s="71" t="str">
        <x:v>MRV-7D21FE45C2</x:v>
      </x:c>
      <x:c r="B468" s="71" t="str">
        <x:v>Planning</x:v>
      </x:c>
      <x:c r="C468" s="71" t="str">
        <x:v>New trip builder</x:v>
      </x:c>
      <x:c r="D468" s="71" t="str">
        <x:v>/journey/new/trip-builder</x:v>
      </x:c>
      <x:c r="E468" s="71" t="str">
        <x:v>id</x:v>
      </x:c>
      <x:c r="F468" s="71" t="str">
        <x:v>Default</x:v>
      </x:c>
      <x:c r="G468" s="71" t="str">
        <x:v>Body copy</x:v>
      </x:c>
      <x:c r="H468" s="71" t="str">
        <x:v>{option.label.toLowerCase().replace(/[^a-z0-9]+/g, "-")}-{Date.now()}</x:v>
      </x:c>
      <x:c r="I468" s="71" t="str">
        <x:v>{option.label.toLowerCase().replace(/[^a-z0-9]+/g, "-")}-{Date.now()}</x:v>
      </x:c>
      <x:c r="J468" s="73"/>
      <x:c r="K468" s="74" t="str">
        <x:f>IF(J468="",H468,IF(J468=I468,I468,J468))</x:f>
        <x:v>{option.label.toLowerCase().replace(/[^a-z0-9]+/g, "-")}-{Date.now()}</x:v>
      </x:c>
      <x:c r="L468" s="74" t="str">
        <x:f>IF(J468="","Keep current",IF(J468=I468,"Use suggestion","Custom"))</x:f>
        <x:v>Keep current</x:v>
      </x:c>
      <x:c r="M468" s="71" t="str">
        <x:v>Pending review</x:v>
      </x:c>
      <x:c r="N468" s="71" t="str">
        <x:v>Normal</x:v>
      </x:c>
      <x:c r="O468" s="71" t="str">
        <x:v>app/journey/new/trip-builder.tsx</x:v>
      </x:c>
      <x:c r="P468" s="71" t="str">
        <x:v>id:1162</x:v>
      </x:c>
      <x:c r="Q468" s="71" t="str">
        <x:v>EN (default / shared)</x:v>
      </x:c>
      <x:c r="R468" s="71" t="str">
        <x:v>Already clear and direct; suggested wording intentionally keeps the current copy. Dynamic traveller or trip value is represented as a token; user-generated values are excluded.</x:v>
      </x:c>
      <x:c r="S468" s="75" t="str">
        <x:v>Not applied — review required</x:v>
      </x:c>
    </x:row>
    <x:row r="469">
      <x:c r="A469" s="71" t="str">
        <x:v>MRV-2503F5D168</x:v>
      </x:c>
      <x:c r="B469" s="71" t="str">
        <x:v>Planning</x:v>
      </x:c>
      <x:c r="C469" s="71" t="str">
        <x:v>New trip builder</x:v>
      </x:c>
      <x:c r="D469" s="71" t="str">
        <x:v>/journey/new/trip-builder</x:v>
      </x:c>
      <x:c r="E469" s="71" t="str">
        <x:v>addSupportedBase</x:v>
      </x:c>
      <x:c r="F469" s="71" t="str">
        <x:v>Default</x:v>
      </x:c>
      <x:c r="G469" s="71" t="str">
        <x:v>Label</x:v>
      </x:c>
      <x:c r="H469" s="71" t="str">
        <x:v>Traveller builder selection</x:v>
      </x:c>
      <x:c r="I469" s="71" t="str">
        <x:v>Traveller builder selection</x:v>
      </x:c>
      <x:c r="J469" s="73"/>
      <x:c r="K469" s="74" t="str">
        <x:f>IF(J469="",H469,IF(J469=I469,I469,J469))</x:f>
        <x:v>Traveller builder selection</x:v>
      </x:c>
      <x:c r="L469" s="74" t="str">
        <x:f>IF(J469="","Keep current",IF(J469=I469,"Use suggestion","Custom"))</x:f>
        <x:v>Keep current</x:v>
      </x:c>
      <x:c r="M469" s="71" t="str">
        <x:v>Pending review</x:v>
      </x:c>
      <x:c r="N469" s="71" t="str">
        <x:v>Normal</x:v>
      </x:c>
      <x:c r="O469" s="71" t="str">
        <x:v>app/journey/new/trip-builder.tsx</x:v>
      </x:c>
      <x:c r="P469" s="71" t="str">
        <x:v>addSupportedBase:1187</x:v>
      </x:c>
      <x:c r="Q469" s="71" t="str">
        <x:v>EN (default / shared)</x:v>
      </x:c>
      <x:c r="R469" s="71" t="str">
        <x:v>Already clear and direct; suggested wording intentionally keeps the current copy. Duplicate wording: appears 2 times.</x:v>
      </x:c>
      <x:c r="S469" s="75" t="str">
        <x:v>Not applied — review required</x:v>
      </x:c>
    </x:row>
    <x:row r="470">
      <x:c r="A470" s="71" t="str">
        <x:v>MRV-EDD49C7904</x:v>
      </x:c>
      <x:c r="B470" s="71" t="str">
        <x:v>Planning</x:v>
      </x:c>
      <x:c r="C470" s="71" t="str">
        <x:v>New trip builder</x:v>
      </x:c>
      <x:c r="D470" s="71" t="str">
        <x:v>/journey/new/trip-builder</x:v>
      </x:c>
      <x:c r="E470" s="71" t="str">
        <x:v>choosePlaceIdentity</x:v>
      </x:c>
      <x:c r="F470" s="71" t="str">
        <x:v>Default</x:v>
      </x:c>
      <x:c r="G470" s="71" t="str">
        <x:v>Body copy</x:v>
      </x:c>
      <x:c r="H470" s="71" t="str">
        <x:v>Traveller ambiguity selection</x:v>
      </x:c>
      <x:c r="I470" s="71" t="str">
        <x:v>Traveller ambiguity selection</x:v>
      </x:c>
      <x:c r="J470" s="73"/>
      <x:c r="K470" s="74" t="str">
        <x:f>IF(J470="",H470,IF(J470=I470,I470,J470))</x:f>
        <x:v>Traveller ambiguity selection</x:v>
      </x:c>
      <x:c r="L470" s="74" t="str">
        <x:f>IF(J470="","Keep current",IF(J470=I470,"Use suggestion","Custom"))</x:f>
        <x:v>Keep current</x:v>
      </x:c>
      <x:c r="M470" s="71" t="str">
        <x:v>Pending review</x:v>
      </x:c>
      <x:c r="N470" s="71" t="str">
        <x:v>Normal</x:v>
      </x:c>
      <x:c r="O470" s="71" t="str">
        <x:v>app/journey/new/trip-builder.tsx</x:v>
      </x:c>
      <x:c r="P470" s="71" t="str">
        <x:v>choosePlaceIdentity:1218</x:v>
      </x:c>
      <x:c r="Q470" s="71" t="str">
        <x:v>EN (default / shared)</x:v>
      </x:c>
      <x:c r="R470" s="71" t="str">
        <x:v>Already clear and direct; suggested wording intentionally keeps the current copy.</x:v>
      </x:c>
      <x:c r="S470" s="75" t="str">
        <x:v>Not applied — review required</x:v>
      </x:c>
    </x:row>
    <x:row r="471">
      <x:c r="A471" s="71" t="str">
        <x:v>MRV-36B6015A0F</x:v>
      </x:c>
      <x:c r="B471" s="71" t="str">
        <x:v>Planning</x:v>
      </x:c>
      <x:c r="C471" s="71" t="str">
        <x:v>New trip builder</x:v>
      </x:c>
      <x:c r="D471" s="71" t="str">
        <x:v>/journey/new/trip-builder</x:v>
      </x:c>
      <x:c r="E471" s="71" t="str">
        <x:v>date</x:v>
      </x:c>
      <x:c r="F471" s="71" t="str">
        <x:v>Default</x:v>
      </x:c>
      <x:c r="G471" s="71" t="str">
        <x:v>Label</x:v>
      </x:c>
      <x:c r="H471" s="71" t="str">
        <x:v>{startDate}T00:00:00</x:v>
      </x:c>
      <x:c r="I471" s="71" t="str">
        <x:v>{startDate}T00:00:00</x:v>
      </x:c>
      <x:c r="J471" s="73"/>
      <x:c r="K471" s="74" t="str">
        <x:f>IF(J471="",H471,IF(J471=I471,I471,J471))</x:f>
        <x:v>{startDate}T00:00:00</x:v>
      </x:c>
      <x:c r="L471" s="74" t="str">
        <x:f>IF(J471="","Keep current",IF(J471=I471,"Use suggestion","Custom"))</x:f>
        <x:v>Keep current</x:v>
      </x:c>
      <x:c r="M471" s="71" t="str">
        <x:v>Pending review</x:v>
      </x:c>
      <x:c r="N471" s="71" t="str">
        <x:v>Normal</x:v>
      </x:c>
      <x:c r="O471" s="71" t="str">
        <x:v>app/journey/new/trip-builder.tsx</x:v>
      </x:c>
      <x:c r="P471" s="71" t="str">
        <x:v>date:1272</x:v>
      </x:c>
      <x:c r="Q471" s="71" t="str">
        <x:v>EN (default / shared)</x:v>
      </x:c>
      <x:c r="R471" s="71" t="str">
        <x:v>Already clear and direct; suggested wording intentionally keeps the current copy. Duplicate wording: appears 5 times. Dynamic traveller or trip value is represented as a token; user-generated values are excluded.</x:v>
      </x:c>
      <x:c r="S471" s="75" t="str">
        <x:v>Not applied — review required</x:v>
      </x:c>
    </x:row>
    <x:row r="472">
      <x:c r="A472" s="71" t="str">
        <x:v>MRV-53A08ADB08</x:v>
      </x:c>
      <x:c r="B472" s="71" t="str">
        <x:v>Planning</x:v>
      </x:c>
      <x:c r="C472" s="71" t="str">
        <x:v>New trip builder</x:v>
      </x:c>
      <x:c r="D472" s="71" t="str">
        <x:v>/journey/new/trip-builder</x:v>
      </x:c>
      <x:c r="E472" s="71" t="str">
        <x:v>key</x:v>
      </x:c>
      <x:c r="F472" s="71" t="str">
        <x:v>Default</x:v>
      </x:c>
      <x:c r="G472" s="71" t="str">
        <x:v>Body copy</x:v>
      </x:c>
      <x:c r="H472" s="71" t="str">
        <x:v>morrovia:route-accepted:{tripId}:{routeKey}</x:v>
      </x:c>
      <x:c r="I472" s="71" t="str">
        <x:v>morrovia:route-accepted:{tripId}:{routeKey}</x:v>
      </x:c>
      <x:c r="J472" s="73"/>
      <x:c r="K472" s="74" t="str">
        <x:f>IF(J472="",H472,IF(J472=I472,I472,J472))</x:f>
        <x:v>morrovia:route-accepted:{tripId}:{routeKey}</x:v>
      </x:c>
      <x:c r="L472" s="74" t="str">
        <x:f>IF(J472="","Keep current",IF(J472=I472,"Use suggestion","Custom"))</x:f>
        <x:v>Keep current</x:v>
      </x:c>
      <x:c r="M472" s="71" t="str">
        <x:v>Pending review</x:v>
      </x:c>
      <x:c r="N472" s="71" t="str">
        <x:v>Normal</x:v>
      </x:c>
      <x:c r="O472" s="71" t="str">
        <x:v>app/journey/new/trip-builder.tsx</x:v>
      </x:c>
      <x:c r="P472" s="71" t="str">
        <x:v>key:1308</x:v>
      </x:c>
      <x:c r="Q472" s="71" t="str">
        <x:v>EN (default / shared)</x:v>
      </x:c>
      <x:c r="R472" s="71" t="str">
        <x:v>Already clear and direct; suggested wording intentionally keeps the current copy. Dynamic traveller or trip value is represented as a token; user-generated values are excluded.</x:v>
      </x:c>
      <x:c r="S472" s="75" t="str">
        <x:v>Not applied — review required</x:v>
      </x:c>
    </x:row>
    <x:row r="473">
      <x:c r="A473" s="71" t="str">
        <x:v>MRV-941526A41F</x:v>
      </x:c>
      <x:c r="B473" s="71" t="str">
        <x:v>Planning</x:v>
      </x:c>
      <x:c r="C473" s="71" t="str">
        <x:v>New trip builder</x:v>
      </x:c>
      <x:c r="D473" s="71" t="str">
        <x:v>/journey/new/trip-builder</x:v>
      </x:c>
      <x:c r="E473" s="71" t="str">
        <x:v>preserveBeforeNewTrip</x:v>
      </x:c>
      <x:c r="F473" s="71" t="str">
        <x:v>Default</x:v>
      </x:c>
      <x:c r="G473" s="71" t="str">
        <x:v>Body copy</x:v>
      </x:c>
      <x:c r="H473" s="71" t="str">
        <x:v>Resuelve primero la copia de recuperación de este dispositivo antes de empezar otro viaje.</x:v>
      </x:c>
      <x:c r="I473" s="71" t="str">
        <x:v>Resuelve primero la copia de recuperación de este dispositivo antes de empezar otro viaje.</x:v>
      </x:c>
      <x:c r="J473" s="73"/>
      <x:c r="K473" s="74" t="str">
        <x:f>IF(J473="",H473,IF(J473=I473,I473,J473))</x:f>
        <x:v>Resuelve primero la copia de recuperación de este dispositivo antes de empezar otro viaje.</x:v>
      </x:c>
      <x:c r="L473" s="74" t="str">
        <x:f>IF(J473="","Keep current",IF(J473=I473,"Use suggestion","Custom"))</x:f>
        <x:v>Keep current</x:v>
      </x:c>
      <x:c r="M473" s="71" t="str">
        <x:v>Pending review</x:v>
      </x:c>
      <x:c r="N473" s="71" t="str">
        <x:v>Normal</x:v>
      </x:c>
      <x:c r="O473" s="71" t="str">
        <x:v>app/journey/new/trip-builder.tsx</x:v>
      </x:c>
      <x:c r="P473" s="71" t="str">
        <x:v>preserveBeforeNewTrip:1494</x:v>
      </x:c>
      <x:c r="Q473" s="71" t="str">
        <x:v>ES</x:v>
      </x:c>
      <x:c r="R473" s="71" t="str">
        <x:v>Already clear and direct; suggested wording intentionally keeps the current copy.</x:v>
      </x:c>
      <x:c r="S473" s="75" t="str">
        <x:v>Not applied — review required</x:v>
      </x:c>
    </x:row>
    <x:row r="474">
      <x:c r="A474" s="71" t="str">
        <x:v>MRV-5467407803</x:v>
      </x:c>
      <x:c r="B474" s="71" t="str">
        <x:v>Planning</x:v>
      </x:c>
      <x:c r="C474" s="71" t="str">
        <x:v>New trip builder</x:v>
      </x:c>
      <x:c r="D474" s="71" t="str">
        <x:v>/journey/new/trip-builder</x:v>
      </x:c>
      <x:c r="E474" s="71" t="str">
        <x:v>preserveBeforeNewTrip</x:v>
      </x:c>
      <x:c r="F474" s="71" t="str">
        <x:v>Default</x:v>
      </x:c>
      <x:c r="G474" s="71" t="str">
        <x:v>CTA / button</x:v>
      </x:c>
      <x:c r="H474" s="71" t="str">
        <x:v>Open or resolve this device's recovery copy before starting another trip.</x:v>
      </x:c>
      <x:c r="I474" s="71" t="str">
        <x:v>Open or resolve this device's recovery copy before starting another trip.</x:v>
      </x:c>
      <x:c r="J474" s="73"/>
      <x:c r="K474" s="74" t="str">
        <x:f>IF(J474="",H474,IF(J474=I474,I474,J474))</x:f>
        <x:v>Open or resolve this device's recovery copy before starting another trip.</x:v>
      </x:c>
      <x:c r="L474" s="74" t="str">
        <x:f>IF(J474="","Keep current",IF(J474=I474,"Use suggestion","Custom"))</x:f>
        <x:v>Keep current</x:v>
      </x:c>
      <x:c r="M474" s="71" t="str">
        <x:v>Pending review</x:v>
      </x:c>
      <x:c r="N474" s="71" t="str">
        <x:v>Medium</x:v>
      </x:c>
      <x:c r="O474" s="71" t="str">
        <x:v>app/journey/new/trip-builder.tsx</x:v>
      </x:c>
      <x:c r="P474" s="71" t="str">
        <x:v>preserveBeforeNewTrip:1495</x:v>
      </x:c>
      <x:c r="Q474" s="71" t="str">
        <x:v>EN</x:v>
      </x:c>
      <x:c r="R474" s="71" t="str">
        <x:v>Already clear and direct; suggested wording intentionally keeps the current copy. Terminology watch: ‘trip’ and ‘journey’ both describe the same plan. Terminology watch: ‘stops’, ‘destinations’ and ‘places’ overlap.</x:v>
      </x:c>
      <x:c r="S474" s="75" t="str">
        <x:v>Not applied — review required</x:v>
      </x:c>
    </x:row>
    <x:row r="475">
      <x:c r="A475" s="71" t="str">
        <x:v>MRV-DACCE8B3F2</x:v>
      </x:c>
      <x:c r="B475" s="71" t="str">
        <x:v>Planning</x:v>
      </x:c>
      <x:c r="C475" s="71" t="str">
        <x:v>New trip builder</x:v>
      </x:c>
      <x:c r="D475" s="71" t="str">
        <x:v>/journey/new/trip-builder</x:v>
      </x:c>
      <x:c r="E475" s="71" t="str">
        <x:v>preserveBeforeNewTrip</x:v>
      </x:c>
      <x:c r="F475" s="71" t="str">
        <x:v>Failure / recovery</x:v>
      </x:c>
      <x:c r="G475" s="71" t="str">
        <x:v>Body copy</x:v>
      </x:c>
      <x:c r="H475" s="71" t="str">
        <x:v>No pudimos guardar los cambios más recientes, así que no iniciamos otro viaje.</x:v>
      </x:c>
      <x:c r="I475" s="71" t="str">
        <x:v>No pudimos guardar los cambios más recientes, así que no iniciamos otro viaje.</x:v>
      </x:c>
      <x:c r="J475" s="73"/>
      <x:c r="K475" s="74" t="str">
        <x:f>IF(J475="",H475,IF(J475=I475,I475,J475))</x:f>
        <x:v>No pudimos guardar los cambios más recientes, así que no iniciamos otro viaje.</x:v>
      </x:c>
      <x:c r="L475" s="74" t="str">
        <x:f>IF(J475="","Keep current",IF(J475=I475,"Use suggestion","Custom"))</x:f>
        <x:v>Keep current</x:v>
      </x:c>
      <x:c r="M475" s="71" t="str">
        <x:v>Pending review</x:v>
      </x:c>
      <x:c r="N475" s="71" t="str">
        <x:v>High</x:v>
      </x:c>
      <x:c r="O475" s="71" t="str">
        <x:v>app/journey/new/trip-builder.tsx</x:v>
      </x:c>
      <x:c r="P475" s="71" t="str">
        <x:v>preserveBeforeNewTrip:1497</x:v>
      </x:c>
      <x:c r="Q475" s="71" t="str">
        <x:v>ES</x:v>
      </x:c>
      <x:c r="R475" s="71" t="str">
        <x:v>Already clear and direct; suggested wording intentionally keeps the current copy.</x:v>
      </x:c>
      <x:c r="S475" s="75" t="str">
        <x:v>Not applied — review required</x:v>
      </x:c>
    </x:row>
    <x:row r="476">
      <x:c r="A476" s="71" t="str">
        <x:v>MRV-A160DD1CE6</x:v>
      </x:c>
      <x:c r="B476" s="71" t="str">
        <x:v>Planning</x:v>
      </x:c>
      <x:c r="C476" s="71" t="str">
        <x:v>New trip builder</x:v>
      </x:c>
      <x:c r="D476" s="71" t="str">
        <x:v>/journey/new/trip-builder</x:v>
      </x:c>
      <x:c r="E476" s="71" t="str">
        <x:v>preserveBeforeNewTrip</x:v>
      </x:c>
      <x:c r="F476" s="71" t="str">
        <x:v>Failure / recovery</x:v>
      </x:c>
      <x:c r="G476" s="71" t="str">
        <x:v>Body copy</x:v>
      </x:c>
      <x:c r="H476" s="71" t="str">
        <x:v>The latest changes could not be saved, so Morrovia did not start another trip.</x:v>
      </x:c>
      <x:c r="I476" s="71" t="str">
        <x:v>The latest changes could not be saved, so Morrovia did not start another trip.</x:v>
      </x:c>
      <x:c r="J476" s="73"/>
      <x:c r="K476" s="74" t="str">
        <x:f>IF(J476="",H476,IF(J476=I476,I476,J476))</x:f>
        <x:v>The latest changes could not be saved, so Morrovia did not start another trip.</x:v>
      </x:c>
      <x:c r="L476" s="74" t="str">
        <x:f>IF(J476="","Keep current",IF(J476=I476,"Use suggestion","Custom"))</x:f>
        <x:v>Keep current</x:v>
      </x:c>
      <x:c r="M476" s="71" t="str">
        <x:v>Pending review</x:v>
      </x:c>
      <x:c r="N476" s="71" t="str">
        <x:v>High</x:v>
      </x:c>
      <x:c r="O476" s="71" t="str">
        <x:v>app/journey/new/trip-builder.tsx</x:v>
      </x:c>
      <x:c r="P476" s="71" t="str">
        <x:v>preserveBeforeNewTrip:1498</x:v>
      </x:c>
      <x:c r="Q476" s="71" t="str">
        <x:v>EN</x:v>
      </x:c>
      <x:c r="R476" s="71" t="str">
        <x:v>Already clear and direct; suggested wording intentionally keeps the current copy. Terminology watch: ‘trip’ and ‘journey’ both describe the same plan. Terminology watch: ‘stops’, ‘destinations’ and ‘places’ overlap.</x:v>
      </x:c>
      <x:c r="S476" s="75" t="str">
        <x:v>Not applied — review required</x:v>
      </x:c>
    </x:row>
    <x:row r="477">
      <x:c r="A477" s="71" t="str">
        <x:v>MRV-4E20691494</x:v>
      </x:c>
      <x:c r="B477" s="71" t="str">
        <x:v>Planning</x:v>
      </x:c>
      <x:c r="C477" s="71" t="str">
        <x:v>New trip builder</x:v>
      </x:c>
      <x:c r="D477" s="71" t="str">
        <x:v>/journey/new/trip-builder</x:v>
      </x:c>
      <x:c r="E477" s="71" t="str">
        <x:v>timer</x:v>
      </x:c>
      <x:c r="F477" s="71" t="str">
        <x:v>Default</x:v>
      </x:c>
      <x:c r="G477" s="71" t="str">
        <x:v>Body copy</x:v>
      </x:c>
      <x:c r="H477" s="71" t="str">
        <x:v>Ya hay cambios de este dispositivo que deben resolverse antes de editar la copia en la nube.</x:v>
      </x:c>
      <x:c r="I477" s="71" t="str">
        <x:v>Ya hay cambios de este dispositivo que deben resolverse antes de editar la copia en la nube.</x:v>
      </x:c>
      <x:c r="J477" s="73"/>
      <x:c r="K477" s="74" t="str">
        <x:f>IF(J477="",H477,IF(J477=I477,I477,J477))</x:f>
        <x:v>Ya hay cambios de este dispositivo que deben resolverse antes de editar la copia en la nube.</x:v>
      </x:c>
      <x:c r="L477" s="74" t="str">
        <x:f>IF(J477="","Keep current",IF(J477=I477,"Use suggestion","Custom"))</x:f>
        <x:v>Keep current</x:v>
      </x:c>
      <x:c r="M477" s="71" t="str">
        <x:v>Pending review</x:v>
      </x:c>
      <x:c r="N477" s="71" t="str">
        <x:v>Normal</x:v>
      </x:c>
      <x:c r="O477" s="71" t="str">
        <x:v>app/journey/new/trip-builder.tsx</x:v>
      </x:c>
      <x:c r="P477" s="71" t="str">
        <x:v>timer:1516</x:v>
      </x:c>
      <x:c r="Q477" s="71" t="str">
        <x:v>ES</x:v>
      </x:c>
      <x:c r="R477" s="71" t="str">
        <x:v>Already clear and direct; suggested wording intentionally keeps the current copy.</x:v>
      </x:c>
      <x:c r="S477" s="75" t="str">
        <x:v>Not applied — review required</x:v>
      </x:c>
    </x:row>
    <x:row r="478">
      <x:c r="A478" s="71" t="str">
        <x:v>MRV-9C71217741</x:v>
      </x:c>
      <x:c r="B478" s="71" t="str">
        <x:v>Planning</x:v>
      </x:c>
      <x:c r="C478" s="71" t="str">
        <x:v>New trip builder</x:v>
      </x:c>
      <x:c r="D478" s="71" t="str">
        <x:v>/journey/new/trip-builder</x:v>
      </x:c>
      <x:c r="E478" s="71" t="str">
        <x:v>timer</x:v>
      </x:c>
      <x:c r="F478" s="71" t="str">
        <x:v>Default</x:v>
      </x:c>
      <x:c r="G478" s="71" t="str">
        <x:v>Body copy</x:v>
      </x:c>
      <x:c r="H478" s="71" t="str">
        <x:v>This device already has separate edits. Open that device copy to continue or resolve it explicitly.</x:v>
      </x:c>
      <x:c r="I478" s="71" t="str">
        <x:v>This device already has separate edits. Open that device copy to continue or resolve it explicitly.</x:v>
      </x:c>
      <x:c r="J478" s="73"/>
      <x:c r="K478" s="74" t="str">
        <x:f>IF(J478="",H478,IF(J478=I478,I478,J478))</x:f>
        <x:v>This device already has separate edits. Open that device copy to continue or resolve it explicitly.</x:v>
      </x:c>
      <x:c r="L478" s="74" t="str">
        <x:f>IF(J478="","Keep current",IF(J478=I478,"Use suggestion","Custom"))</x:f>
        <x:v>Keep current</x:v>
      </x:c>
      <x:c r="M478" s="71" t="str">
        <x:v>Pending review</x:v>
      </x:c>
      <x:c r="N478" s="71" t="str">
        <x:v>Normal</x:v>
      </x:c>
      <x:c r="O478" s="71" t="str">
        <x:v>app/journey/new/trip-builder.tsx</x:v>
      </x:c>
      <x:c r="P478" s="71" t="str">
        <x:v>timer:1517</x:v>
      </x:c>
      <x:c r="Q478" s="71" t="str">
        <x:v>EN</x:v>
      </x:c>
      <x:c r="R478" s="71" t="str">
        <x:v>Already clear and direct; suggested wording intentionally keeps the current copy.</x:v>
      </x:c>
      <x:c r="S478" s="75" t="str">
        <x:v>Not applied — review required</x:v>
      </x:c>
    </x:row>
    <x:row r="479">
      <x:c r="A479" s="71" t="str">
        <x:v>MRV-1E3F81F8CA</x:v>
      </x:c>
      <x:c r="B479" s="71" t="str">
        <x:v>Planning</x:v>
      </x:c>
      <x:c r="C479" s="71" t="str">
        <x:v>New trip builder</x:v>
      </x:c>
      <x:c r="D479" s="71" t="str">
        <x:v>/journey/new/trip-builder</x:v>
      </x:c>
      <x:c r="E479" s="71" t="str">
        <x:v>timer</x:v>
      </x:c>
      <x:c r="F479" s="71" t="str">
        <x:v>Default</x:v>
      </x:c>
      <x:c r="G479" s="71" t="str">
        <x:v>Body copy</x:v>
      </x:c>
      <x:c r="H479" s="71" t="str">
        <x:v>El navegador bloqueó el almacenamiento. Mantén esta pestaña abierta antes de salir.</x:v>
      </x:c>
      <x:c r="I479" s="71" t="str">
        <x:v>El navegador bloqueó el almacenamiento. Mantén esta pestaña abierta antes de salir.</x:v>
      </x:c>
      <x:c r="J479" s="73"/>
      <x:c r="K479" s="74" t="str">
        <x:f>IF(J479="",H479,IF(J479=I479,I479,J479))</x:f>
        <x:v>El navegador bloqueó el almacenamiento. Mantén esta pestaña abierta antes de salir.</x:v>
      </x:c>
      <x:c r="L479" s="74" t="str">
        <x:f>IF(J479="","Keep current",IF(J479=I479,"Use suggestion","Custom"))</x:f>
        <x:v>Keep current</x:v>
      </x:c>
      <x:c r="M479" s="71" t="str">
        <x:v>Pending review</x:v>
      </x:c>
      <x:c r="N479" s="71" t="str">
        <x:v>Normal</x:v>
      </x:c>
      <x:c r="O479" s="71" t="str">
        <x:v>app/journey/new/trip-builder.tsx</x:v>
      </x:c>
      <x:c r="P479" s="71" t="str">
        <x:v>timer:1519</x:v>
      </x:c>
      <x:c r="Q479" s="71" t="str">
        <x:v>ES</x:v>
      </x:c>
      <x:c r="R479" s="71" t="str">
        <x:v>Already clear and direct; suggested wording intentionally keeps the current copy.</x:v>
      </x:c>
      <x:c r="S479" s="75" t="str">
        <x:v>Not applied — review required</x:v>
      </x:c>
    </x:row>
    <x:row r="480">
      <x:c r="A480" s="71" t="str">
        <x:v>MRV-BF3A008F00</x:v>
      </x:c>
      <x:c r="B480" s="71" t="str">
        <x:v>Planning</x:v>
      </x:c>
      <x:c r="C480" s="71" t="str">
        <x:v>New trip builder</x:v>
      </x:c>
      <x:c r="D480" s="71" t="str">
        <x:v>/journey/new/trip-builder</x:v>
      </x:c>
      <x:c r="E480" s="71" t="str">
        <x:v>timer</x:v>
      </x:c>
      <x:c r="F480" s="71" t="str">
        <x:v>Default</x:v>
      </x:c>
      <x:c r="G480" s="71" t="str">
        <x:v>Body copy</x:v>
      </x:c>
      <x:c r="H480" s="71" t="str">
        <x:v>Browser storage is blocked. Keep this tab open before leaving.</x:v>
      </x:c>
      <x:c r="I480" s="71" t="str">
        <x:v>Browser storage is blocked. Keep this tab open before leaving.</x:v>
      </x:c>
      <x:c r="J480" s="73"/>
      <x:c r="K480" s="74" t="str">
        <x:f>IF(J480="",H480,IF(J480=I480,I480,J480))</x:f>
        <x:v>Browser storage is blocked. Keep this tab open before leaving.</x:v>
      </x:c>
      <x:c r="L480" s="74" t="str">
        <x:f>IF(J480="","Keep current",IF(J480=I480,"Use suggestion","Custom"))</x:f>
        <x:v>Keep current</x:v>
      </x:c>
      <x:c r="M480" s="71" t="str">
        <x:v>Pending review</x:v>
      </x:c>
      <x:c r="N480" s="71" t="str">
        <x:v>Normal</x:v>
      </x:c>
      <x:c r="O480" s="71" t="str">
        <x:v>app/journey/new/trip-builder.tsx</x:v>
      </x:c>
      <x:c r="P480" s="71" t="str">
        <x:v>timer:1520</x:v>
      </x:c>
      <x:c r="Q480" s="71" t="str">
        <x:v>EN</x:v>
      </x:c>
      <x:c r="R480" s="71" t="str">
        <x:v>Already clear and direct; suggested wording intentionally keeps the current copy.</x:v>
      </x:c>
      <x:c r="S480" s="75" t="str">
        <x:v>Not applied — review required</x:v>
      </x:c>
    </x:row>
    <x:row r="481">
      <x:c r="A481" s="71" t="str">
        <x:v>MRV-0EE6996B59</x:v>
      </x:c>
      <x:c r="B481" s="71" t="str">
        <x:v>Planning</x:v>
      </x:c>
      <x:c r="C481" s="71" t="str">
        <x:v>New trip builder</x:v>
      </x:c>
      <x:c r="D481" s="71" t="str">
        <x:v>/journey/new/trip-builder</x:v>
      </x:c>
      <x:c r="E481" s="71" t="str">
        <x:v>persistGeneratedTrip</x:v>
      </x:c>
      <x:c r="F481" s="71" t="str">
        <x:v>Loading / in progress</x:v>
      </x:c>
      <x:c r="G481" s="71" t="str">
        <x:v>Body copy</x:v>
      </x:c>
      <x:c r="H481" s="71" t="str">
        <x:v>Ya existe una copia de recuperación en este dispositivo. Ábrela antes de guardar cambios desde la nube.</x:v>
      </x:c>
      <x:c r="I481" s="71" t="str">
        <x:v>Ya existe una copia de recuperación en este dispositivo. Ábrela antes de guardar cambios desde la nube.</x:v>
      </x:c>
      <x:c r="J481" s="73"/>
      <x:c r="K481" s="74" t="str">
        <x:f>IF(J481="",H481,IF(J481=I481,I481,J481))</x:f>
        <x:v>Ya existe una copia de recuperación en este dispositivo. Ábrela antes de guardar cambios desde la nube.</x:v>
      </x:c>
      <x:c r="L481" s="74" t="str">
        <x:f>IF(J481="","Keep current",IF(J481=I481,"Use suggestion","Custom"))</x:f>
        <x:v>Keep current</x:v>
      </x:c>
      <x:c r="M481" s="71" t="str">
        <x:v>Pending review</x:v>
      </x:c>
      <x:c r="N481" s="71" t="str">
        <x:v>Normal</x:v>
      </x:c>
      <x:c r="O481" s="71" t="str">
        <x:v>app/journey/new/trip-builder.tsx</x:v>
      </x:c>
      <x:c r="P481" s="71" t="str">
        <x:v>persistGeneratedTrip:1568</x:v>
      </x:c>
      <x:c r="Q481" s="71" t="str">
        <x:v>ES</x:v>
      </x:c>
      <x:c r="R481" s="71" t="str">
        <x:v>Already clear and direct; suggested wording intentionally keeps the current copy.</x:v>
      </x:c>
      <x:c r="S481" s="75" t="str">
        <x:v>Not applied — review required</x:v>
      </x:c>
    </x:row>
    <x:row r="482">
      <x:c r="A482" s="71" t="str">
        <x:v>MRV-F1FD458F92</x:v>
      </x:c>
      <x:c r="B482" s="71" t="str">
        <x:v>Planning</x:v>
      </x:c>
      <x:c r="C482" s="71" t="str">
        <x:v>New trip builder</x:v>
      </x:c>
      <x:c r="D482" s="71" t="str">
        <x:v>/journey/new/trip-builder</x:v>
      </x:c>
      <x:c r="E482" s="71" t="str">
        <x:v>persistGeneratedTrip</x:v>
      </x:c>
      <x:c r="F482" s="71" t="str">
        <x:v>Loading / in progress</x:v>
      </x:c>
      <x:c r="G482" s="71" t="str">
        <x:v>Body copy</x:v>
      </x:c>
      <x:c r="H482" s="71" t="str">
        <x:v>A separate recovery copy already exists on this device. Open it before saving changes from the cloud copy.</x:v>
      </x:c>
      <x:c r="I482" s="71" t="str">
        <x:v>A separate recovery copy already exists on this device. Open it before saving changes from the cloud copy.</x:v>
      </x:c>
      <x:c r="J482" s="73"/>
      <x:c r="K482" s="74" t="str">
        <x:f>IF(J482="",H482,IF(J482=I482,I482,J482))</x:f>
        <x:v>A separate recovery copy already exists on this device. Open it before saving changes from the cloud copy.</x:v>
      </x:c>
      <x:c r="L482" s="74" t="str">
        <x:f>IF(J482="","Keep current",IF(J482=I482,"Use suggestion","Custom"))</x:f>
        <x:v>Keep current</x:v>
      </x:c>
      <x:c r="M482" s="71" t="str">
        <x:v>Pending review</x:v>
      </x:c>
      <x:c r="N482" s="71" t="str">
        <x:v>Normal</x:v>
      </x:c>
      <x:c r="O482" s="71" t="str">
        <x:v>app/journey/new/trip-builder.tsx</x:v>
      </x:c>
      <x:c r="P482" s="71" t="str">
        <x:v>persistGeneratedTrip:1569</x:v>
      </x:c>
      <x:c r="Q482" s="71" t="str">
        <x:v>EN</x:v>
      </x:c>
      <x:c r="R482" s="71" t="str">
        <x:v>Already clear and direct; suggested wording intentionally keeps the current copy.</x:v>
      </x:c>
      <x:c r="S482" s="75" t="str">
        <x:v>Not applied — review required</x:v>
      </x:c>
    </x:row>
    <x:row r="483">
      <x:c r="A483" s="71" t="str">
        <x:v>MRV-FDD87A4BEF</x:v>
      </x:c>
      <x:c r="B483" s="71" t="str">
        <x:v>Planning</x:v>
      </x:c>
      <x:c r="C483" s="71" t="str">
        <x:v>New trip builder</x:v>
      </x:c>
      <x:c r="D483" s="71" t="str">
        <x:v>/journey/new/trip-builder</x:v>
      </x:c>
      <x:c r="E483" s="71" t="str">
        <x:v>persistGeneratedTrip</x:v>
      </x:c>
      <x:c r="F483" s="71" t="str">
        <x:v>Failure / recovery</x:v>
      </x:c>
      <x:c r="G483" s="71" t="str">
        <x:v>Body copy</x:v>
      </x:c>
      <x:c r="H483" s="71" t="str">
        <x:v>Este navegador no pudo guardar los cambios más recientes. Mantén esta pestaña abierta e inténtalo de nuevo.</x:v>
      </x:c>
      <x:c r="I483" s="71" t="str">
        <x:v>Este navegador no pudo guardar los cambios más recientes. Mantén esta pestaña abierta e inténtalo de nuevo.</x:v>
      </x:c>
      <x:c r="J483" s="73"/>
      <x:c r="K483" s="74" t="str">
        <x:f>IF(J483="",H483,IF(J483=I483,I483,J483))</x:f>
        <x:v>Este navegador no pudo guardar los cambios más recientes. Mantén esta pestaña abierta e inténtalo de nuevo.</x:v>
      </x:c>
      <x:c r="L483" s="74" t="str">
        <x:f>IF(J483="","Keep current",IF(J483=I483,"Use suggestion","Custom"))</x:f>
        <x:v>Keep current</x:v>
      </x:c>
      <x:c r="M483" s="71" t="str">
        <x:v>Pending review</x:v>
      </x:c>
      <x:c r="N483" s="71" t="str">
        <x:v>High</x:v>
      </x:c>
      <x:c r="O483" s="71" t="str">
        <x:v>app/journey/new/trip-builder.tsx</x:v>
      </x:c>
      <x:c r="P483" s="71" t="str">
        <x:v>persistGeneratedTrip:1571</x:v>
      </x:c>
      <x:c r="Q483" s="71" t="str">
        <x:v>ES</x:v>
      </x:c>
      <x:c r="R483" s="71" t="str">
        <x:v>Already clear and direct; suggested wording intentionally keeps the current copy.</x:v>
      </x:c>
      <x:c r="S483" s="75" t="str">
        <x:v>Not applied — review required</x:v>
      </x:c>
    </x:row>
    <x:row r="484">
      <x:c r="A484" s="71" t="str">
        <x:v>MRV-58AABAD152</x:v>
      </x:c>
      <x:c r="B484" s="71" t="str">
        <x:v>Planning</x:v>
      </x:c>
      <x:c r="C484" s="71" t="str">
        <x:v>New trip builder</x:v>
      </x:c>
      <x:c r="D484" s="71" t="str">
        <x:v>/journey/new/trip-builder</x:v>
      </x:c>
      <x:c r="E484" s="71" t="str">
        <x:v>persistGeneratedTrip</x:v>
      </x:c>
      <x:c r="F484" s="71" t="str">
        <x:v>Failure / recovery</x:v>
      </x:c>
      <x:c r="G484" s="71" t="str">
        <x:v>Body copy</x:v>
      </x:c>
      <x:c r="H484" s="71" t="str">
        <x:v>This browser could not save the latest changes. Keep this tab open and try again.</x:v>
      </x:c>
      <x:c r="I484" s="71" t="str">
        <x:v>This browser could not save the latest changes. Keep this tab open and try again.</x:v>
      </x:c>
      <x:c r="J484" s="73"/>
      <x:c r="K484" s="74" t="str">
        <x:f>IF(J484="",H484,IF(J484=I484,I484,J484))</x:f>
        <x:v>This browser could not save the latest changes. Keep this tab open and try again.</x:v>
      </x:c>
      <x:c r="L484" s="74" t="str">
        <x:f>IF(J484="","Keep current",IF(J484=I484,"Use suggestion","Custom"))</x:f>
        <x:v>Keep current</x:v>
      </x:c>
      <x:c r="M484" s="71" t="str">
        <x:v>Pending review</x:v>
      </x:c>
      <x:c r="N484" s="71" t="str">
        <x:v>High</x:v>
      </x:c>
      <x:c r="O484" s="71" t="str">
        <x:v>app/journey/new/trip-builder.tsx</x:v>
      </x:c>
      <x:c r="P484" s="71" t="str">
        <x:v>persistGeneratedTrip:1572</x:v>
      </x:c>
      <x:c r="Q484" s="71" t="str">
        <x:v>EN</x:v>
      </x:c>
      <x:c r="R484" s="71" t="str">
        <x:v>Already clear and direct; suggested wording intentionally keeps the current copy.</x:v>
      </x:c>
      <x:c r="S484" s="75" t="str">
        <x:v>Not applied — review required</x:v>
      </x:c>
    </x:row>
    <x:row r="485">
      <x:c r="A485" s="71" t="str">
        <x:v>MRV-E2FC8A7CCB</x:v>
      </x:c>
      <x:c r="B485" s="71" t="str">
        <x:v>Planning</x:v>
      </x:c>
      <x:c r="C485" s="71" t="str">
        <x:v>New trip builder</x:v>
      </x:c>
      <x:c r="D485" s="71" t="str">
        <x:v>/journey/new/trip-builder</x:v>
      </x:c>
      <x:c r="E485" s="71" t="str">
        <x:v>persistGeneratedTrip</x:v>
      </x:c>
      <x:c r="F485" s="71" t="str">
        <x:v>Failure / recovery</x:v>
      </x:c>
      <x:c r="G485" s="71" t="str">
        <x:v>Body copy</x:v>
      </x:c>
      <x:c r="H485" s="71" t="str">
        <x:v>This trip changed on another device. Open the cloud copy before trying another cloud save; your device edits remain preserved.</x:v>
      </x:c>
      <x:c r="I485" s="71" t="str">
        <x:v>This trip changed on another device. Open the cloud copy before trying another cloud save; your device edits remain preserved.</x:v>
      </x:c>
      <x:c r="J485" s="73"/>
      <x:c r="K485" s="74" t="str">
        <x:f>IF(J485="",H485,IF(J485=I485,I485,J485))</x:f>
        <x:v>This trip changed on another device. Open the cloud copy before trying another cloud save; your device edits remain preserved.</x:v>
      </x:c>
      <x:c r="L485" s="74" t="str">
        <x:f>IF(J485="","Keep current",IF(J485=I485,"Use suggestion","Custom"))</x:f>
        <x:v>Keep current</x:v>
      </x:c>
      <x:c r="M485" s="71" t="str">
        <x:v>Pending review</x:v>
      </x:c>
      <x:c r="N485" s="71" t="str">
        <x:v>High</x:v>
      </x:c>
      <x:c r="O485" s="71" t="str">
        <x:v>app/journey/new/trip-builder.tsx</x:v>
      </x:c>
      <x:c r="P485" s="71" t="str">
        <x:v>persistGeneratedTrip:1587</x:v>
      </x:c>
      <x:c r="Q485" s="71" t="str">
        <x:v>EN (default / shared)</x:v>
      </x:c>
      <x:c r="R485" s="71" t="str">
        <x:v>Already clear and direct; suggested wording intentionally keeps the current copy. Terminology watch: ‘trip’ and ‘journey’ both describe the same plan. Terminology watch: ‘stops’, ‘destinations’ and ‘places’ overlap.</x:v>
      </x:c>
      <x:c r="S485" s="75" t="str">
        <x:v>Not applied — review required</x:v>
      </x:c>
    </x:row>
    <x:row r="486">
      <x:c r="A486" s="71" t="str">
        <x:v>MRV-0987316DF0</x:v>
      </x:c>
      <x:c r="B486" s="71" t="str">
        <x:v>Planning</x:v>
      </x:c>
      <x:c r="C486" s="71" t="str">
        <x:v>New trip builder</x:v>
      </x:c>
      <x:c r="D486" s="71" t="str">
        <x:v>/journey/new/trip-builder</x:v>
      </x:c>
      <x:c r="E486" s="71" t="str">
        <x:v>persistGeneratedTrip</x:v>
      </x:c>
      <x:c r="F486" s="71" t="str">
        <x:v>Failure / recovery</x:v>
      </x:c>
      <x:c r="G486" s="71" t="str">
        <x:v>Body copy</x:v>
      </x:c>
      <x:c r="H486" s="71" t="str">
        <x:v>The active account changed before this trip could sync. Reopen the trip from the current account; the device copy remains preserved.</x:v>
      </x:c>
      <x:c r="I486" s="71" t="str">
        <x:v>The active account changed before this trip could sync. Reopen the trip from the current account; the device copy remains preserved.</x:v>
      </x:c>
      <x:c r="J486" s="73"/>
      <x:c r="K486" s="74" t="str">
        <x:f>IF(J486="",H486,IF(J486=I486,I486,J486))</x:f>
        <x:v>The active account changed before this trip could sync. Reopen the trip from the current account; the device copy remains preserved.</x:v>
      </x:c>
      <x:c r="L486" s="74" t="str">
        <x:f>IF(J486="","Keep current",IF(J486=I486,"Use suggestion","Custom"))</x:f>
        <x:v>Keep current</x:v>
      </x:c>
      <x:c r="M486" s="71" t="str">
        <x:v>Pending review</x:v>
      </x:c>
      <x:c r="N486" s="71" t="str">
        <x:v>High</x:v>
      </x:c>
      <x:c r="O486" s="71" t="str">
        <x:v>app/journey/new/trip-builder.tsx</x:v>
      </x:c>
      <x:c r="P486" s="71" t="str">
        <x:v>persistGeneratedTrip:1596</x:v>
      </x:c>
      <x:c r="Q486" s="71" t="str">
        <x:v>EN (default / shared)</x:v>
      </x:c>
      <x:c r="R486" s="71" t="str">
        <x:v>Already clear and direct; suggested wording intentionally keeps the current copy. Terminology watch: ‘trip’ and ‘journey’ both describe the same plan. Terminology watch: ‘stops’, ‘destinations’ and ‘places’ overlap.</x:v>
      </x:c>
      <x:c r="S486" s="75" t="str">
        <x:v>Not applied — review required</x:v>
      </x:c>
    </x:row>
    <x:row r="487">
      <x:c r="A487" s="71" t="str">
        <x:v>MRV-427C67E3CF</x:v>
      </x:c>
      <x:c r="B487" s="71" t="str">
        <x:v>Planning</x:v>
      </x:c>
      <x:c r="C487" s="71" t="str">
        <x:v>New trip builder</x:v>
      </x:c>
      <x:c r="D487" s="71" t="str">
        <x:v>/journey/new/trip-builder</x:v>
      </x:c>
      <x:c r="E487" s="71" t="str">
        <x:v>persistGeneratedTrip</x:v>
      </x:c>
      <x:c r="F487" s="71" t="str">
        <x:v>Failure / recovery</x:v>
      </x:c>
      <x:c r="G487" s="71" t="str">
        <x:v>Body copy</x:v>
      </x:c>
      <x:c r="H487" s="71" t="str">
        <x:v>The cloud returned a different trip document. This device copy remains preserved and was not acknowledged.</x:v>
      </x:c>
      <x:c r="I487" s="71" t="str">
        <x:v>The cloud returned a different trip document. This device copy remains preserved and was not acknowledged.</x:v>
      </x:c>
      <x:c r="J487" s="73"/>
      <x:c r="K487" s="74" t="str">
        <x:f>IF(J487="",H487,IF(J487=I487,I487,J487))</x:f>
        <x:v>The cloud returned a different trip document. This device copy remains preserved and was not acknowledged.</x:v>
      </x:c>
      <x:c r="L487" s="74" t="str">
        <x:f>IF(J487="","Keep current",IF(J487=I487,"Use suggestion","Custom"))</x:f>
        <x:v>Keep current</x:v>
      </x:c>
      <x:c r="M487" s="71" t="str">
        <x:v>Pending review</x:v>
      </x:c>
      <x:c r="N487" s="71" t="str">
        <x:v>High</x:v>
      </x:c>
      <x:c r="O487" s="71" t="str">
        <x:v>app/journey/new/trip-builder.tsx</x:v>
      </x:c>
      <x:c r="P487" s="71" t="str">
        <x:v>persistGeneratedTrip:1613</x:v>
      </x:c>
      <x:c r="Q487" s="71" t="str">
        <x:v>EN (default / shared)</x:v>
      </x:c>
      <x:c r="R487" s="71" t="str">
        <x:v>Already clear and direct; suggested wording intentionally keeps the current copy. Terminology watch: ‘trip’ and ‘journey’ both describe the same plan. Terminology watch: ‘stops’, ‘destinations’ and ‘places’ overlap.</x:v>
      </x:c>
      <x:c r="S487" s="75" t="str">
        <x:v>Not applied — review required</x:v>
      </x:c>
    </x:row>
    <x:row r="488">
      <x:c r="A488" s="71" t="str">
        <x:v>MRV-51E0354C57</x:v>
      </x:c>
      <x:c r="B488" s="71" t="str">
        <x:v>Planning</x:v>
      </x:c>
      <x:c r="C488" s="71" t="str">
        <x:v>New trip builder</x:v>
      </x:c>
      <x:c r="D488" s="71" t="str">
        <x:v>/journey/new/trip-builder</x:v>
      </x:c>
      <x:c r="E488" s="71" t="str">
        <x:v>persistGeneratedTrip</x:v>
      </x:c>
      <x:c r="F488" s="71" t="str">
        <x:v>Offline / network failure</x:v>
      </x:c>
      <x:c r="G488" s="71" t="str">
        <x:v>Body copy</x:v>
      </x:c>
      <x:c r="H488" s="71" t="str">
        <x:v>A newer device edit was preserved while this version finished syncing. Open the device copy before continuing.</x:v>
      </x:c>
      <x:c r="I488" s="71" t="str">
        <x:v>A newer device edit was preserved while this version finished syncing. Open the device copy before continuing.</x:v>
      </x:c>
      <x:c r="J488" s="73"/>
      <x:c r="K488" s="74" t="str">
        <x:f>IF(J488="",H488,IF(J488=I488,I488,J488))</x:f>
        <x:v>A newer device edit was preserved while this version finished syncing. Open the device copy before continuing.</x:v>
      </x:c>
      <x:c r="L488" s="74" t="str">
        <x:f>IF(J488="","Keep current",IF(J488=I488,"Use suggestion","Custom"))</x:f>
        <x:v>Keep current</x:v>
      </x:c>
      <x:c r="M488" s="71" t="str">
        <x:v>Pending review</x:v>
      </x:c>
      <x:c r="N488" s="71" t="str">
        <x:v>High</x:v>
      </x:c>
      <x:c r="O488" s="71" t="str">
        <x:v>app/journey/new/trip-builder.tsx</x:v>
      </x:c>
      <x:c r="P488" s="71" t="str">
        <x:v>persistGeneratedTrip:1624</x:v>
      </x:c>
      <x:c r="Q488" s="71" t="str">
        <x:v>EN (default / shared)</x:v>
      </x:c>
      <x:c r="R488" s="71" t="str">
        <x:v>Already clear and direct; suggested wording intentionally keeps the current copy. Duplicate wording: appears 2 times.</x:v>
      </x:c>
      <x:c r="S488" s="75" t="str">
        <x:v>Not applied — review required</x:v>
      </x:c>
    </x:row>
    <x:row r="489">
      <x:c r="A489" s="71" t="str">
        <x:v>MRV-2D54E8CE53</x:v>
      </x:c>
      <x:c r="B489" s="71" t="str">
        <x:v>Planning</x:v>
      </x:c>
      <x:c r="C489" s="71" t="str">
        <x:v>New trip builder</x:v>
      </x:c>
      <x:c r="D489" s="71" t="str">
        <x:v>/journey/new/trip-builder</x:v>
      </x:c>
      <x:c r="E489" s="71" t="str">
        <x:v>persistGeneratedTrip</x:v>
      </x:c>
      <x:c r="F489" s="71" t="str">
        <x:v>Offline / network failure</x:v>
      </x:c>
      <x:c r="G489" s="71" t="str">
        <x:v>Body copy</x:v>
      </x:c>
      <x:c r="H489" s="71" t="str">
        <x:v>The cloud save completed, but this browser could not keep its offline copy. Keep this tab open and try again.</x:v>
      </x:c>
      <x:c r="I489" s="71" t="str">
        <x:v>The cloud save completed, but this browser could not keep its offline copy. Keep this tab open and try again.</x:v>
      </x:c>
      <x:c r="J489" s="73"/>
      <x:c r="K489" s="74" t="str">
        <x:f>IF(J489="",H489,IF(J489=I489,I489,J489))</x:f>
        <x:v>The cloud save completed, but this browser could not keep its offline copy. Keep this tab open and try again.</x:v>
      </x:c>
      <x:c r="L489" s="74" t="str">
        <x:f>IF(J489="","Keep current",IF(J489=I489,"Use suggestion","Custom"))</x:f>
        <x:v>Keep current</x:v>
      </x:c>
      <x:c r="M489" s="71" t="str">
        <x:v>Pending review</x:v>
      </x:c>
      <x:c r="N489" s="71" t="str">
        <x:v>High</x:v>
      </x:c>
      <x:c r="O489" s="71" t="str">
        <x:v>app/journey/new/trip-builder.tsx</x:v>
      </x:c>
      <x:c r="P489" s="71" t="str">
        <x:v>persistGeneratedTrip:1625</x:v>
      </x:c>
      <x:c r="Q489" s="71" t="str">
        <x:v>EN (default / shared)</x:v>
      </x:c>
      <x:c r="R489" s="71" t="str">
        <x:v>Already clear and direct; suggested wording intentionally keeps the current copy.</x:v>
      </x:c>
      <x:c r="S489" s="75" t="str">
        <x:v>Not applied — review required</x:v>
      </x:c>
    </x:row>
    <x:row r="490">
      <x:c r="A490" s="71" t="str">
        <x:v>MRV-6843077ACF</x:v>
      </x:c>
      <x:c r="B490" s="71" t="str">
        <x:v>Planning</x:v>
      </x:c>
      <x:c r="C490" s="71" t="str">
        <x:v>New trip builder</x:v>
      </x:c>
      <x:c r="D490" s="71" t="str">
        <x:v>/journey/new/trip-builder</x:v>
      </x:c>
      <x:c r="E490" s="71" t="str">
        <x:v>persistGeneratedTrip</x:v>
      </x:c>
      <x:c r="F490" s="71" t="str">
        <x:v>Offline / network failure</x:v>
      </x:c>
      <x:c r="G490" s="71" t="str">
        <x:v>Body copy</x:v>
      </x:c>
      <x:c r="H490" s="71" t="str">
        <x:v>Your session expired. This trip is still saved on this device; sign in again to sync it.</x:v>
      </x:c>
      <x:c r="I490" s="71" t="str">
        <x:v>Your session expired. This trip is still saved on this device; sign in again to sync it.</x:v>
      </x:c>
      <x:c r="J490" s="73"/>
      <x:c r="K490" s="74" t="str">
        <x:f>IF(J490="",H490,IF(J490=I490,I490,J490))</x:f>
        <x:v>Your session expired. This trip is still saved on this device; sign in again to sync it.</x:v>
      </x:c>
      <x:c r="L490" s="74" t="str">
        <x:f>IF(J490="","Keep current",IF(J490=I490,"Use suggestion","Custom"))</x:f>
        <x:v>Keep current</x:v>
      </x:c>
      <x:c r="M490" s="71" t="str">
        <x:v>Pending review</x:v>
      </x:c>
      <x:c r="N490" s="71" t="str">
        <x:v>High</x:v>
      </x:c>
      <x:c r="O490" s="71" t="str">
        <x:v>app/journey/new/trip-builder.tsx</x:v>
      </x:c>
      <x:c r="P490" s="71" t="str">
        <x:v>persistGeneratedTrip:1660</x:v>
      </x:c>
      <x:c r="Q490" s="71" t="str">
        <x:v>EN (default / shared)</x:v>
      </x:c>
      <x:c r="R490" s="71" t="str">
        <x:v>Already clear and direct; suggested wording intentionally keeps the current copy. Terminology watch: ‘trip’ and ‘journey’ both describe the same plan. Terminology watch: ‘stops’, ‘destinations’ and ‘places’ overlap.</x:v>
      </x:c>
      <x:c r="S490" s="75" t="str">
        <x:v>Not applied — review required</x:v>
      </x:c>
    </x:row>
    <x:row r="491">
      <x:c r="A491" s="71" t="str">
        <x:v>MRV-FCD0EFA4DA</x:v>
      </x:c>
      <x:c r="B491" s="71" t="str">
        <x:v>Planning</x:v>
      </x:c>
      <x:c r="C491" s="71" t="str">
        <x:v>New trip builder</x:v>
      </x:c>
      <x:c r="D491" s="71" t="str">
        <x:v>/journey/new/trip-builder</x:v>
      </x:c>
      <x:c r="E491" s="71" t="str">
        <x:v>persistGeneratedTrip</x:v>
      </x:c>
      <x:c r="F491" s="71" t="str">
        <x:v>Offline / network failure</x:v>
      </x:c>
      <x:c r="G491" s="71" t="str">
        <x:v>Body copy</x:v>
      </x:c>
      <x:c r="H491" s="71" t="str">
        <x:v>This trip changed on another device. Your edits remain on this device until you open the cloud copy.</x:v>
      </x:c>
      <x:c r="I491" s="71" t="str">
        <x:v>This trip changed on another device. Your edits remain on this device until you open the cloud copy.</x:v>
      </x:c>
      <x:c r="J491" s="73"/>
      <x:c r="K491" s="74" t="str">
        <x:f>IF(J491="",H491,IF(J491=I491,I491,J491))</x:f>
        <x:v>This trip changed on another device. Your edits remain on this device until you open the cloud copy.</x:v>
      </x:c>
      <x:c r="L491" s="74" t="str">
        <x:f>IF(J491="","Keep current",IF(J491=I491,"Use suggestion","Custom"))</x:f>
        <x:v>Keep current</x:v>
      </x:c>
      <x:c r="M491" s="71" t="str">
        <x:v>Pending review</x:v>
      </x:c>
      <x:c r="N491" s="71" t="str">
        <x:v>High</x:v>
      </x:c>
      <x:c r="O491" s="71" t="str">
        <x:v>app/journey/new/trip-builder.tsx</x:v>
      </x:c>
      <x:c r="P491" s="71" t="str">
        <x:v>persistGeneratedTrip:1662</x:v>
      </x:c>
      <x:c r="Q491" s="71" t="str">
        <x:v>EN (default / shared)</x:v>
      </x:c>
      <x:c r="R491" s="71" t="str">
        <x:v>Already clear and direct; suggested wording intentionally keeps the current copy. Terminology watch: ‘trip’ and ‘journey’ both describe the same plan. Terminology watch: ‘stops’, ‘destinations’ and ‘places’ overlap.</x:v>
      </x:c>
      <x:c r="S491" s="75" t="str">
        <x:v>Not applied — review required</x:v>
      </x:c>
    </x:row>
    <x:row r="492">
      <x:c r="A492" s="71" t="str">
        <x:v>MRV-D686853A5F</x:v>
      </x:c>
      <x:c r="B492" s="71" t="str">
        <x:v>Planning</x:v>
      </x:c>
      <x:c r="C492" s="71" t="str">
        <x:v>New trip builder</x:v>
      </x:c>
      <x:c r="D492" s="71" t="str">
        <x:v>/journey/new/trip-builder</x:v>
      </x:c>
      <x:c r="E492" s="71" t="str">
        <x:v>persistGeneratedTrip</x:v>
      </x:c>
      <x:c r="F492" s="71" t="str">
        <x:v>Offline / network failure</x:v>
      </x:c>
      <x:c r="G492" s="71" t="str">
        <x:v>Body copy</x:v>
      </x:c>
      <x:c r="H492" s="71" t="str">
        <x:v>Couldn’t sync this trip. It is still saved on this device; try again when your connection recovers.</x:v>
      </x:c>
      <x:c r="I492" s="71" t="str">
        <x:v>Couldn’t sync this trip. It is still saved on this device; try again when your connection recovers.</x:v>
      </x:c>
      <x:c r="J492" s="73"/>
      <x:c r="K492" s="74" t="str">
        <x:f>IF(J492="",H492,IF(J492=I492,I492,J492))</x:f>
        <x:v>Couldn’t sync this trip. It is still saved on this device; try again when your connection recovers.</x:v>
      </x:c>
      <x:c r="L492" s="74" t="str">
        <x:f>IF(J492="","Keep current",IF(J492=I492,"Use suggestion","Custom"))</x:f>
        <x:v>Keep current</x:v>
      </x:c>
      <x:c r="M492" s="71" t="str">
        <x:v>Pending review</x:v>
      </x:c>
      <x:c r="N492" s="71" t="str">
        <x:v>High</x:v>
      </x:c>
      <x:c r="O492" s="71" t="str">
        <x:v>app/journey/new/trip-builder.tsx</x:v>
      </x:c>
      <x:c r="P492" s="71" t="str">
        <x:v>persistGeneratedTrip:1663</x:v>
      </x:c>
      <x:c r="Q492" s="71" t="str">
        <x:v>EN (default / shared)</x:v>
      </x:c>
      <x:c r="R492" s="71" t="str">
        <x:v>Already clear and direct; suggested wording intentionally keeps the current copy. Terminology watch: ‘trip’ and ‘journey’ both describe the same plan. Terminology watch: ‘stops’, ‘destinations’ and ‘places’ overlap.</x:v>
      </x:c>
      <x:c r="S492" s="75" t="str">
        <x:v>Not applied — review required</x:v>
      </x:c>
    </x:row>
    <x:row r="493">
      <x:c r="A493" s="71" t="str">
        <x:v>MRV-70BCFB4698</x:v>
      </x:c>
      <x:c r="B493" s="71" t="str">
        <x:v>Planning</x:v>
      </x:c>
      <x:c r="C493" s="71" t="str">
        <x:v>New trip builder</x:v>
      </x:c>
      <x:c r="D493" s="71" t="str">
        <x:v>/journey/new/trip-builder</x:v>
      </x:c>
      <x:c r="E493" s="71" t="str">
        <x:v>TripBuilderDocument</x:v>
      </x:c>
      <x:c r="F493" s="71" t="str">
        <x:v>Wrong owner / access denied</x:v>
      </x:c>
      <x:c r="G493" s="71" t="str">
        <x:v>Body copy</x:v>
      </x:c>
      <x:c r="H493" s="71" t="str">
        <x:v>This trip is not available to the current browser account. Its original device copy remains preserved in its owner scope.</x:v>
      </x:c>
      <x:c r="I493" s="71" t="str">
        <x:v>This trip is not available to the current browser account. Its original device copy remains preserved in its owner scope.</x:v>
      </x:c>
      <x:c r="J493" s="73"/>
      <x:c r="K493" s="74" t="str">
        <x:f>IF(J493="",H493,IF(J493=I493,I493,J493))</x:f>
        <x:v>This trip is not available to the current browser account. Its original device copy remains preserved in its owner scope.</x:v>
      </x:c>
      <x:c r="L493" s="74" t="str">
        <x:f>IF(J493="","Keep current",IF(J493=I493,"Use suggestion","Custom"))</x:f>
        <x:v>Keep current</x:v>
      </x:c>
      <x:c r="M493" s="71" t="str">
        <x:v>Pending review</x:v>
      </x:c>
      <x:c r="N493" s="71" t="str">
        <x:v>High</x:v>
      </x:c>
      <x:c r="O493" s="71" t="str">
        <x:v>app/journey/new/trip-builder.tsx</x:v>
      </x:c>
      <x:c r="P493" s="71" t="str">
        <x:v>TripBuilderDocument:1762</x:v>
      </x:c>
      <x:c r="Q493" s="71" t="str">
        <x:v>EN (default / shared)</x:v>
      </x:c>
      <x:c r="R493" s="71" t="str">
        <x:v>Already clear and direct; suggested wording intentionally keeps the current copy. Terminology watch: ‘trip’ and ‘journey’ both describe the same plan. Terminology watch: ‘stops’, ‘destinations’ and ‘places’ overlap.</x:v>
      </x:c>
      <x:c r="S493" s="75" t="str">
        <x:v>Not applied — review required</x:v>
      </x:c>
    </x:row>
    <x:row r="494">
      <x:c r="A494" s="71" t="str">
        <x:v>MRV-C36D88F234</x:v>
      </x:c>
      <x:c r="B494" s="71" t="str">
        <x:v>Planning</x:v>
      </x:c>
      <x:c r="C494" s="71" t="str">
        <x:v>New trip builder</x:v>
      </x:c>
      <x:c r="D494" s="71" t="str">
        <x:v>/journey/new/trip-builder</x:v>
      </x:c>
      <x:c r="E494" s="71" t="str">
        <x:v>TripBuilderDocument</x:v>
      </x:c>
      <x:c r="F494" s="71" t="str">
        <x:v>Default</x:v>
      </x:c>
      <x:c r="G494" s="71" t="str">
        <x:v>Label</x:v>
      </x:c>
      <x:c r="H494" s="71" t="str">
        <x:v>ONE QUICK CHECK</x:v>
      </x:c>
      <x:c r="I494" s="71" t="str">
        <x:v>ONE QUICK CHECK</x:v>
      </x:c>
      <x:c r="J494" s="73"/>
      <x:c r="K494" s="74" t="str">
        <x:f>IF(J494="",H494,IF(J494=I494,I494,J494))</x:f>
        <x:v>ONE QUICK CHECK</x:v>
      </x:c>
      <x:c r="L494" s="74" t="str">
        <x:f>IF(J494="","Keep current",IF(J494=I494,"Use suggestion","Custom"))</x:f>
        <x:v>Keep current</x:v>
      </x:c>
      <x:c r="M494" s="71" t="str">
        <x:v>Pending review</x:v>
      </x:c>
      <x:c r="N494" s="71" t="str">
        <x:v>Normal</x:v>
      </x:c>
      <x:c r="O494" s="71" t="str">
        <x:v>app/journey/new/trip-builder.tsx</x:v>
      </x:c>
      <x:c r="P494" s="71" t="str">
        <x:v>TripBuilderDocument:1793</x:v>
      </x:c>
      <x:c r="Q494" s="71" t="str">
        <x:v>EN (default / shared)</x:v>
      </x:c>
      <x:c r="R494" s="71" t="str">
        <x:v>Already clear and direct; suggested wording intentionally keeps the current copy.</x:v>
      </x:c>
      <x:c r="S494" s="75" t="str">
        <x:v>Not applied — review required</x:v>
      </x:c>
    </x:row>
    <x:row r="495">
      <x:c r="A495" s="71" t="str">
        <x:v>MRV-A9ECA3E700</x:v>
      </x:c>
      <x:c r="B495" s="71" t="str">
        <x:v>Planning</x:v>
      </x:c>
      <x:c r="C495" s="71" t="str">
        <x:v>New trip builder</x:v>
      </x:c>
      <x:c r="D495" s="71" t="str">
        <x:v>/journey/new/trip-builder</x:v>
      </x:c>
      <x:c r="E495" s="71" t="str">
        <x:v>TripBuilderDocument</x:v>
      </x:c>
      <x:c r="F495" s="71" t="str">
        <x:v>Default</x:v>
      </x:c>
      <x:c r="G495" s="71" t="str">
        <x:v>Prompt / question</x:v>
      </x:c>
      <x:c r="H495" s="71" t="str">
        <x:v>Which place did you mean?</x:v>
      </x:c>
      <x:c r="I495" s="71" t="str">
        <x:v>Which place did you mean?</x:v>
      </x:c>
      <x:c r="J495" s="73"/>
      <x:c r="K495" s="74" t="str">
        <x:f>IF(J495="",H495,IF(J495=I495,I495,J495))</x:f>
        <x:v>Which place did you mean?</x:v>
      </x:c>
      <x:c r="L495" s="74" t="str">
        <x:f>IF(J495="","Keep current",IF(J495=I495,"Use suggestion","Custom"))</x:f>
        <x:v>Keep current</x:v>
      </x:c>
      <x:c r="M495" s="71" t="str">
        <x:v>Pending review</x:v>
      </x:c>
      <x:c r="N495" s="71" t="str">
        <x:v>Normal</x:v>
      </x:c>
      <x:c r="O495" s="71" t="str">
        <x:v>app/journey/new/trip-builder.tsx</x:v>
      </x:c>
      <x:c r="P495" s="71" t="str">
        <x:v>TripBuilderDocument:1793</x:v>
      </x:c>
      <x:c r="Q495" s="71" t="str">
        <x:v>EN (default / shared)</x:v>
      </x:c>
      <x:c r="R495" s="71" t="str">
        <x:v>Already clear and direct; suggested wording intentionally keeps the current copy. Terminology watch: ‘trip’ and ‘journey’ both describe the same plan. Terminology watch: ‘stops’, ‘destinations’ and ‘places’ overlap.</x:v>
      </x:c>
      <x:c r="S495" s="75" t="str">
        <x:v>Not applied — review required</x:v>
      </x:c>
    </x:row>
    <x:row r="496">
      <x:c r="A496" s="71" t="str">
        <x:v>MRV-A11A073CC2</x:v>
      </x:c>
      <x:c r="B496" s="71" t="str">
        <x:v>Planning</x:v>
      </x:c>
      <x:c r="C496" s="71" t="str">
        <x:v>New trip builder</x:v>
      </x:c>
      <x:c r="D496" s="71" t="str">
        <x:v>/journey/new/trip-builder</x:v>
      </x:c>
      <x:c r="E496" s="71" t="str">
        <x:v>TripBuilderDocument</x:v>
      </x:c>
      <x:c r="F496" s="71" t="str">
        <x:v>Default</x:v>
      </x:c>
      <x:c r="G496" s="71" t="str">
        <x:v>Body copy</x:v>
      </x:c>
      <x:c r="H496" s="71" t="str">
        <x:v>We only ask when a place name could point to more than one location.</x:v>
      </x:c>
      <x:c r="I496" s="71" t="str">
        <x:v>We only ask when a place name could point to more than one location.</x:v>
      </x:c>
      <x:c r="J496" s="73"/>
      <x:c r="K496" s="74" t="str">
        <x:f>IF(J496="",H496,IF(J496=I496,I496,J496))</x:f>
        <x:v>We only ask when a place name could point to more than one location.</x:v>
      </x:c>
      <x:c r="L496" s="74" t="str">
        <x:f>IF(J496="","Keep current",IF(J496=I496,"Use suggestion","Custom"))</x:f>
        <x:v>Keep current</x:v>
      </x:c>
      <x:c r="M496" s="71" t="str">
        <x:v>Pending review</x:v>
      </x:c>
      <x:c r="N496" s="71" t="str">
        <x:v>Normal</x:v>
      </x:c>
      <x:c r="O496" s="71" t="str">
        <x:v>app/journey/new/trip-builder.tsx</x:v>
      </x:c>
      <x:c r="P496" s="71" t="str">
        <x:v>TripBuilderDocument:1793</x:v>
      </x:c>
      <x:c r="Q496" s="71" t="str">
        <x:v>EN (default / shared)</x:v>
      </x:c>
      <x:c r="R496" s="71" t="str">
        <x:v>Already clear and direct; suggested wording intentionally keeps the current copy. Terminology watch: ‘trip’ and ‘journey’ both describe the same plan. Terminology watch: ‘stops’, ‘destinations’ and ‘places’ overlap.</x:v>
      </x:c>
      <x:c r="S496" s="75" t="str">
        <x:v>Not applied — review required</x:v>
      </x:c>
    </x:row>
    <x:row r="497">
      <x:c r="A497" s="71" t="str">
        <x:v>MRV-26E719FFB6</x:v>
      </x:c>
      <x:c r="B497" s="71" t="str">
        <x:v>Planning</x:v>
      </x:c>
      <x:c r="C497" s="71" t="str">
        <x:v>New trip builder</x:v>
      </x:c>
      <x:c r="D497" s="71" t="str">
        <x:v>/journey/new/trip-builder</x:v>
      </x:c>
      <x:c r="E497" s="71" t="str">
        <x:v>TripBuilderDocument</x:v>
      </x:c>
      <x:c r="F497" s="71" t="str">
        <x:v>Accessibility / input support</x:v>
      </x:c>
      <x:c r="G497" s="71" t="str">
        <x:v>Accessibility label</x:v>
      </x:c>
      <x:c r="H497" s="71" t="str">
        <x:v>Trip brief progress</x:v>
      </x:c>
      <x:c r="I497" s="71" t="str">
        <x:v>Trip brief progress</x:v>
      </x:c>
      <x:c r="J497" s="73"/>
      <x:c r="K497" s="74" t="str">
        <x:f>IF(J497="",H497,IF(J497=I497,I497,J497))</x:f>
        <x:v>Trip brief progress</x:v>
      </x:c>
      <x:c r="L497" s="74" t="str">
        <x:f>IF(J497="","Keep current",IF(J497=I497,"Use suggestion","Custom"))</x:f>
        <x:v>Keep current</x:v>
      </x:c>
      <x:c r="M497" s="71" t="str">
        <x:v>Pending review</x:v>
      </x:c>
      <x:c r="N497" s="71" t="str">
        <x:v>Medium</x:v>
      </x:c>
      <x:c r="O497" s="71" t="str">
        <x:v>app/journey/new/trip-builder.tsx</x:v>
      </x:c>
      <x:c r="P497" s="71" t="str">
        <x:v>TripBuilderDocument:1794</x:v>
      </x:c>
      <x:c r="Q497" s="71" t="str">
        <x:v>EN (default / shared)</x:v>
      </x:c>
      <x:c r="R497" s="71" t="str">
        <x:v>Already clear and direct; suggested wording intentionally keeps the current copy. Terminology watch: ‘trip’ and ‘journey’ both describe the same plan. Terminology watch: ‘stops’, ‘destinations’ and ‘places’ overlap.</x:v>
      </x:c>
      <x:c r="S497" s="75" t="str">
        <x:v>Not applied — review required</x:v>
      </x:c>
    </x:row>
    <x:row r="498">
      <x:c r="A498" s="71" t="str">
        <x:v>MRV-C845CF3B82</x:v>
      </x:c>
      <x:c r="B498" s="71" t="str">
        <x:v>Planning</x:v>
      </x:c>
      <x:c r="C498" s="71" t="str">
        <x:v>New trip builder</x:v>
      </x:c>
      <x:c r="D498" s="71" t="str">
        <x:v>/journey/new/trip-builder</x:v>
      </x:c>
      <x:c r="E498" s="71" t="str">
        <x:v>TripBuilderDocument</x:v>
      </x:c>
      <x:c r="F498" s="71" t="str">
        <x:v>Default</x:v>
      </x:c>
      <x:c r="G498" s="71" t="str">
        <x:v>Label</x:v>
      </x:c>
      <x:c r="H498" s="71" t="str">
        <x:v>PASO 1 DE 2</x:v>
      </x:c>
      <x:c r="I498" s="71" t="str">
        <x:v>PASO 1 DE 2</x:v>
      </x:c>
      <x:c r="J498" s="73"/>
      <x:c r="K498" s="74" t="str">
        <x:f>IF(J498="",H498,IF(J498=I498,I498,J498))</x:f>
        <x:v>PASO 1 DE 2</x:v>
      </x:c>
      <x:c r="L498" s="74" t="str">
        <x:f>IF(J498="","Keep current",IF(J498=I498,"Use suggestion","Custom"))</x:f>
        <x:v>Keep current</x:v>
      </x:c>
      <x:c r="M498" s="71" t="str">
        <x:v>Pending review</x:v>
      </x:c>
      <x:c r="N498" s="71" t="str">
        <x:v>Normal</x:v>
      </x:c>
      <x:c r="O498" s="71" t="str">
        <x:v>app/journey/new/trip-builder.tsx</x:v>
      </x:c>
      <x:c r="P498" s="71" t="str">
        <x:v>TripBuilderDocument:1819</x:v>
      </x:c>
      <x:c r="Q498" s="71" t="str">
        <x:v>ES</x:v>
      </x:c>
      <x:c r="R498" s="71" t="str">
        <x:v>Already clear and direct; suggested wording intentionally keeps the current copy.</x:v>
      </x:c>
      <x:c r="S498" s="75" t="str">
        <x:v>Not applied — review required</x:v>
      </x:c>
    </x:row>
    <x:row r="499">
      <x:c r="A499" s="71" t="str">
        <x:v>MRV-A99EB1581B</x:v>
      </x:c>
      <x:c r="B499" s="71" t="str">
        <x:v>Planning</x:v>
      </x:c>
      <x:c r="C499" s="71" t="str">
        <x:v>New trip builder</x:v>
      </x:c>
      <x:c r="D499" s="71" t="str">
        <x:v>/journey/new/trip-builder</x:v>
      </x:c>
      <x:c r="E499" s="71" t="str">
        <x:v>TripBuilderDocument</x:v>
      </x:c>
      <x:c r="F499" s="71" t="str">
        <x:v>Default</x:v>
      </x:c>
      <x:c r="G499" s="71" t="str">
        <x:v>Label</x:v>
      </x:c>
      <x:c r="H499" s="71" t="str">
        <x:v>STEP 1 OF 2</x:v>
      </x:c>
      <x:c r="I499" s="71" t="str">
        <x:v>STEP 1 OF 2</x:v>
      </x:c>
      <x:c r="J499" s="73"/>
      <x:c r="K499" s="74" t="str">
        <x:f>IF(J499="",H499,IF(J499=I499,I499,J499))</x:f>
        <x:v>STEP 1 OF 2</x:v>
      </x:c>
      <x:c r="L499" s="74" t="str">
        <x:f>IF(J499="","Keep current",IF(J499=I499,"Use suggestion","Custom"))</x:f>
        <x:v>Keep current</x:v>
      </x:c>
      <x:c r="M499" s="71" t="str">
        <x:v>Pending review</x:v>
      </x:c>
      <x:c r="N499" s="71" t="str">
        <x:v>Normal</x:v>
      </x:c>
      <x:c r="O499" s="71" t="str">
        <x:v>app/journey/new/trip-builder.tsx</x:v>
      </x:c>
      <x:c r="P499" s="71" t="str">
        <x:v>TripBuilderDocument:1819</x:v>
      </x:c>
      <x:c r="Q499" s="71" t="str">
        <x:v>EN</x:v>
      </x:c>
      <x:c r="R499" s="71" t="str">
        <x:v>Already clear and direct; suggested wording intentionally keeps the current copy.</x:v>
      </x:c>
      <x:c r="S499" s="75" t="str">
        <x:v>Not applied — review required</x:v>
      </x:c>
    </x:row>
    <x:row r="500">
      <x:c r="A500" s="71" t="str">
        <x:v>MRV-5ACF46BEBE</x:v>
      </x:c>
      <x:c r="B500" s="71" t="str">
        <x:v>Planning</x:v>
      </x:c>
      <x:c r="C500" s="71" t="str">
        <x:v>New trip builder</x:v>
      </x:c>
      <x:c r="D500" s="71" t="str">
        <x:v>/journey/new/trip-builder</x:v>
      </x:c>
      <x:c r="E500" s="71" t="str">
        <x:v>TripBuilderDocument</x:v>
      </x:c>
      <x:c r="F500" s="71" t="str">
        <x:v>Default</x:v>
      </x:c>
      <x:c r="G500" s="71" t="str">
        <x:v>Label</x:v>
      </x:c>
      <x:c r="H500" s="71" t="str">
        <x:v>Cuéntanos la forma</x:v>
      </x:c>
      <x:c r="I500" s="71" t="str">
        <x:v>Cuéntanos la forma</x:v>
      </x:c>
      <x:c r="J500" s="73"/>
      <x:c r="K500" s="74" t="str">
        <x:f>IF(J500="",H500,IF(J500=I500,I500,J500))</x:f>
        <x:v>Cuéntanos la forma</x:v>
      </x:c>
      <x:c r="L500" s="74" t="str">
        <x:f>IF(J500="","Keep current",IF(J500=I500,"Use suggestion","Custom"))</x:f>
        <x:v>Keep current</x:v>
      </x:c>
      <x:c r="M500" s="71" t="str">
        <x:v>Pending review</x:v>
      </x:c>
      <x:c r="N500" s="71" t="str">
        <x:v>Normal</x:v>
      </x:c>
      <x:c r="O500" s="71" t="str">
        <x:v>app/journey/new/trip-builder.tsx</x:v>
      </x:c>
      <x:c r="P500" s="71" t="str">
        <x:v>TripBuilderDocument:1820</x:v>
      </x:c>
      <x:c r="Q500" s="71" t="str">
        <x:v>ES</x:v>
      </x:c>
      <x:c r="R500" s="71" t="str">
        <x:v>Already clear and direct; suggested wording intentionally keeps the current copy.</x:v>
      </x:c>
      <x:c r="S500" s="75" t="str">
        <x:v>Not applied — review required</x:v>
      </x:c>
    </x:row>
    <x:row r="501">
      <x:c r="A501" s="71" t="str">
        <x:v>MRV-D629EA4DB4</x:v>
      </x:c>
      <x:c r="B501" s="71" t="str">
        <x:v>Planning</x:v>
      </x:c>
      <x:c r="C501" s="71" t="str">
        <x:v>New trip builder</x:v>
      </x:c>
      <x:c r="D501" s="71" t="str">
        <x:v>/journey/new/trip-builder</x:v>
      </x:c>
      <x:c r="E501" s="71" t="str">
        <x:v>TripBuilderDocument</x:v>
      </x:c>
      <x:c r="F501" s="71" t="str">
        <x:v>Default</x:v>
      </x:c>
      <x:c r="G501" s="71" t="str">
        <x:v>Label</x:v>
      </x:c>
      <x:c r="H501" s="71" t="str">
        <x:v>Tell us the shape</x:v>
      </x:c>
      <x:c r="I501" s="71" t="str">
        <x:v>Tell us the shape</x:v>
      </x:c>
      <x:c r="J501" s="73"/>
      <x:c r="K501" s="74" t="str">
        <x:f>IF(J501="",H501,IF(J501=I501,I501,J501))</x:f>
        <x:v>Tell us the shape</x:v>
      </x:c>
      <x:c r="L501" s="74" t="str">
        <x:f>IF(J501="","Keep current",IF(J501=I501,"Use suggestion","Custom"))</x:f>
        <x:v>Keep current</x:v>
      </x:c>
      <x:c r="M501" s="71" t="str">
        <x:v>Pending review</x:v>
      </x:c>
      <x:c r="N501" s="71" t="str">
        <x:v>Normal</x:v>
      </x:c>
      <x:c r="O501" s="71" t="str">
        <x:v>app/journey/new/trip-builder.tsx</x:v>
      </x:c>
      <x:c r="P501" s="71" t="str">
        <x:v>TripBuilderDocument:1820</x:v>
      </x:c>
      <x:c r="Q501" s="71" t="str">
        <x:v>EN</x:v>
      </x:c>
      <x:c r="R501" s="71" t="str">
        <x:v>Already clear and direct; suggested wording intentionally keeps the current copy.</x:v>
      </x:c>
      <x:c r="S501" s="75" t="str">
        <x:v>Not applied — review required</x:v>
      </x:c>
    </x:row>
    <x:row r="502">
      <x:c r="A502" s="71" t="str">
        <x:v>MRV-B9BC92B9D4</x:v>
      </x:c>
      <x:c r="B502" s="71" t="str">
        <x:v>Planning</x:v>
      </x:c>
      <x:c r="C502" s="71" t="str">
        <x:v>New trip builder</x:v>
      </x:c>
      <x:c r="D502" s="71" t="str">
        <x:v>/journey/new/trip-builder</x:v>
      </x:c>
      <x:c r="E502" s="71" t="str">
        <x:v>TripBuilderDocument</x:v>
      </x:c>
      <x:c r="F502" s="71" t="str">
        <x:v>Default</x:v>
      </x:c>
      <x:c r="G502" s="71" t="str">
        <x:v>Body copy</x:v>
      </x:c>
      <x:c r="H502" s="71" t="str">
        <x:v>Comprueba lo que entendimos y completa cualquier detalle.</x:v>
      </x:c>
      <x:c r="I502" s="71" t="str">
        <x:v>Comprueba lo que entendimos y completa cualquier detalle.</x:v>
      </x:c>
      <x:c r="J502" s="73"/>
      <x:c r="K502" s="74" t="str">
        <x:f>IF(J502="",H502,IF(J502=I502,I502,J502))</x:f>
        <x:v>Comprueba lo que entendimos y completa cualquier detalle.</x:v>
      </x:c>
      <x:c r="L502" s="74" t="str">
        <x:f>IF(J502="","Keep current",IF(J502=I502,"Use suggestion","Custom"))</x:f>
        <x:v>Keep current</x:v>
      </x:c>
      <x:c r="M502" s="71" t="str">
        <x:v>Pending review</x:v>
      </x:c>
      <x:c r="N502" s="71" t="str">
        <x:v>Normal</x:v>
      </x:c>
      <x:c r="O502" s="71" t="str">
        <x:v>app/journey/new/trip-builder.tsx</x:v>
      </x:c>
      <x:c r="P502" s="71" t="str">
        <x:v>TripBuilderDocument:1821</x:v>
      </x:c>
      <x:c r="Q502" s="71" t="str">
        <x:v>ES</x:v>
      </x:c>
      <x:c r="R502" s="71" t="str">
        <x:v>Already clear and direct; suggested wording intentionally keeps the current copy.</x:v>
      </x:c>
      <x:c r="S502" s="75" t="str">
        <x:v>Not applied — review required</x:v>
      </x:c>
    </x:row>
    <x:row r="503">
      <x:c r="A503" s="71" t="str">
        <x:v>MRV-64D935A45C</x:v>
      </x:c>
      <x:c r="B503" s="71" t="str">
        <x:v>Planning</x:v>
      </x:c>
      <x:c r="C503" s="71" t="str">
        <x:v>New trip builder</x:v>
      </x:c>
      <x:c r="D503" s="71" t="str">
        <x:v>/journey/new/trip-builder</x:v>
      </x:c>
      <x:c r="E503" s="71" t="str">
        <x:v>TripBuilderDocument</x:v>
      </x:c>
      <x:c r="F503" s="71" t="str">
        <x:v>Default</x:v>
      </x:c>
      <x:c r="G503" s="71" t="str">
        <x:v>CTA / button</x:v>
      </x:c>
      <x:c r="H503" s="71" t="str">
        <x:v>Check what we understood and fill any gaps.</x:v>
      </x:c>
      <x:c r="I503" s="71" t="str">
        <x:v>Check what we understood and fill any gaps.</x:v>
      </x:c>
      <x:c r="J503" s="73"/>
      <x:c r="K503" s="74" t="str">
        <x:f>IF(J503="",H503,IF(J503=I503,I503,J503))</x:f>
        <x:v>Check what we understood and fill any gaps.</x:v>
      </x:c>
      <x:c r="L503" s="74" t="str">
        <x:f>IF(J503="","Keep current",IF(J503=I503,"Use suggestion","Custom"))</x:f>
        <x:v>Keep current</x:v>
      </x:c>
      <x:c r="M503" s="71" t="str">
        <x:v>Pending review</x:v>
      </x:c>
      <x:c r="N503" s="71" t="str">
        <x:v>Medium</x:v>
      </x:c>
      <x:c r="O503" s="71" t="str">
        <x:v>app/journey/new/trip-builder.tsx</x:v>
      </x:c>
      <x:c r="P503" s="71" t="str">
        <x:v>TripBuilderDocument:1821</x:v>
      </x:c>
      <x:c r="Q503" s="71" t="str">
        <x:v>EN</x:v>
      </x:c>
      <x:c r="R503" s="71" t="str">
        <x:v>Already clear and direct; suggested wording intentionally keeps the current copy.</x:v>
      </x:c>
      <x:c r="S503" s="75" t="str">
        <x:v>Not applied — review required</x:v>
      </x:c>
    </x:row>
    <x:row r="504">
      <x:c r="A504" s="71" t="str">
        <x:v>MRV-27A81DEDBA</x:v>
      </x:c>
      <x:c r="B504" s="71" t="str">
        <x:v>Planning</x:v>
      </x:c>
      <x:c r="C504" s="71" t="str">
        <x:v>New trip builder</x:v>
      </x:c>
      <x:c r="D504" s="71" t="str">
        <x:v>/journey/new/trip-builder</x:v>
      </x:c>
      <x:c r="E504" s="71" t="str">
        <x:v>TripBuilderDocument</x:v>
      </x:c>
      <x:c r="F504" s="71" t="str">
        <x:v>Default</x:v>
      </x:c>
      <x:c r="G504" s="71" t="str">
        <x:v>Body copy</x:v>
      </x:c>
      <x:c r="H504" s="71" t="str">
        <x:v>Cuéntanos sobre tu viaje.</x:v>
      </x:c>
      <x:c r="I504" s="71" t="str">
        <x:v>Cuéntanos sobre tu viaje.</x:v>
      </x:c>
      <x:c r="J504" s="73"/>
      <x:c r="K504" s="74" t="str">
        <x:f>IF(J504="",H504,IF(J504=I504,I504,J504))</x:f>
        <x:v>Cuéntanos sobre tu viaje.</x:v>
      </x:c>
      <x:c r="L504" s="74" t="str">
        <x:f>IF(J504="","Keep current",IF(J504=I504,"Use suggestion","Custom"))</x:f>
        <x:v>Keep current</x:v>
      </x:c>
      <x:c r="M504" s="71" t="str">
        <x:v>Pending review</x:v>
      </x:c>
      <x:c r="N504" s="71" t="str">
        <x:v>Normal</x:v>
      </x:c>
      <x:c r="O504" s="71" t="str">
        <x:v>app/journey/new/trip-builder.tsx</x:v>
      </x:c>
      <x:c r="P504" s="71" t="str">
        <x:v>TripBuilderDocument:1825</x:v>
      </x:c>
      <x:c r="Q504" s="71" t="str">
        <x:v>ES</x:v>
      </x:c>
      <x:c r="R504" s="71" t="str">
        <x:v>Already clear and direct; suggested wording intentionally keeps the current copy.</x:v>
      </x:c>
      <x:c r="S504" s="75" t="str">
        <x:v>Not applied — review required</x:v>
      </x:c>
    </x:row>
    <x:row r="505">
      <x:c r="A505" s="71" t="str">
        <x:v>MRV-44BC18684F</x:v>
      </x:c>
      <x:c r="B505" s="71" t="str">
        <x:v>Planning</x:v>
      </x:c>
      <x:c r="C505" s="71" t="str">
        <x:v>New trip builder</x:v>
      </x:c>
      <x:c r="D505" s="71" t="str">
        <x:v>/journey/new/trip-builder</x:v>
      </x:c>
      <x:c r="E505" s="71" t="str">
        <x:v>TripBuilderDocument</x:v>
      </x:c>
      <x:c r="F505" s="71" t="str">
        <x:v>Default</x:v>
      </x:c>
      <x:c r="G505" s="71" t="str">
        <x:v>Body copy</x:v>
      </x:c>
      <x:c r="H505" s="71" t="str">
        <x:v>Tell us about your trip.</x:v>
      </x:c>
      <x:c r="I505" s="71" t="str">
        <x:v>Tell us about your trip.</x:v>
      </x:c>
      <x:c r="J505" s="73"/>
      <x:c r="K505" s="74" t="str">
        <x:f>IF(J505="",H505,IF(J505=I505,I505,J505))</x:f>
        <x:v>Tell us about your trip.</x:v>
      </x:c>
      <x:c r="L505" s="74" t="str">
        <x:f>IF(J505="","Keep current",IF(J505=I505,"Use suggestion","Custom"))</x:f>
        <x:v>Keep current</x:v>
      </x:c>
      <x:c r="M505" s="71" t="str">
        <x:v>Pending review</x:v>
      </x:c>
      <x:c r="N505" s="71" t="str">
        <x:v>Normal</x:v>
      </x:c>
      <x:c r="O505" s="71" t="str">
        <x:v>app/journey/new/trip-builder.tsx</x:v>
      </x:c>
      <x:c r="P505" s="71" t="str">
        <x:v>TripBuilderDocument:1825</x:v>
      </x:c>
      <x:c r="Q505" s="71" t="str">
        <x:v>EN</x:v>
      </x:c>
      <x:c r="R505" s="71" t="str">
        <x:v>Already clear and direct; suggested wording intentionally keeps the current copy. Terminology watch: ‘trip’ and ‘journey’ both describe the same plan. Terminology watch: ‘stops’, ‘destinations’ and ‘places’ overlap.</x:v>
      </x:c>
      <x:c r="S505" s="75" t="str">
        <x:v>Not applied — review required</x:v>
      </x:c>
    </x:row>
    <x:row r="506">
      <x:c r="A506" s="71" t="str">
        <x:v>MRV-B946B83147</x:v>
      </x:c>
      <x:c r="B506" s="71" t="str">
        <x:v>Planning</x:v>
      </x:c>
      <x:c r="C506" s="71" t="str">
        <x:v>New trip builder</x:v>
      </x:c>
      <x:c r="D506" s="71" t="str">
        <x:v>/journey/new/trip-builder</x:v>
      </x:c>
      <x:c r="E506" s="71" t="str">
        <x:v>TripBuilderDocument</x:v>
      </x:c>
      <x:c r="F506" s="71" t="str">
        <x:v>Default</x:v>
      </x:c>
      <x:c r="G506" s="71" t="str">
        <x:v>Body copy</x:v>
      </x:c>
      <x:c r="H506" s="71" t="str">
        <x:v>Escríbelo como se lo contarías a un compañero de viaje. Extraeremos lo que importa.</x:v>
      </x:c>
      <x:c r="I506" s="71" t="str">
        <x:v>Escríbelo como se lo contarías a un compañero de viaje. Extraeremos lo que importa.</x:v>
      </x:c>
      <x:c r="J506" s="73"/>
      <x:c r="K506" s="74" t="str">
        <x:f>IF(J506="",H506,IF(J506=I506,I506,J506))</x:f>
        <x:v>Escríbelo como se lo contarías a un compañero de viaje. Extraeremos lo que importa.</x:v>
      </x:c>
      <x:c r="L506" s="74" t="str">
        <x:f>IF(J506="","Keep current",IF(J506=I506,"Use suggestion","Custom"))</x:f>
        <x:v>Keep current</x:v>
      </x:c>
      <x:c r="M506" s="71" t="str">
        <x:v>Pending review</x:v>
      </x:c>
      <x:c r="N506" s="71" t="str">
        <x:v>Normal</x:v>
      </x:c>
      <x:c r="O506" s="71" t="str">
        <x:v>app/journey/new/trip-builder.tsx</x:v>
      </x:c>
      <x:c r="P506" s="71" t="str">
        <x:v>TripBuilderDocument:1826</x:v>
      </x:c>
      <x:c r="Q506" s="71" t="str">
        <x:v>ES</x:v>
      </x:c>
      <x:c r="R506" s="71" t="str">
        <x:v>Already clear and direct; suggested wording intentionally keeps the current copy.</x:v>
      </x:c>
      <x:c r="S506" s="75" t="str">
        <x:v>Not applied — review required</x:v>
      </x:c>
    </x:row>
    <x:row r="507">
      <x:c r="A507" s="71" t="str">
        <x:v>MRV-86F049D2AD</x:v>
      </x:c>
      <x:c r="B507" s="71" t="str">
        <x:v>Planning</x:v>
      </x:c>
      <x:c r="C507" s="71" t="str">
        <x:v>New trip builder</x:v>
      </x:c>
      <x:c r="D507" s="71" t="str">
        <x:v>/journey/new/trip-builder</x:v>
      </x:c>
      <x:c r="E507" s="71" t="str">
        <x:v>TripBuilderDocument</x:v>
      </x:c>
      <x:c r="F507" s="71" t="str">
        <x:v>Default</x:v>
      </x:c>
      <x:c r="G507" s="71" t="str">
        <x:v>Body copy</x:v>
      </x:c>
      <x:c r="H507" s="71" t="str">
        <x:v>Write it as you would tell a travel companion. We’ll pull out what matters.</x:v>
      </x:c>
      <x:c r="I507" s="71" t="str">
        <x:v>Write it as you would tell a travel companion. We’ll pull out what matters.</x:v>
      </x:c>
      <x:c r="J507" s="73"/>
      <x:c r="K507" s="74" t="str">
        <x:f>IF(J507="",H507,IF(J507=I507,I507,J507))</x:f>
        <x:v>Write it as you would tell a travel companion. We’ll pull out what matters.</x:v>
      </x:c>
      <x:c r="L507" s="74" t="str">
        <x:f>IF(J507="","Keep current",IF(J507=I507,"Use suggestion","Custom"))</x:f>
        <x:v>Keep current</x:v>
      </x:c>
      <x:c r="M507" s="71" t="str">
        <x:v>Pending review</x:v>
      </x:c>
      <x:c r="N507" s="71" t="str">
        <x:v>Normal</x:v>
      </x:c>
      <x:c r="O507" s="71" t="str">
        <x:v>app/journey/new/trip-builder.tsx</x:v>
      </x:c>
      <x:c r="P507" s="71" t="str">
        <x:v>TripBuilderDocument:1826</x:v>
      </x:c>
      <x:c r="Q507" s="71" t="str">
        <x:v>EN</x:v>
      </x:c>
      <x:c r="R507" s="71" t="str">
        <x:v>Already clear and direct; suggested wording intentionally keeps the current copy.</x:v>
      </x:c>
      <x:c r="S507" s="75" t="str">
        <x:v>Not applied — review required</x:v>
      </x:c>
    </x:row>
    <x:row r="508">
      <x:c r="A508" s="71" t="str">
        <x:v>MRV-1CE0D4A201</x:v>
      </x:c>
      <x:c r="B508" s="71" t="str">
        <x:v>Planning</x:v>
      </x:c>
      <x:c r="C508" s="71" t="str">
        <x:v>New trip builder</x:v>
      </x:c>
      <x:c r="D508" s="71" t="str">
        <x:v>/journey/new/trip-builder</x:v>
      </x:c>
      <x:c r="E508" s="71" t="str">
        <x:v>TripBuilderDocument</x:v>
      </x:c>
      <x:c r="F508" s="71" t="str">
        <x:v>Accessibility / input support</x:v>
      </x:c>
      <x:c r="G508" s="71" t="str">
        <x:v>Placeholder</x:v>
      </x:c>
      <x:c r="H508" s="71" t="str">
        <x:v>Estoy pensando en Japón y Corea del Sur durante unas dos semanas. Tokio y los Alpes japoneses, después Seúl y Busan. Nos gusta comer bien y pasar tiempo al aire libre.</x:v>
      </x:c>
      <x:c r="I508" s="71" t="str">
        <x:v>Estoy pensando en Japón y Corea del Sur durante unas dos semanas. Tokio y los Alpes japoneses, después Seúl y Busan. Nos gusta comer bien y pasar tiempo al aire libre.</x:v>
      </x:c>
      <x:c r="J508" s="73"/>
      <x:c r="K508" s="74" t="str">
        <x:f>IF(J508="",H508,IF(J508=I508,I508,J508))</x:f>
        <x:v>Estoy pensando en Japón y Corea del Sur durante unas dos semanas. Tokio y los Alpes japoneses, después Seúl y Busan. Nos gusta comer bien y pasar tiempo al aire libre.</x:v>
      </x:c>
      <x:c r="L508" s="74" t="str">
        <x:f>IF(J508="","Keep current",IF(J508=I508,"Use suggestion","Custom"))</x:f>
        <x:v>Keep current</x:v>
      </x:c>
      <x:c r="M508" s="71" t="str">
        <x:v>Pending review</x:v>
      </x:c>
      <x:c r="N508" s="71" t="str">
        <x:v>Medium</x:v>
      </x:c>
      <x:c r="O508" s="71" t="str">
        <x:v>app/journey/new/trip-builder.tsx</x:v>
      </x:c>
      <x:c r="P508" s="71" t="str">
        <x:v>TripBuilderDocument:1828</x:v>
      </x:c>
      <x:c r="Q508" s="71" t="str">
        <x:v>ES</x:v>
      </x:c>
      <x:c r="R508" s="71" t="str">
        <x:v>Already clear and direct; suggested wording intentionally keeps the current copy.</x:v>
      </x:c>
      <x:c r="S508" s="75" t="str">
        <x:v>Not applied — review required</x:v>
      </x:c>
    </x:row>
    <x:row r="509">
      <x:c r="A509" s="71" t="str">
        <x:v>MRV-4605AEB836</x:v>
      </x:c>
      <x:c r="B509" s="71" t="str">
        <x:v>Planning</x:v>
      </x:c>
      <x:c r="C509" s="71" t="str">
        <x:v>New trip builder</x:v>
      </x:c>
      <x:c r="D509" s="71" t="str">
        <x:v>/journey/new/trip-builder</x:v>
      </x:c>
      <x:c r="E509" s="71" t="str">
        <x:v>TripBuilderDocument</x:v>
      </x:c>
      <x:c r="F509" s="71" t="str">
        <x:v>Accessibility / input support</x:v>
      </x:c>
      <x:c r="G509" s="71" t="str">
        <x:v>Placeholder</x:v>
      </x:c>
      <x:c r="H509" s="71" t="str">
        <x:v>Thinking Japan and South Korea for about two weeks. Tokyo and the Japanese Alps, then Seoul and Busan. We like good food and some time outdoors.</x:v>
      </x:c>
      <x:c r="I509" s="71" t="str">
        <x:v>Thinking Japan and South Korea for about two weeks. Tokyo and the Japanese Alps, then Seoul and Busan. We like good food and some time outdoors.</x:v>
      </x:c>
      <x:c r="J509" s="73"/>
      <x:c r="K509" s="74" t="str">
        <x:f>IF(J509="",H509,IF(J509=I509,I509,J509))</x:f>
        <x:v>Thinking Japan and South Korea for about two weeks. Tokyo and the Japanese Alps, then Seoul and Busan. We like good food and some time outdoors.</x:v>
      </x:c>
      <x:c r="L509" s="74" t="str">
        <x:f>IF(J509="","Keep current",IF(J509=I509,"Use suggestion","Custom"))</x:f>
        <x:v>Keep current</x:v>
      </x:c>
      <x:c r="M509" s="71" t="str">
        <x:v>Pending review</x:v>
      </x:c>
      <x:c r="N509" s="71" t="str">
        <x:v>Medium</x:v>
      </x:c>
      <x:c r="O509" s="71" t="str">
        <x:v>app/journey/new/trip-builder.tsx</x:v>
      </x:c>
      <x:c r="P509" s="71" t="str">
        <x:v>TripBuilderDocument:1828</x:v>
      </x:c>
      <x:c r="Q509" s="71" t="str">
        <x:v>EN</x:v>
      </x:c>
      <x:c r="R509" s="71" t="str">
        <x:v>Already clear and direct; suggested wording intentionally keeps the current copy.</x:v>
      </x:c>
      <x:c r="S509" s="75" t="str">
        <x:v>Not applied — review required</x:v>
      </x:c>
    </x:row>
    <x:row r="510">
      <x:c r="A510" s="71" t="str">
        <x:v>MRV-217BF7606A</x:v>
      </x:c>
      <x:c r="B510" s="71" t="str">
        <x:v>Planning</x:v>
      </x:c>
      <x:c r="C510" s="71" t="str">
        <x:v>New trip builder</x:v>
      </x:c>
      <x:c r="D510" s="71" t="str">
        <x:v>/journey/new/trip-builder</x:v>
      </x:c>
      <x:c r="E510" s="71" t="str">
        <x:v>TripBuilderDocument</x:v>
      </x:c>
      <x:c r="F510" s="71" t="str">
        <x:v>Default</x:v>
      </x:c>
      <x:c r="G510" s="71" t="str">
        <x:v>Label</x:v>
      </x:c>
      <x:c r="H510" s="71" t="str">
        <x:v>Continuar</x:v>
      </x:c>
      <x:c r="I510" s="71" t="str">
        <x:v>Continuar</x:v>
      </x:c>
      <x:c r="J510" s="73"/>
      <x:c r="K510" s="74" t="str">
        <x:f>IF(J510="",H510,IF(J510=I510,I510,J510))</x:f>
        <x:v>Continuar</x:v>
      </x:c>
      <x:c r="L510" s="74" t="str">
        <x:f>IF(J510="","Keep current",IF(J510=I510,"Use suggestion","Custom"))</x:f>
        <x:v>Keep current</x:v>
      </x:c>
      <x:c r="M510" s="71" t="str">
        <x:v>Pending review</x:v>
      </x:c>
      <x:c r="N510" s="71" t="str">
        <x:v>Normal</x:v>
      </x:c>
      <x:c r="O510" s="71" t="str">
        <x:v>app/journey/new/trip-builder.tsx</x:v>
      </x:c>
      <x:c r="P510" s="71" t="str">
        <x:v>TripBuilderDocument:1831</x:v>
      </x:c>
      <x:c r="Q510" s="71" t="str">
        <x:v>ES</x:v>
      </x:c>
      <x:c r="R510" s="71" t="str">
        <x:v>Already clear and direct; suggested wording intentionally keeps the current copy.</x:v>
      </x:c>
      <x:c r="S510" s="75" t="str">
        <x:v>Not applied — review required</x:v>
      </x:c>
    </x:row>
    <x:row r="511">
      <x:c r="A511" s="71" t="str">
        <x:v>MRV-1C09F54B15</x:v>
      </x:c>
      <x:c r="B511" s="71" t="str">
        <x:v>Planning</x:v>
      </x:c>
      <x:c r="C511" s="71" t="str">
        <x:v>New trip builder</x:v>
      </x:c>
      <x:c r="D511" s="71" t="str">
        <x:v>/journey/new/trip-builder</x:v>
      </x:c>
      <x:c r="E511" s="71" t="str">
        <x:v>TripBuilderDocument</x:v>
      </x:c>
      <x:c r="F511" s="71" t="str">
        <x:v>Default</x:v>
      </x:c>
      <x:c r="G511" s="71" t="str">
        <x:v>CTA / button</x:v>
      </x:c>
      <x:c r="H511" s="71" t="str">
        <x:v>Continue</x:v>
      </x:c>
      <x:c r="I511" s="71" t="str">
        <x:v>Continue</x:v>
      </x:c>
      <x:c r="J511" s="73"/>
      <x:c r="K511" s="74" t="str">
        <x:f>IF(J511="",H511,IF(J511=I511,I511,J511))</x:f>
        <x:v>Continue</x:v>
      </x:c>
      <x:c r="L511" s="74" t="str">
        <x:f>IF(J511="","Keep current",IF(J511=I511,"Use suggestion","Custom"))</x:f>
        <x:v>Keep current</x:v>
      </x:c>
      <x:c r="M511" s="71" t="str">
        <x:v>Pending review</x:v>
      </x:c>
      <x:c r="N511" s="71" t="str">
        <x:v>Medium</x:v>
      </x:c>
      <x:c r="O511" s="71" t="str">
        <x:v>app/journey/new/trip-builder.tsx</x:v>
      </x:c>
      <x:c r="P511" s="71" t="str">
        <x:v>TripBuilderDocument:1831</x:v>
      </x:c>
      <x:c r="Q511" s="71" t="str">
        <x:v>EN</x:v>
      </x:c>
      <x:c r="R511" s="71" t="str">
        <x:v>Already clear and direct; suggested wording intentionally keeps the current copy.</x:v>
      </x:c>
      <x:c r="S511" s="75" t="str">
        <x:v>Not applied — review required</x:v>
      </x:c>
    </x:row>
    <x:row r="512">
      <x:c r="A512" s="71" t="str">
        <x:v>MRV-FA850EFB6A</x:v>
      </x:c>
      <x:c r="B512" s="71" t="str">
        <x:v>Planning</x:v>
      </x:c>
      <x:c r="C512" s="71" t="str">
        <x:v>New trip builder</x:v>
      </x:c>
      <x:c r="D512" s="71" t="str">
        <x:v>/journey/new/trip-builder</x:v>
      </x:c>
      <x:c r="E512" s="71" t="str">
        <x:v>TripBuilderDocument</x:v>
      </x:c>
      <x:c r="F512" s="71" t="str">
        <x:v>Default</x:v>
      </x:c>
      <x:c r="G512" s="71" t="str">
        <x:v>Body copy</x:v>
      </x:c>
      <x:c r="H512" s="71" t="str">
        <x:v>Puedes ajustar todo lo que extraigamos.</x:v>
      </x:c>
      <x:c r="I512" s="71" t="str">
        <x:v>Puedes ajustar todo lo que extraigamos.</x:v>
      </x:c>
      <x:c r="J512" s="73"/>
      <x:c r="K512" s="74" t="str">
        <x:f>IF(J512="",H512,IF(J512=I512,I512,J512))</x:f>
        <x:v>Puedes ajustar todo lo que extraigamos.</x:v>
      </x:c>
      <x:c r="L512" s="74" t="str">
        <x:f>IF(J512="","Keep current",IF(J512=I512,"Use suggestion","Custom"))</x:f>
        <x:v>Keep current</x:v>
      </x:c>
      <x:c r="M512" s="71" t="str">
        <x:v>Pending review</x:v>
      </x:c>
      <x:c r="N512" s="71" t="str">
        <x:v>Normal</x:v>
      </x:c>
      <x:c r="O512" s="71" t="str">
        <x:v>app/journey/new/trip-builder.tsx</x:v>
      </x:c>
      <x:c r="P512" s="71" t="str">
        <x:v>TripBuilderDocument:1832</x:v>
      </x:c>
      <x:c r="Q512" s="71" t="str">
        <x:v>ES</x:v>
      </x:c>
      <x:c r="R512" s="71" t="str">
        <x:v>Already clear and direct; suggested wording intentionally keeps the current copy.</x:v>
      </x:c>
      <x:c r="S512" s="75" t="str">
        <x:v>Not applied — review required</x:v>
      </x:c>
    </x:row>
    <x:row r="513">
      <x:c r="A513" s="71" t="str">
        <x:v>MRV-063E5089B9</x:v>
      </x:c>
      <x:c r="B513" s="71" t="str">
        <x:v>Planning</x:v>
      </x:c>
      <x:c r="C513" s="71" t="str">
        <x:v>New trip builder</x:v>
      </x:c>
      <x:c r="D513" s="71" t="str">
        <x:v>/journey/new/trip-builder</x:v>
      </x:c>
      <x:c r="E513" s="71" t="str">
        <x:v>TripBuilderDocument</x:v>
      </x:c>
      <x:c r="F513" s="71" t="str">
        <x:v>Default</x:v>
      </x:c>
      <x:c r="G513" s="71" t="str">
        <x:v>Body copy</x:v>
      </x:c>
      <x:c r="H513" s="71" t="str">
        <x:v>You can adjust anything we extract.</x:v>
      </x:c>
      <x:c r="I513" s="71" t="str">
        <x:v>You can adjust anything we extract.</x:v>
      </x:c>
      <x:c r="J513" s="73"/>
      <x:c r="K513" s="74" t="str">
        <x:f>IF(J513="",H513,IF(J513=I513,I513,J513))</x:f>
        <x:v>You can adjust anything we extract.</x:v>
      </x:c>
      <x:c r="L513" s="74" t="str">
        <x:f>IF(J513="","Keep current",IF(J513=I513,"Use suggestion","Custom"))</x:f>
        <x:v>Keep current</x:v>
      </x:c>
      <x:c r="M513" s="71" t="str">
        <x:v>Pending review</x:v>
      </x:c>
      <x:c r="N513" s="71" t="str">
        <x:v>Normal</x:v>
      </x:c>
      <x:c r="O513" s="71" t="str">
        <x:v>app/journey/new/trip-builder.tsx</x:v>
      </x:c>
      <x:c r="P513" s="71" t="str">
        <x:v>TripBuilderDocument:1832</x:v>
      </x:c>
      <x:c r="Q513" s="71" t="str">
        <x:v>EN</x:v>
      </x:c>
      <x:c r="R513" s="71" t="str">
        <x:v>Already clear and direct; suggested wording intentionally keeps the current copy.</x:v>
      </x:c>
      <x:c r="S513" s="75" t="str">
        <x:v>Not applied — review required</x:v>
      </x:c>
    </x:row>
    <x:row r="514">
      <x:c r="A514" s="71" t="str">
        <x:v>MRV-8FBC5A149A</x:v>
      </x:c>
      <x:c r="B514" s="71" t="str">
        <x:v>Planning</x:v>
      </x:c>
      <x:c r="C514" s="71" t="str">
        <x:v>New trip builder</x:v>
      </x:c>
      <x:c r="D514" s="71" t="str">
        <x:v>/journey/new/trip-builder</x:v>
      </x:c>
      <x:c r="E514" s="71" t="str">
        <x:v>TripBuilderDocument</x:v>
      </x:c>
      <x:c r="F514" s="71" t="str">
        <x:v>Accessibility / input support</x:v>
      </x:c>
      <x:c r="G514" s="71" t="str">
        <x:v>Accessibility label</x:v>
      </x:c>
      <x:c r="H514" s="71" t="str">
        <x:v>Tu estilo de viaje</x:v>
      </x:c>
      <x:c r="I514" s="71" t="str">
        <x:v>Tu estilo de viaje</x:v>
      </x:c>
      <x:c r="J514" s="73"/>
      <x:c r="K514" s="74" t="str">
        <x:f>IF(J514="",H514,IF(J514=I514,I514,J514))</x:f>
        <x:v>Tu estilo de viaje</x:v>
      </x:c>
      <x:c r="L514" s="74" t="str">
        <x:f>IF(J514="","Keep current",IF(J514=I514,"Use suggestion","Custom"))</x:f>
        <x:v>Keep current</x:v>
      </x:c>
      <x:c r="M514" s="71" t="str">
        <x:v>Pending review</x:v>
      </x:c>
      <x:c r="N514" s="71" t="str">
        <x:v>Medium</x:v>
      </x:c>
      <x:c r="O514" s="71" t="str">
        <x:v>app/journey/new/trip-builder.tsx</x:v>
      </x:c>
      <x:c r="P514" s="71" t="str">
        <x:v>TripBuilderDocument:1834</x:v>
      </x:c>
      <x:c r="Q514" s="71" t="str">
        <x:v>ES</x:v>
      </x:c>
      <x:c r="R514" s="71" t="str">
        <x:v>Already clear and direct; suggested wording intentionally keeps the current copy. Duplicate wording: appears 2 times.</x:v>
      </x:c>
      <x:c r="S514" s="75" t="str">
        <x:v>Not applied — review required</x:v>
      </x:c>
    </x:row>
    <x:row r="515">
      <x:c r="A515" s="71" t="str">
        <x:v>MRV-25DC56876C</x:v>
      </x:c>
      <x:c r="B515" s="71" t="str">
        <x:v>Planning</x:v>
      </x:c>
      <x:c r="C515" s="71" t="str">
        <x:v>New trip builder</x:v>
      </x:c>
      <x:c r="D515" s="71" t="str">
        <x:v>/journey/new/trip-builder</x:v>
      </x:c>
      <x:c r="E515" s="71" t="str">
        <x:v>TripBuilderDocument</x:v>
      </x:c>
      <x:c r="F515" s="71" t="str">
        <x:v>Accessibility / input support</x:v>
      </x:c>
      <x:c r="G515" s="71" t="str">
        <x:v>Accessibility label</x:v>
      </x:c>
      <x:c r="H515" s="71" t="str">
        <x:v>Your travel style</x:v>
      </x:c>
      <x:c r="I515" s="71" t="str">
        <x:v>Your travel style</x:v>
      </x:c>
      <x:c r="J515" s="73"/>
      <x:c r="K515" s="74" t="str">
        <x:f>IF(J515="",H515,IF(J515=I515,I515,J515))</x:f>
        <x:v>Your travel style</x:v>
      </x:c>
      <x:c r="L515" s="74" t="str">
        <x:f>IF(J515="","Keep current",IF(J515=I515,"Use suggestion","Custom"))</x:f>
        <x:v>Keep current</x:v>
      </x:c>
      <x:c r="M515" s="71" t="str">
        <x:v>Pending review</x:v>
      </x:c>
      <x:c r="N515" s="71" t="str">
        <x:v>Medium</x:v>
      </x:c>
      <x:c r="O515" s="71" t="str">
        <x:v>app/journey/new/trip-builder.tsx</x:v>
      </x:c>
      <x:c r="P515" s="71" t="str">
        <x:v>TripBuilderDocument:1834</x:v>
      </x:c>
      <x:c r="Q515" s="71" t="str">
        <x:v>EN</x:v>
      </x:c>
      <x:c r="R515" s="71" t="str">
        <x:v>Already clear and direct; suggested wording intentionally keeps the current copy. Duplicate wording: appears 2 times.</x:v>
      </x:c>
      <x:c r="S515" s="75" t="str">
        <x:v>Not applied — review required</x:v>
      </x:c>
    </x:row>
    <x:row r="516">
      <x:c r="A516" s="71" t="str">
        <x:v>MRV-FFED2666F3</x:v>
      </x:c>
      <x:c r="B516" s="71" t="str">
        <x:v>Planning</x:v>
      </x:c>
      <x:c r="C516" s="71" t="str">
        <x:v>New trip builder</x:v>
      </x:c>
      <x:c r="D516" s="71" t="str">
        <x:v>/journey/new/trip-builder</x:v>
      </x:c>
      <x:c r="E516" s="71" t="str">
        <x:v>TripBuilderDocument</x:v>
      </x:c>
      <x:c r="F516" s="71" t="str">
        <x:v>Default</x:v>
      </x:c>
      <x:c r="G516" s="71" t="str">
        <x:v>Label</x:v>
      </x:c>
      <x:c r="H516" s="71" t="str">
        <x:v>TU ESTILO DE VIAJE</x:v>
      </x:c>
      <x:c r="I516" s="71" t="str">
        <x:v>TU ESTILO DE VIAJE</x:v>
      </x:c>
      <x:c r="J516" s="73"/>
      <x:c r="K516" s="74" t="str">
        <x:f>IF(J516="",H516,IF(J516=I516,I516,J516))</x:f>
        <x:v>TU ESTILO DE VIAJE</x:v>
      </x:c>
      <x:c r="L516" s="74" t="str">
        <x:f>IF(J516="","Keep current",IF(J516=I516,"Use suggestion","Custom"))</x:f>
        <x:v>Keep current</x:v>
      </x:c>
      <x:c r="M516" s="71" t="str">
        <x:v>Pending review</x:v>
      </x:c>
      <x:c r="N516" s="71" t="str">
        <x:v>Normal</x:v>
      </x:c>
      <x:c r="O516" s="71" t="str">
        <x:v>app/journey/new/trip-builder.tsx</x:v>
      </x:c>
      <x:c r="P516" s="71" t="str">
        <x:v>TripBuilderDocument:1835</x:v>
      </x:c>
      <x:c r="Q516" s="71" t="str">
        <x:v>ES</x:v>
      </x:c>
      <x:c r="R516" s="71" t="str">
        <x:v>Already clear and direct; suggested wording intentionally keeps the current copy. Duplicate wording: appears 2 times.</x:v>
      </x:c>
      <x:c r="S516" s="75" t="str">
        <x:v>Not applied — review required</x:v>
      </x:c>
    </x:row>
    <x:row r="517">
      <x:c r="A517" s="71" t="str">
        <x:v>MRV-483E7E76D9</x:v>
      </x:c>
      <x:c r="B517" s="71" t="str">
        <x:v>Planning</x:v>
      </x:c>
      <x:c r="C517" s="71" t="str">
        <x:v>New trip builder</x:v>
      </x:c>
      <x:c r="D517" s="71" t="str">
        <x:v>/journey/new/trip-builder</x:v>
      </x:c>
      <x:c r="E517" s="71" t="str">
        <x:v>TripBuilderDocument</x:v>
      </x:c>
      <x:c r="F517" s="71" t="str">
        <x:v>Default</x:v>
      </x:c>
      <x:c r="G517" s="71" t="str">
        <x:v>Label</x:v>
      </x:c>
      <x:c r="H517" s="71" t="str">
        <x:v>YOUR TRAVEL STYLE</x:v>
      </x:c>
      <x:c r="I517" s="71" t="str">
        <x:v>YOUR TRAVEL STYLE</x:v>
      </x:c>
      <x:c r="J517" s="73"/>
      <x:c r="K517" s="74" t="str">
        <x:f>IF(J517="",H517,IF(J517=I517,I517,J517))</x:f>
        <x:v>YOUR TRAVEL STYLE</x:v>
      </x:c>
      <x:c r="L517" s="74" t="str">
        <x:f>IF(J517="","Keep current",IF(J517=I517,"Use suggestion","Custom"))</x:f>
        <x:v>Keep current</x:v>
      </x:c>
      <x:c r="M517" s="71" t="str">
        <x:v>Pending review</x:v>
      </x:c>
      <x:c r="N517" s="71" t="str">
        <x:v>Normal</x:v>
      </x:c>
      <x:c r="O517" s="71" t="str">
        <x:v>app/journey/new/trip-builder.tsx</x:v>
      </x:c>
      <x:c r="P517" s="71" t="str">
        <x:v>TripBuilderDocument:1835</x:v>
      </x:c>
      <x:c r="Q517" s="71" t="str">
        <x:v>EN</x:v>
      </x:c>
      <x:c r="R517" s="71" t="str">
        <x:v>Already clear and direct; suggested wording intentionally keeps the current copy. Duplicate wording: appears 2 times.</x:v>
      </x:c>
      <x:c r="S517" s="75" t="str">
        <x:v>Not applied — review required</x:v>
      </x:c>
    </x:row>
    <x:row r="518">
      <x:c r="A518" s="71" t="str">
        <x:v>MRV-088D4F0046</x:v>
      </x:c>
      <x:c r="B518" s="71" t="str">
        <x:v>Planning</x:v>
      </x:c>
      <x:c r="C518" s="71" t="str">
        <x:v>New trip builder</x:v>
      </x:c>
      <x:c r="D518" s="71" t="str">
        <x:v>/journey/new/trip-builder</x:v>
      </x:c>
      <x:c r="E518" s="71" t="str">
        <x:v>TripBuilderDocument</x:v>
      </x:c>
      <x:c r="F518" s="71" t="str">
        <x:v>Default</x:v>
      </x:c>
      <x:c r="G518" s="71" t="str">
        <x:v>CTA / button</x:v>
      </x:c>
      <x:c r="H518" s="71" t="str">
        <x:v>Editar</x:v>
      </x:c>
      <x:c r="I518" s="71" t="str">
        <x:v>Editar</x:v>
      </x:c>
      <x:c r="J518" s="73"/>
      <x:c r="K518" s="74" t="str">
        <x:f>IF(J518="",H518,IF(J518=I518,I518,J518))</x:f>
        <x:v>Editar</x:v>
      </x:c>
      <x:c r="L518" s="74" t="str">
        <x:f>IF(J518="","Keep current",IF(J518=I518,"Use suggestion","Custom"))</x:f>
        <x:v>Keep current</x:v>
      </x:c>
      <x:c r="M518" s="71" t="str">
        <x:v>Pending review</x:v>
      </x:c>
      <x:c r="N518" s="71" t="str">
        <x:v>Medium</x:v>
      </x:c>
      <x:c r="O518" s="71" t="str">
        <x:v>app/journey/new/trip-builder.tsx</x:v>
      </x:c>
      <x:c r="P518" s="71" t="str">
        <x:v>TripBuilderDocument:1835</x:v>
      </x:c>
      <x:c r="Q518" s="71" t="str">
        <x:v>ES</x:v>
      </x:c>
      <x:c r="R518" s="71" t="str">
        <x:v>Already clear and direct; suggested wording intentionally keeps the current copy. Duplicate wording: appears 4 times.</x:v>
      </x:c>
      <x:c r="S518" s="75" t="str">
        <x:v>Not applied — review required</x:v>
      </x:c>
    </x:row>
    <x:row r="519">
      <x:c r="A519" s="71" t="str">
        <x:v>MRV-7570347076</x:v>
      </x:c>
      <x:c r="B519" s="71" t="str">
        <x:v>Planning</x:v>
      </x:c>
      <x:c r="C519" s="71" t="str">
        <x:v>New trip builder</x:v>
      </x:c>
      <x:c r="D519" s="71" t="str">
        <x:v>/journey/new/trip-builder</x:v>
      </x:c>
      <x:c r="E519" s="71" t="str">
        <x:v>TripBuilderDocument</x:v>
      </x:c>
      <x:c r="F519" s="71" t="str">
        <x:v>Default</x:v>
      </x:c>
      <x:c r="G519" s="71" t="str">
        <x:v>CTA / button</x:v>
      </x:c>
      <x:c r="H519" s="71" t="str">
        <x:v>Edit</x:v>
      </x:c>
      <x:c r="I519" s="71" t="str">
        <x:v>Edit</x:v>
      </x:c>
      <x:c r="J519" s="73"/>
      <x:c r="K519" s="74" t="str">
        <x:f>IF(J519="",H519,IF(J519=I519,I519,J519))</x:f>
        <x:v>Edit</x:v>
      </x:c>
      <x:c r="L519" s="74" t="str">
        <x:f>IF(J519="","Keep current",IF(J519=I519,"Use suggestion","Custom"))</x:f>
        <x:v>Keep current</x:v>
      </x:c>
      <x:c r="M519" s="71" t="str">
        <x:v>Pending review</x:v>
      </x:c>
      <x:c r="N519" s="71" t="str">
        <x:v>Medium</x:v>
      </x:c>
      <x:c r="O519" s="71" t="str">
        <x:v>app/journey/new/trip-builder.tsx</x:v>
      </x:c>
      <x:c r="P519" s="71" t="str">
        <x:v>TripBuilderDocument:1835</x:v>
      </x:c>
      <x:c r="Q519" s="71" t="str">
        <x:v>EN</x:v>
      </x:c>
      <x:c r="R519" s="71" t="str">
        <x:v>Already clear and direct; suggested wording intentionally keeps the current copy. Duplicate wording: appears 4 times.</x:v>
      </x:c>
      <x:c r="S519" s="75" t="str">
        <x:v>Not applied — review required</x:v>
      </x:c>
    </x:row>
    <x:row r="520">
      <x:c r="A520" s="71" t="str">
        <x:v>MRV-EE18E278BF</x:v>
      </x:c>
      <x:c r="B520" s="71" t="str">
        <x:v>Planning</x:v>
      </x:c>
      <x:c r="C520" s="71" t="str">
        <x:v>New trip builder</x:v>
      </x:c>
      <x:c r="D520" s="71" t="str">
        <x:v>/journey/new/trip-builder</x:v>
      </x:c>
      <x:c r="E520" s="71" t="str">
        <x:v>TripBuilderDocument</x:v>
      </x:c>
      <x:c r="F520" s="71" t="str">
        <x:v>Accessibility / input support</x:v>
      </x:c>
      <x:c r="G520" s="71" t="str">
        <x:v>Accessibility label</x:v>
      </x:c>
      <x:c r="H520" s="71" t="str">
        <x:v>Viaje entendido</x:v>
      </x:c>
      <x:c r="I520" s="71" t="str">
        <x:v>Viaje entendido</x:v>
      </x:c>
      <x:c r="J520" s="73"/>
      <x:c r="K520" s="74" t="str">
        <x:f>IF(J520="",H520,IF(J520=I520,I520,J520))</x:f>
        <x:v>Viaje entendido</x:v>
      </x:c>
      <x:c r="L520" s="74" t="str">
        <x:f>IF(J520="","Keep current",IF(J520=I520,"Use suggestion","Custom"))</x:f>
        <x:v>Keep current</x:v>
      </x:c>
      <x:c r="M520" s="71" t="str">
        <x:v>Pending review</x:v>
      </x:c>
      <x:c r="N520" s="71" t="str">
        <x:v>Medium</x:v>
      </x:c>
      <x:c r="O520" s="71" t="str">
        <x:v>app/journey/new/trip-builder.tsx</x:v>
      </x:c>
      <x:c r="P520" s="71" t="str">
        <x:v>TripBuilderDocument:1838</x:v>
      </x:c>
      <x:c r="Q520" s="71" t="str">
        <x:v>ES</x:v>
      </x:c>
      <x:c r="R520" s="71" t="str">
        <x:v>Already clear and direct; suggested wording intentionally keeps the current copy. Duplicate wording: appears 2 times.</x:v>
      </x:c>
      <x:c r="S520" s="75" t="str">
        <x:v>Not applied — review required</x:v>
      </x:c>
    </x:row>
    <x:row r="521">
      <x:c r="A521" s="71" t="str">
        <x:v>MRV-BE0DAFB3C7</x:v>
      </x:c>
      <x:c r="B521" s="71" t="str">
        <x:v>Planning</x:v>
      </x:c>
      <x:c r="C521" s="71" t="str">
        <x:v>New trip builder</x:v>
      </x:c>
      <x:c r="D521" s="71" t="str">
        <x:v>/journey/new/trip-builder</x:v>
      </x:c>
      <x:c r="E521" s="71" t="str">
        <x:v>TripBuilderDocument</x:v>
      </x:c>
      <x:c r="F521" s="71" t="str">
        <x:v>Accessibility / input support</x:v>
      </x:c>
      <x:c r="G521" s="71" t="str">
        <x:v>Accessibility label</x:v>
      </x:c>
      <x:c r="H521" s="71" t="str">
        <x:v>Trip understood</x:v>
      </x:c>
      <x:c r="I521" s="71" t="str">
        <x:v>Trip understood</x:v>
      </x:c>
      <x:c r="J521" s="73"/>
      <x:c r="K521" s="74" t="str">
        <x:f>IF(J521="",H521,IF(J521=I521,I521,J521))</x:f>
        <x:v>Trip understood</x:v>
      </x:c>
      <x:c r="L521" s="74" t="str">
        <x:f>IF(J521="","Keep current",IF(J521=I521,"Use suggestion","Custom"))</x:f>
        <x:v>Keep current</x:v>
      </x:c>
      <x:c r="M521" s="71" t="str">
        <x:v>Pending review</x:v>
      </x:c>
      <x:c r="N521" s="71" t="str">
        <x:v>Medium</x:v>
      </x:c>
      <x:c r="O521" s="71" t="str">
        <x:v>app/journey/new/trip-builder.tsx</x:v>
      </x:c>
      <x:c r="P521" s="71" t="str">
        <x:v>TripBuilderDocument:1838</x:v>
      </x:c>
      <x:c r="Q521" s="71" t="str">
        <x:v>EN</x:v>
      </x:c>
      <x:c r="R521" s="71" t="str">
        <x:v>Already clear and direct; suggested wording intentionally keeps the current copy. Duplicate wording: appears 2 times. Terminology watch: ‘trip’ and ‘journey’ both describe the same plan. Terminology watch: ‘stops’, ‘destinations’ and ‘places’ overlap.</x:v>
      </x:c>
      <x:c r="S521" s="75" t="str">
        <x:v>Not applied — review required</x:v>
      </x:c>
    </x:row>
    <x:row r="522">
      <x:c r="A522" s="71" t="str">
        <x:v>MRV-BEAB27E0F1</x:v>
      </x:c>
      <x:c r="B522" s="71" t="str">
        <x:v>Planning</x:v>
      </x:c>
      <x:c r="C522" s="71" t="str">
        <x:v>New trip builder</x:v>
      </x:c>
      <x:c r="D522" s="71" t="str">
        <x:v>/journey/new/trip-builder</x:v>
      </x:c>
      <x:c r="E522" s="71" t="str">
        <x:v>TripBuilderDocument</x:v>
      </x:c>
      <x:c r="F522" s="71" t="str">
        <x:v>Default</x:v>
      </x:c>
      <x:c r="G522" s="71" t="str">
        <x:v>Label</x:v>
      </x:c>
      <x:c r="H522" s="71" t="str">
        <x:v>VIAJE ENTENDIDO</x:v>
      </x:c>
      <x:c r="I522" s="71" t="str">
        <x:v>VIAJE ENTENDIDO</x:v>
      </x:c>
      <x:c r="J522" s="73"/>
      <x:c r="K522" s="74" t="str">
        <x:f>IF(J522="",H522,IF(J522=I522,I522,J522))</x:f>
        <x:v>VIAJE ENTENDIDO</x:v>
      </x:c>
      <x:c r="L522" s="74" t="str">
        <x:f>IF(J522="","Keep current",IF(J522=I522,"Use suggestion","Custom"))</x:f>
        <x:v>Keep current</x:v>
      </x:c>
      <x:c r="M522" s="71" t="str">
        <x:v>Pending review</x:v>
      </x:c>
      <x:c r="N522" s="71" t="str">
        <x:v>Normal</x:v>
      </x:c>
      <x:c r="O522" s="71" t="str">
        <x:v>app/journey/new/trip-builder.tsx</x:v>
      </x:c>
      <x:c r="P522" s="71" t="str">
        <x:v>TripBuilderDocument:1840</x:v>
      </x:c>
      <x:c r="Q522" s="71" t="str">
        <x:v>ES</x:v>
      </x:c>
      <x:c r="R522" s="71" t="str">
        <x:v>Already clear and direct; suggested wording intentionally keeps the current copy. Duplicate wording: appears 2 times.</x:v>
      </x:c>
      <x:c r="S522" s="75" t="str">
        <x:v>Not applied — review required</x:v>
      </x:c>
    </x:row>
    <x:row r="523">
      <x:c r="A523" s="71" t="str">
        <x:v>MRV-6D8FF5D59F</x:v>
      </x:c>
      <x:c r="B523" s="71" t="str">
        <x:v>Planning</x:v>
      </x:c>
      <x:c r="C523" s="71" t="str">
        <x:v>New trip builder</x:v>
      </x:c>
      <x:c r="D523" s="71" t="str">
        <x:v>/journey/new/trip-builder</x:v>
      </x:c>
      <x:c r="E523" s="71" t="str">
        <x:v>TripBuilderDocument</x:v>
      </x:c>
      <x:c r="F523" s="71" t="str">
        <x:v>Default</x:v>
      </x:c>
      <x:c r="G523" s="71" t="str">
        <x:v>Label</x:v>
      </x:c>
      <x:c r="H523" s="71" t="str">
        <x:v>TRIP UNDERSTOOD</x:v>
      </x:c>
      <x:c r="I523" s="71" t="str">
        <x:v>TRIP UNDERSTOOD</x:v>
      </x:c>
      <x:c r="J523" s="73"/>
      <x:c r="K523" s="74" t="str">
        <x:f>IF(J523="",H523,IF(J523=I523,I523,J523))</x:f>
        <x:v>TRIP UNDERSTOOD</x:v>
      </x:c>
      <x:c r="L523" s="74" t="str">
        <x:f>IF(J523="","Keep current",IF(J523=I523,"Use suggestion","Custom"))</x:f>
        <x:v>Keep current</x:v>
      </x:c>
      <x:c r="M523" s="71" t="str">
        <x:v>Pending review</x:v>
      </x:c>
      <x:c r="N523" s="71" t="str">
        <x:v>Normal</x:v>
      </x:c>
      <x:c r="O523" s="71" t="str">
        <x:v>app/journey/new/trip-builder.tsx</x:v>
      </x:c>
      <x:c r="P523" s="71" t="str">
        <x:v>TripBuilderDocument:1840</x:v>
      </x:c>
      <x:c r="Q523" s="71" t="str">
        <x:v>EN</x:v>
      </x:c>
      <x:c r="R523" s="71" t="str">
        <x:v>Already clear and direct; suggested wording intentionally keeps the current copy. Duplicate wording: appears 2 times. Terminology watch: ‘trip’ and ‘journey’ both describe the same plan. Terminology watch: ‘stops’, ‘destinations’ and ‘places’ overlap.</x:v>
      </x:c>
      <x:c r="S523" s="75" t="str">
        <x:v>Not applied — review required</x:v>
      </x:c>
    </x:row>
    <x:row r="524">
      <x:c r="A524" s="71" t="str">
        <x:v>MRV-727ED54343</x:v>
      </x:c>
      <x:c r="B524" s="71" t="str">
        <x:v>Planning</x:v>
      </x:c>
      <x:c r="C524" s="71" t="str">
        <x:v>New trip builder</x:v>
      </x:c>
      <x:c r="D524" s="71" t="str">
        <x:v>/journey/new/trip-builder</x:v>
      </x:c>
      <x:c r="E524" s="71" t="str">
        <x:v>TripBuilderDocument</x:v>
      </x:c>
      <x:c r="F524" s="71" t="str">
        <x:v>Default</x:v>
      </x:c>
      <x:c r="G524" s="71" t="str">
        <x:v>Body copy</x:v>
      </x:c>
      <x:c r="H524" s="71" t="str">
        <x:v>Comprueba lo que entendimos.</x:v>
      </x:c>
      <x:c r="I524" s="71" t="str">
        <x:v>Comprueba lo que entendimos.</x:v>
      </x:c>
      <x:c r="J524" s="73"/>
      <x:c r="K524" s="74" t="str">
        <x:f>IF(J524="",H524,IF(J524=I524,I524,J524))</x:f>
        <x:v>Comprueba lo que entendimos.</x:v>
      </x:c>
      <x:c r="L524" s="74" t="str">
        <x:f>IF(J524="","Keep current",IF(J524=I524,"Use suggestion","Custom"))</x:f>
        <x:v>Keep current</x:v>
      </x:c>
      <x:c r="M524" s="71" t="str">
        <x:v>Pending review</x:v>
      </x:c>
      <x:c r="N524" s="71" t="str">
        <x:v>Normal</x:v>
      </x:c>
      <x:c r="O524" s="71" t="str">
        <x:v>app/journey/new/trip-builder.tsx</x:v>
      </x:c>
      <x:c r="P524" s="71" t="str">
        <x:v>TripBuilderDocument:1841</x:v>
      </x:c>
      <x:c r="Q524" s="71" t="str">
        <x:v>ES</x:v>
      </x:c>
      <x:c r="R524" s="71" t="str">
        <x:v>Already clear and direct; suggested wording intentionally keeps the current copy.</x:v>
      </x:c>
      <x:c r="S524" s="75" t="str">
        <x:v>Not applied — review required</x:v>
      </x:c>
    </x:row>
    <x:row r="525">
      <x:c r="A525" s="71" t="str">
        <x:v>MRV-A6D0D515B5</x:v>
      </x:c>
      <x:c r="B525" s="71" t="str">
        <x:v>Planning</x:v>
      </x:c>
      <x:c r="C525" s="71" t="str">
        <x:v>New trip builder</x:v>
      </x:c>
      <x:c r="D525" s="71" t="str">
        <x:v>/journey/new/trip-builder</x:v>
      </x:c>
      <x:c r="E525" s="71" t="str">
        <x:v>TripBuilderDocument</x:v>
      </x:c>
      <x:c r="F525" s="71" t="str">
        <x:v>Default</x:v>
      </x:c>
      <x:c r="G525" s="71" t="str">
        <x:v>CTA / button</x:v>
      </x:c>
      <x:c r="H525" s="71" t="str">
        <x:v>Check what we understood.</x:v>
      </x:c>
      <x:c r="I525" s="71" t="str">
        <x:v>Check what we understood.</x:v>
      </x:c>
      <x:c r="J525" s="73"/>
      <x:c r="K525" s="74" t="str">
        <x:f>IF(J525="",H525,IF(J525=I525,I525,J525))</x:f>
        <x:v>Check what we understood.</x:v>
      </x:c>
      <x:c r="L525" s="74" t="str">
        <x:f>IF(J525="","Keep current",IF(J525=I525,"Use suggestion","Custom"))</x:f>
        <x:v>Keep current</x:v>
      </x:c>
      <x:c r="M525" s="71" t="str">
        <x:v>Pending review</x:v>
      </x:c>
      <x:c r="N525" s="71" t="str">
        <x:v>Medium</x:v>
      </x:c>
      <x:c r="O525" s="71" t="str">
        <x:v>app/journey/new/trip-builder.tsx</x:v>
      </x:c>
      <x:c r="P525" s="71" t="str">
        <x:v>TripBuilderDocument:1841</x:v>
      </x:c>
      <x:c r="Q525" s="71" t="str">
        <x:v>EN</x:v>
      </x:c>
      <x:c r="R525" s="71" t="str">
        <x:v>Already clear and direct; suggested wording intentionally keeps the current copy.</x:v>
      </x:c>
      <x:c r="S525" s="75" t="str">
        <x:v>Not applied — review required</x:v>
      </x:c>
    </x:row>
    <x:row r="526">
      <x:c r="A526" s="71" t="str">
        <x:v>MRV-CE377A271F</x:v>
      </x:c>
      <x:c r="B526" s="71" t="str">
        <x:v>Planning</x:v>
      </x:c>
      <x:c r="C526" s="71" t="str">
        <x:v>New trip builder</x:v>
      </x:c>
      <x:c r="D526" s="71" t="str">
        <x:v>/journey/new/trip-builder</x:v>
      </x:c>
      <x:c r="E526" s="71" t="str">
        <x:v>TripBuilderDocument</x:v>
      </x:c>
      <x:c r="F526" s="71" t="str">
        <x:v>Default</x:v>
      </x:c>
      <x:c r="G526" s="71" t="str">
        <x:v>Label</x:v>
      </x:c>
      <x:c r="H526" s="71" t="str">
        <x:v>Salida</x:v>
      </x:c>
      <x:c r="I526" s="71" t="str">
        <x:v>Salida</x:v>
      </x:c>
      <x:c r="J526" s="73"/>
      <x:c r="K526" s="74" t="str">
        <x:f>IF(J526="",H526,IF(J526=I526,I526,J526))</x:f>
        <x:v>Salida</x:v>
      </x:c>
      <x:c r="L526" s="74" t="str">
        <x:f>IF(J526="","Keep current",IF(J526=I526,"Use suggestion","Custom"))</x:f>
        <x:v>Keep current</x:v>
      </x:c>
      <x:c r="M526" s="71" t="str">
        <x:v>Pending review</x:v>
      </x:c>
      <x:c r="N526" s="71" t="str">
        <x:v>Normal</x:v>
      </x:c>
      <x:c r="O526" s="71" t="str">
        <x:v>app/journey/new/trip-builder.tsx</x:v>
      </x:c>
      <x:c r="P526" s="71" t="str">
        <x:v>TripBuilderDocument:1844</x:v>
      </x:c>
      <x:c r="Q526" s="71" t="str">
        <x:v>ES</x:v>
      </x:c>
      <x:c r="R526" s="71" t="str">
        <x:v>Already clear and direct; suggested wording intentionally keeps the current copy. Duplicate wording: appears 2 times.</x:v>
      </x:c>
      <x:c r="S526" s="75" t="str">
        <x:v>Not applied — review required</x:v>
      </x:c>
    </x:row>
    <x:row r="527">
      <x:c r="A527" s="71" t="str">
        <x:v>MRV-B6DA990239</x:v>
      </x:c>
      <x:c r="B527" s="71" t="str">
        <x:v>Planning</x:v>
      </x:c>
      <x:c r="C527" s="71" t="str">
        <x:v>New trip builder</x:v>
      </x:c>
      <x:c r="D527" s="71" t="str">
        <x:v>/journey/new/trip-builder</x:v>
      </x:c>
      <x:c r="E527" s="71" t="str">
        <x:v>TripBuilderDocument</x:v>
      </x:c>
      <x:c r="F527" s="71" t="str">
        <x:v>Default</x:v>
      </x:c>
      <x:c r="G527" s="71" t="str">
        <x:v>CTA / button</x:v>
      </x:c>
      <x:c r="H527" s="71" t="str">
        <x:v>Starting from</x:v>
      </x:c>
      <x:c r="I527" s="71" t="str">
        <x:v>Starting from</x:v>
      </x:c>
      <x:c r="J527" s="73"/>
      <x:c r="K527" s="74" t="str">
        <x:f>IF(J527="",H527,IF(J527=I527,I527,J527))</x:f>
        <x:v>Starting from</x:v>
      </x:c>
      <x:c r="L527" s="74" t="str">
        <x:f>IF(J527="","Keep current",IF(J527=I527,"Use suggestion","Custom"))</x:f>
        <x:v>Keep current</x:v>
      </x:c>
      <x:c r="M527" s="71" t="str">
        <x:v>Pending review</x:v>
      </x:c>
      <x:c r="N527" s="71" t="str">
        <x:v>Medium</x:v>
      </x:c>
      <x:c r="O527" s="71" t="str">
        <x:v>app/journey/new/trip-builder.tsx</x:v>
      </x:c>
      <x:c r="P527" s="71" t="str">
        <x:v>TripBuilderDocument:1844</x:v>
      </x:c>
      <x:c r="Q527" s="71" t="str">
        <x:v>EN</x:v>
      </x:c>
      <x:c r="R527" s="71" t="str">
        <x:v>Already clear and direct; suggested wording intentionally keeps the current copy.</x:v>
      </x:c>
      <x:c r="S527" s="75" t="str">
        <x:v>Not applied — review required</x:v>
      </x:c>
    </x:row>
    <x:row r="528">
      <x:c r="A528" s="71" t="str">
        <x:v>MRV-38A414D35C</x:v>
      </x:c>
      <x:c r="B528" s="71" t="str">
        <x:v>Planning</x:v>
      </x:c>
      <x:c r="C528" s="71" t="str">
        <x:v>New trip builder</x:v>
      </x:c>
      <x:c r="D528" s="71" t="str">
        <x:v>/journey/new/trip-builder</x:v>
      </x:c>
      <x:c r="E528" s="71" t="str">
        <x:v>TripBuilderDocument</x:v>
      </x:c>
      <x:c r="F528" s="71" t="str">
        <x:v>Default</x:v>
      </x:c>
      <x:c r="G528" s="71" t="str">
        <x:v>CTA / button</x:v>
      </x:c>
      <x:c r="H528" s="71" t="str">
        <x:v>Editar</x:v>
      </x:c>
      <x:c r="I528" s="71" t="str">
        <x:v>Editar</x:v>
      </x:c>
      <x:c r="J528" s="73"/>
      <x:c r="K528" s="74" t="str">
        <x:f>IF(J528="",H528,IF(J528=I528,I528,J528))</x:f>
        <x:v>Editar</x:v>
      </x:c>
      <x:c r="L528" s="74" t="str">
        <x:f>IF(J528="","Keep current",IF(J528=I528,"Use suggestion","Custom"))</x:f>
        <x:v>Keep current</x:v>
      </x:c>
      <x:c r="M528" s="71" t="str">
        <x:v>Pending review</x:v>
      </x:c>
      <x:c r="N528" s="71" t="str">
        <x:v>Medium</x:v>
      </x:c>
      <x:c r="O528" s="71" t="str">
        <x:v>app/journey/new/trip-builder.tsx</x:v>
      </x:c>
      <x:c r="P528" s="71" t="str">
        <x:v>TripBuilderDocument:1844</x:v>
      </x:c>
      <x:c r="Q528" s="71" t="str">
        <x:v>ES</x:v>
      </x:c>
      <x:c r="R528" s="71" t="str">
        <x:v>Already clear and direct; suggested wording intentionally keeps the current copy. Duplicate wording: appears 4 times.</x:v>
      </x:c>
      <x:c r="S528" s="75" t="str">
        <x:v>Not applied — review required</x:v>
      </x:c>
    </x:row>
    <x:row r="529">
      <x:c r="A529" s="71" t="str">
        <x:v>MRV-1E6A6E6437</x:v>
      </x:c>
      <x:c r="B529" s="71" t="str">
        <x:v>Planning</x:v>
      </x:c>
      <x:c r="C529" s="71" t="str">
        <x:v>New trip builder</x:v>
      </x:c>
      <x:c r="D529" s="71" t="str">
        <x:v>/journey/new/trip-builder</x:v>
      </x:c>
      <x:c r="E529" s="71" t="str">
        <x:v>TripBuilderDocument</x:v>
      </x:c>
      <x:c r="F529" s="71" t="str">
        <x:v>Default</x:v>
      </x:c>
      <x:c r="G529" s="71" t="str">
        <x:v>CTA / button</x:v>
      </x:c>
      <x:c r="H529" s="71" t="str">
        <x:v>Edit</x:v>
      </x:c>
      <x:c r="I529" s="71" t="str">
        <x:v>Edit</x:v>
      </x:c>
      <x:c r="J529" s="73"/>
      <x:c r="K529" s="74" t="str">
        <x:f>IF(J529="",H529,IF(J529=I529,I529,J529))</x:f>
        <x:v>Edit</x:v>
      </x:c>
      <x:c r="L529" s="74" t="str">
        <x:f>IF(J529="","Keep current",IF(J529=I529,"Use suggestion","Custom"))</x:f>
        <x:v>Keep current</x:v>
      </x:c>
      <x:c r="M529" s="71" t="str">
        <x:v>Pending review</x:v>
      </x:c>
      <x:c r="N529" s="71" t="str">
        <x:v>Medium</x:v>
      </x:c>
      <x:c r="O529" s="71" t="str">
        <x:v>app/journey/new/trip-builder.tsx</x:v>
      </x:c>
      <x:c r="P529" s="71" t="str">
        <x:v>TripBuilderDocument:1844</x:v>
      </x:c>
      <x:c r="Q529" s="71" t="str">
        <x:v>EN</x:v>
      </x:c>
      <x:c r="R529" s="71" t="str">
        <x:v>Already clear and direct; suggested wording intentionally keeps the current copy. Duplicate wording: appears 4 times.</x:v>
      </x:c>
      <x:c r="S529" s="75" t="str">
        <x:v>Not applied — review required</x:v>
      </x:c>
    </x:row>
    <x:row r="530">
      <x:c r="A530" s="71" t="str">
        <x:v>MRV-8A24CEA7AE</x:v>
      </x:c>
      <x:c r="B530" s="71" t="str">
        <x:v>Planning</x:v>
      </x:c>
      <x:c r="C530" s="71" t="str">
        <x:v>New trip builder</x:v>
      </x:c>
      <x:c r="D530" s="71" t="str">
        <x:v>/journey/new/trip-builder</x:v>
      </x:c>
      <x:c r="E530" s="71" t="str">
        <x:v>TripBuilderDocument</x:v>
      </x:c>
      <x:c r="F530" s="71" t="str">
        <x:v>Loading / in progress</x:v>
      </x:c>
      <x:c r="G530" s="71" t="str">
        <x:v>Label</x:v>
      </x:c>
      <x:c r="H530" s="71" t="str">
        <x:v>Comprobando…</x:v>
      </x:c>
      <x:c r="I530" s="71" t="str">
        <x:v>Comprobando…</x:v>
      </x:c>
      <x:c r="J530" s="73"/>
      <x:c r="K530" s="74" t="str">
        <x:f>IF(J530="",H530,IF(J530=I530,I530,J530))</x:f>
        <x:v>Comprobando…</x:v>
      </x:c>
      <x:c r="L530" s="74" t="str">
        <x:f>IF(J530="","Keep current",IF(J530=I530,"Use suggestion","Custom"))</x:f>
        <x:v>Keep current</x:v>
      </x:c>
      <x:c r="M530" s="71" t="str">
        <x:v>Pending review</x:v>
      </x:c>
      <x:c r="N530" s="71" t="str">
        <x:v>Normal</x:v>
      </x:c>
      <x:c r="O530" s="71" t="str">
        <x:v>app/journey/new/trip-builder.tsx</x:v>
      </x:c>
      <x:c r="P530" s="71" t="str">
        <x:v>TripBuilderDocument:1845</x:v>
      </x:c>
      <x:c r="Q530" s="71" t="str">
        <x:v>ES</x:v>
      </x:c>
      <x:c r="R530" s="71" t="str">
        <x:v>Already clear and direct; suggested wording intentionally keeps the current copy.</x:v>
      </x:c>
      <x:c r="S530" s="75" t="str">
        <x:v>Not applied — review required</x:v>
      </x:c>
    </x:row>
    <x:row r="531">
      <x:c r="A531" s="71" t="str">
        <x:v>MRV-AE4B742A33</x:v>
      </x:c>
      <x:c r="B531" s="71" t="str">
        <x:v>Planning</x:v>
      </x:c>
      <x:c r="C531" s="71" t="str">
        <x:v>New trip builder</x:v>
      </x:c>
      <x:c r="D531" s="71" t="str">
        <x:v>/journey/new/trip-builder</x:v>
      </x:c>
      <x:c r="E531" s="71" t="str">
        <x:v>TripBuilderDocument</x:v>
      </x:c>
      <x:c r="F531" s="71" t="str">
        <x:v>Loading / in progress</x:v>
      </x:c>
      <x:c r="G531" s="71" t="str">
        <x:v>CTA / button</x:v>
      </x:c>
      <x:c r="H531" s="71" t="str">
        <x:v>Checking…</x:v>
      </x:c>
      <x:c r="I531" s="71" t="str">
        <x:v>Checking…</x:v>
      </x:c>
      <x:c r="J531" s="73"/>
      <x:c r="K531" s="74" t="str">
        <x:f>IF(J531="",H531,IF(J531=I531,I531,J531))</x:f>
        <x:v>Checking…</x:v>
      </x:c>
      <x:c r="L531" s="74" t="str">
        <x:f>IF(J531="","Keep current",IF(J531=I531,"Use suggestion","Custom"))</x:f>
        <x:v>Keep current</x:v>
      </x:c>
      <x:c r="M531" s="71" t="str">
        <x:v>Pending review</x:v>
      </x:c>
      <x:c r="N531" s="71" t="str">
        <x:v>Medium</x:v>
      </x:c>
      <x:c r="O531" s="71" t="str">
        <x:v>app/journey/new/trip-builder.tsx</x:v>
      </x:c>
      <x:c r="P531" s="71" t="str">
        <x:v>TripBuilderDocument:1845</x:v>
      </x:c>
      <x:c r="Q531" s="71" t="str">
        <x:v>EN</x:v>
      </x:c>
      <x:c r="R531" s="71" t="str">
        <x:v>Already clear and direct; suggested wording intentionally keeps the current copy.</x:v>
      </x:c>
      <x:c r="S531" s="75" t="str">
        <x:v>Not applied — review required</x:v>
      </x:c>
    </x:row>
    <x:row r="532">
      <x:c r="A532" s="71" t="str">
        <x:v>MRV-27D518C711</x:v>
      </x:c>
      <x:c r="B532" s="71" t="str">
        <x:v>Planning</x:v>
      </x:c>
      <x:c r="C532" s="71" t="str">
        <x:v>New trip builder</x:v>
      </x:c>
      <x:c r="D532" s="71" t="str">
        <x:v>/journey/new/trip-builder</x:v>
      </x:c>
      <x:c r="E532" s="71" t="str">
        <x:v>TripBuilderDocument</x:v>
      </x:c>
      <x:c r="F532" s="71" t="str">
        <x:v>Default</x:v>
      </x:c>
      <x:c r="G532" s="71" t="str">
        <x:v>Label</x:v>
      </x:c>
      <x:c r="H532" s="71" t="str">
        <x:v>Añade tu salida</x:v>
      </x:c>
      <x:c r="I532" s="71" t="str">
        <x:v>Añade tu salida</x:v>
      </x:c>
      <x:c r="J532" s="73"/>
      <x:c r="K532" s="74" t="str">
        <x:f>IF(J532="",H532,IF(J532=I532,I532,J532))</x:f>
        <x:v>Añade tu salida</x:v>
      </x:c>
      <x:c r="L532" s="74" t="str">
        <x:f>IF(J532="","Keep current",IF(J532=I532,"Use suggestion","Custom"))</x:f>
        <x:v>Keep current</x:v>
      </x:c>
      <x:c r="M532" s="71" t="str">
        <x:v>Pending review</x:v>
      </x:c>
      <x:c r="N532" s="71" t="str">
        <x:v>Normal</x:v>
      </x:c>
      <x:c r="O532" s="71" t="str">
        <x:v>app/journey/new/trip-builder.tsx</x:v>
      </x:c>
      <x:c r="P532" s="71" t="str">
        <x:v>TripBuilderDocument:1845</x:v>
      </x:c>
      <x:c r="Q532" s="71" t="str">
        <x:v>ES</x:v>
      </x:c>
      <x:c r="R532" s="71" t="str">
        <x:v>Already clear and direct; suggested wording intentionally keeps the current copy.</x:v>
      </x:c>
      <x:c r="S532" s="75" t="str">
        <x:v>Not applied — review required</x:v>
      </x:c>
    </x:row>
    <x:row r="533">
      <x:c r="A533" s="71" t="str">
        <x:v>MRV-4669117300</x:v>
      </x:c>
      <x:c r="B533" s="71" t="str">
        <x:v>Planning</x:v>
      </x:c>
      <x:c r="C533" s="71" t="str">
        <x:v>New trip builder</x:v>
      </x:c>
      <x:c r="D533" s="71" t="str">
        <x:v>/journey/new/trip-builder</x:v>
      </x:c>
      <x:c r="E533" s="71" t="str">
        <x:v>TripBuilderDocument</x:v>
      </x:c>
      <x:c r="F533" s="71" t="str">
        <x:v>Default</x:v>
      </x:c>
      <x:c r="G533" s="71" t="str">
        <x:v>CTA / button</x:v>
      </x:c>
      <x:c r="H533" s="71" t="str">
        <x:v>Add your departure</x:v>
      </x:c>
      <x:c r="I533" s="71" t="str">
        <x:v>Add your departure</x:v>
      </x:c>
      <x:c r="J533" s="73"/>
      <x:c r="K533" s="74" t="str">
        <x:f>IF(J533="",H533,IF(J533=I533,I533,J533))</x:f>
        <x:v>Add your departure</x:v>
      </x:c>
      <x:c r="L533" s="74" t="str">
        <x:f>IF(J533="","Keep current",IF(J533=I533,"Use suggestion","Custom"))</x:f>
        <x:v>Keep current</x:v>
      </x:c>
      <x:c r="M533" s="71" t="str">
        <x:v>Pending review</x:v>
      </x:c>
      <x:c r="N533" s="71" t="str">
        <x:v>Medium</x:v>
      </x:c>
      <x:c r="O533" s="71" t="str">
        <x:v>app/journey/new/trip-builder.tsx</x:v>
      </x:c>
      <x:c r="P533" s="71" t="str">
        <x:v>TripBuilderDocument:1845</x:v>
      </x:c>
      <x:c r="Q533" s="71" t="str">
        <x:v>EN</x:v>
      </x:c>
      <x:c r="R533" s="71" t="str">
        <x:v>Already clear and direct; suggested wording intentionally keeps the current copy.</x:v>
      </x:c>
      <x:c r="S533" s="75" t="str">
        <x:v>Not applied — review required</x:v>
      </x:c>
    </x:row>
    <x:row r="534">
      <x:c r="A534" s="71" t="str">
        <x:v>MRV-805984CDA0</x:v>
      </x:c>
      <x:c r="B534" s="71" t="str">
        <x:v>Planning</x:v>
      </x:c>
      <x:c r="C534" s="71" t="str">
        <x:v>New trip builder</x:v>
      </x:c>
      <x:c r="D534" s="71" t="str">
        <x:v>/journey/new/trip-builder</x:v>
      </x:c>
      <x:c r="E534" s="71" t="str">
        <x:v>TripBuilderDocument</x:v>
      </x:c>
      <x:c r="F534" s="71" t="str">
        <x:v>Default</x:v>
      </x:c>
      <x:c r="G534" s="71" t="str">
        <x:v>Label</x:v>
      </x:c>
      <x:c r="H534" s="71" t="str">
        <x:v>Listo</x:v>
      </x:c>
      <x:c r="I534" s="71" t="str">
        <x:v>Listo</x:v>
      </x:c>
      <x:c r="J534" s="73"/>
      <x:c r="K534" s="74" t="str">
        <x:f>IF(J534="",H534,IF(J534=I534,I534,J534))</x:f>
        <x:v>Listo</x:v>
      </x:c>
      <x:c r="L534" s="74" t="str">
        <x:f>IF(J534="","Keep current",IF(J534=I534,"Use suggestion","Custom"))</x:f>
        <x:v>Keep current</x:v>
      </x:c>
      <x:c r="M534" s="71" t="str">
        <x:v>Pending review</x:v>
      </x:c>
      <x:c r="N534" s="71" t="str">
        <x:v>Normal</x:v>
      </x:c>
      <x:c r="O534" s="71" t="str">
        <x:v>app/journey/new/trip-builder.tsx</x:v>
      </x:c>
      <x:c r="P534" s="71" t="str">
        <x:v>TripBuilderDocument:1849</x:v>
      </x:c>
      <x:c r="Q534" s="71" t="str">
        <x:v>ES</x:v>
      </x:c>
      <x:c r="R534" s="71" t="str">
        <x:v>Already clear and direct; suggested wording intentionally keeps the current copy. Duplicate wording: appears 3 times.</x:v>
      </x:c>
      <x:c r="S534" s="75" t="str">
        <x:v>Not applied — review required</x:v>
      </x:c>
    </x:row>
    <x:row r="535">
      <x:c r="A535" s="71" t="str">
        <x:v>MRV-753996BB11</x:v>
      </x:c>
      <x:c r="B535" s="71" t="str">
        <x:v>Planning</x:v>
      </x:c>
      <x:c r="C535" s="71" t="str">
        <x:v>New trip builder</x:v>
      </x:c>
      <x:c r="D535" s="71" t="str">
        <x:v>/journey/new/trip-builder</x:v>
      </x:c>
      <x:c r="E535" s="71" t="str">
        <x:v>TripBuilderDocument</x:v>
      </x:c>
      <x:c r="F535" s="71" t="str">
        <x:v>Default</x:v>
      </x:c>
      <x:c r="G535" s="71" t="str">
        <x:v>CTA / button</x:v>
      </x:c>
      <x:c r="H535" s="71" t="str">
        <x:v>Done</x:v>
      </x:c>
      <x:c r="I535" s="71" t="str">
        <x:v>Done</x:v>
      </x:c>
      <x:c r="J535" s="73"/>
      <x:c r="K535" s="74" t="str">
        <x:f>IF(J535="",H535,IF(J535=I535,I535,J535))</x:f>
        <x:v>Done</x:v>
      </x:c>
      <x:c r="L535" s="74" t="str">
        <x:f>IF(J535="","Keep current",IF(J535=I535,"Use suggestion","Custom"))</x:f>
        <x:v>Keep current</x:v>
      </x:c>
      <x:c r="M535" s="71" t="str">
        <x:v>Pending review</x:v>
      </x:c>
      <x:c r="N535" s="71" t="str">
        <x:v>Medium</x:v>
      </x:c>
      <x:c r="O535" s="71" t="str">
        <x:v>app/journey/new/trip-builder.tsx</x:v>
      </x:c>
      <x:c r="P535" s="71" t="str">
        <x:v>TripBuilderDocument:1849</x:v>
      </x:c>
      <x:c r="Q535" s="71" t="str">
        <x:v>EN</x:v>
      </x:c>
      <x:c r="R535" s="71" t="str">
        <x:v>Already clear and direct; suggested wording intentionally keeps the current copy. Duplicate wording: appears 3 times.</x:v>
      </x:c>
      <x:c r="S535" s="75" t="str">
        <x:v>Not applied — review required</x:v>
      </x:c>
    </x:row>
    <x:row r="536">
      <x:c r="A536" s="71" t="str">
        <x:v>MRV-A847ED47DD</x:v>
      </x:c>
      <x:c r="B536" s="71" t="str">
        <x:v>Planning</x:v>
      </x:c>
      <x:c r="C536" s="71" t="str">
        <x:v>New trip builder</x:v>
      </x:c>
      <x:c r="D536" s="71" t="str">
        <x:v>/journey/new/trip-builder</x:v>
      </x:c>
      <x:c r="E536" s="71" t="str">
        <x:v>TripBuilderDocument</x:v>
      </x:c>
      <x:c r="F536" s="71" t="str">
        <x:v>Default</x:v>
      </x:c>
      <x:c r="G536" s="71" t="str">
        <x:v>Label</x:v>
      </x:c>
      <x:c r="H536" s="71" t="str">
        <x:v>Paradas</x:v>
      </x:c>
      <x:c r="I536" s="71" t="str">
        <x:v>Paradas</x:v>
      </x:c>
      <x:c r="J536" s="73"/>
      <x:c r="K536" s="74" t="str">
        <x:f>IF(J536="",H536,IF(J536=I536,I536,J536))</x:f>
        <x:v>Paradas</x:v>
      </x:c>
      <x:c r="L536" s="74" t="str">
        <x:f>IF(J536="","Keep current",IF(J536=I536,"Use suggestion","Custom"))</x:f>
        <x:v>Keep current</x:v>
      </x:c>
      <x:c r="M536" s="71" t="str">
        <x:v>Pending review</x:v>
      </x:c>
      <x:c r="N536" s="71" t="str">
        <x:v>Normal</x:v>
      </x:c>
      <x:c r="O536" s="71" t="str">
        <x:v>app/journey/new/trip-builder.tsx</x:v>
      </x:c>
      <x:c r="P536" s="71" t="str">
        <x:v>TripBuilderDocument:1854</x:v>
      </x:c>
      <x:c r="Q536" s="71" t="str">
        <x:v>ES</x:v>
      </x:c>
      <x:c r="R536" s="71" t="str">
        <x:v>Already clear and direct; suggested wording intentionally keeps the current copy.</x:v>
      </x:c>
      <x:c r="S536" s="75" t="str">
        <x:v>Not applied — review required</x:v>
      </x:c>
    </x:row>
    <x:row r="537">
      <x:c r="A537" s="71" t="str">
        <x:v>MRV-C94A64B889</x:v>
      </x:c>
      <x:c r="B537" s="71" t="str">
        <x:v>Planning</x:v>
      </x:c>
      <x:c r="C537" s="71" t="str">
        <x:v>New trip builder</x:v>
      </x:c>
      <x:c r="D537" s="71" t="str">
        <x:v>/journey/new/trip-builder</x:v>
      </x:c>
      <x:c r="E537" s="71" t="str">
        <x:v>TripBuilderDocument</x:v>
      </x:c>
      <x:c r="F537" s="71" t="str">
        <x:v>Default</x:v>
      </x:c>
      <x:c r="G537" s="71" t="str">
        <x:v>Label</x:v>
      </x:c>
      <x:c r="H537" s="71" t="str">
        <x:v>Stops</x:v>
      </x:c>
      <x:c r="I537" s="71" t="str">
        <x:v>Stops</x:v>
      </x:c>
      <x:c r="J537" s="73"/>
      <x:c r="K537" s="74" t="str">
        <x:f>IF(J537="",H537,IF(J537=I537,I537,J537))</x:f>
        <x:v>Stops</x:v>
      </x:c>
      <x:c r="L537" s="74" t="str">
        <x:f>IF(J537="","Keep current",IF(J537=I537,"Use suggestion","Custom"))</x:f>
        <x:v>Keep current</x:v>
      </x:c>
      <x:c r="M537" s="71" t="str">
        <x:v>Pending review</x:v>
      </x:c>
      <x:c r="N537" s="71" t="str">
        <x:v>Normal</x:v>
      </x:c>
      <x:c r="O537" s="71" t="str">
        <x:v>app/journey/new/trip-builder.tsx</x:v>
      </x:c>
      <x:c r="P537" s="71" t="str">
        <x:v>TripBuilderDocument:1854</x:v>
      </x:c>
      <x:c r="Q537" s="71" t="str">
        <x:v>EN</x:v>
      </x:c>
      <x:c r="R537" s="71" t="str">
        <x:v>Already clear and direct; suggested wording intentionally keeps the current copy. Terminology watch: ‘trip’ and ‘journey’ both describe the same plan. Terminology watch: ‘stops’, ‘destinations’ and ‘places’ overlap.</x:v>
      </x:c>
      <x:c r="S537" s="75" t="str">
        <x:v>Not applied — review required</x:v>
      </x:c>
    </x:row>
    <x:row r="538">
      <x:c r="A538" s="71" t="str">
        <x:v>MRV-52545F1F4B</x:v>
      </x:c>
      <x:c r="B538" s="71" t="str">
        <x:v>Planning</x:v>
      </x:c>
      <x:c r="C538" s="71" t="str">
        <x:v>New trip builder</x:v>
      </x:c>
      <x:c r="D538" s="71" t="str">
        <x:v>/journey/new/trip-builder</x:v>
      </x:c>
      <x:c r="E538" s="71" t="str">
        <x:v>TripBuilderDocument</x:v>
      </x:c>
      <x:c r="F538" s="71" t="str">
        <x:v>Default</x:v>
      </x:c>
      <x:c r="G538" s="71" t="str">
        <x:v>Label</x:v>
      </x:c>
      <x:c r="H538" s="71" t="str">
        <x:v>Añadir parada</x:v>
      </x:c>
      <x:c r="I538" s="71" t="str">
        <x:v>Añadir parada</x:v>
      </x:c>
      <x:c r="J538" s="73"/>
      <x:c r="K538" s="74" t="str">
        <x:f>IF(J538="",H538,IF(J538=I538,I538,J538))</x:f>
        <x:v>Añadir parada</x:v>
      </x:c>
      <x:c r="L538" s="74" t="str">
        <x:f>IF(J538="","Keep current",IF(J538=I538,"Use suggestion","Custom"))</x:f>
        <x:v>Keep current</x:v>
      </x:c>
      <x:c r="M538" s="71" t="str">
        <x:v>Pending review</x:v>
      </x:c>
      <x:c r="N538" s="71" t="str">
        <x:v>Normal</x:v>
      </x:c>
      <x:c r="O538" s="71" t="str">
        <x:v>app/journey/new/trip-builder.tsx</x:v>
      </x:c>
      <x:c r="P538" s="71" t="str">
        <x:v>TripBuilderDocument:1854</x:v>
      </x:c>
      <x:c r="Q538" s="71" t="str">
        <x:v>ES</x:v>
      </x:c>
      <x:c r="R538" s="71" t="str">
        <x:v>Already clear and direct; suggested wording intentionally keeps the current copy.</x:v>
      </x:c>
      <x:c r="S538" s="75" t="str">
        <x:v>Not applied — review required</x:v>
      </x:c>
    </x:row>
    <x:row r="539">
      <x:c r="A539" s="71" t="str">
        <x:v>MRV-8F7519CD0D</x:v>
      </x:c>
      <x:c r="B539" s="71" t="str">
        <x:v>Planning</x:v>
      </x:c>
      <x:c r="C539" s="71" t="str">
        <x:v>New trip builder</x:v>
      </x:c>
      <x:c r="D539" s="71" t="str">
        <x:v>/journey/new/trip-builder</x:v>
      </x:c>
      <x:c r="E539" s="71" t="str">
        <x:v>TripBuilderDocument</x:v>
      </x:c>
      <x:c r="F539" s="71" t="str">
        <x:v>Default</x:v>
      </x:c>
      <x:c r="G539" s="71" t="str">
        <x:v>CTA / button</x:v>
      </x:c>
      <x:c r="H539" s="71" t="str">
        <x:v>Add stop</x:v>
      </x:c>
      <x:c r="I539" s="71" t="str">
        <x:v>Add stop</x:v>
      </x:c>
      <x:c r="J539" s="73"/>
      <x:c r="K539" s="74" t="str">
        <x:f>IF(J539="",H539,IF(J539=I539,I539,J539))</x:f>
        <x:v>Add stop</x:v>
      </x:c>
      <x:c r="L539" s="74" t="str">
        <x:f>IF(J539="","Keep current",IF(J539=I539,"Use suggestion","Custom"))</x:f>
        <x:v>Keep current</x:v>
      </x:c>
      <x:c r="M539" s="71" t="str">
        <x:v>Pending review</x:v>
      </x:c>
      <x:c r="N539" s="71" t="str">
        <x:v>Medium</x:v>
      </x:c>
      <x:c r="O539" s="71" t="str">
        <x:v>app/journey/new/trip-builder.tsx</x:v>
      </x:c>
      <x:c r="P539" s="71" t="str">
        <x:v>TripBuilderDocument:1854</x:v>
      </x:c>
      <x:c r="Q539" s="71" t="str">
        <x:v>EN</x:v>
      </x:c>
      <x:c r="R539" s="71" t="str">
        <x:v>Already clear and direct; suggested wording intentionally keeps the current copy. Terminology watch: ‘trip’ and ‘journey’ both describe the same plan. Terminology watch: ‘stops’, ‘destinations’ and ‘places’ overlap.</x:v>
      </x:c>
      <x:c r="S539" s="75" t="str">
        <x:v>Not applied — review required</x:v>
      </x:c>
    </x:row>
    <x:row r="540">
      <x:c r="A540" s="71" t="str">
        <x:v>MRV-E77B2EEAC1</x:v>
      </x:c>
      <x:c r="B540" s="71" t="str">
        <x:v>Planning</x:v>
      </x:c>
      <x:c r="C540" s="71" t="str">
        <x:v>New trip builder</x:v>
      </x:c>
      <x:c r="D540" s="71" t="str">
        <x:v>/journey/new/trip-builder</x:v>
      </x:c>
      <x:c r="E540" s="71" t="str">
        <x:v>TripBuilderDocument</x:v>
      </x:c>
      <x:c r="F540" s="71" t="str">
        <x:v>Accessibility / input support</x:v>
      </x:c>
      <x:c r="G540" s="71" t="str">
        <x:v>Accessibility label</x:v>
      </x:c>
      <x:c r="H540" s="71" t="str">
        <x:v>Paradas confirmadas</x:v>
      </x:c>
      <x:c r="I540" s="71" t="str">
        <x:v>Paradas confirmadas</x:v>
      </x:c>
      <x:c r="J540" s="73"/>
      <x:c r="K540" s="74" t="str">
        <x:f>IF(J540="",H540,IF(J540=I540,I540,J540))</x:f>
        <x:v>Paradas confirmadas</x:v>
      </x:c>
      <x:c r="L540" s="74" t="str">
        <x:f>IF(J540="","Keep current",IF(J540=I540,"Use suggestion","Custom"))</x:f>
        <x:v>Keep current</x:v>
      </x:c>
      <x:c r="M540" s="71" t="str">
        <x:v>Pending review</x:v>
      </x:c>
      <x:c r="N540" s="71" t="str">
        <x:v>Medium</x:v>
      </x:c>
      <x:c r="O540" s="71" t="str">
        <x:v>app/journey/new/trip-builder.tsx</x:v>
      </x:c>
      <x:c r="P540" s="71" t="str">
        <x:v>TripBuilderDocument:1855</x:v>
      </x:c>
      <x:c r="Q540" s="71" t="str">
        <x:v>ES</x:v>
      </x:c>
      <x:c r="R540" s="71" t="str">
        <x:v>Already clear and direct; suggested wording intentionally keeps the current copy.</x:v>
      </x:c>
      <x:c r="S540" s="75" t="str">
        <x:v>Not applied — review required</x:v>
      </x:c>
    </x:row>
    <x:row r="541">
      <x:c r="A541" s="71" t="str">
        <x:v>MRV-C70A914FB7</x:v>
      </x:c>
      <x:c r="B541" s="71" t="str">
        <x:v>Planning</x:v>
      </x:c>
      <x:c r="C541" s="71" t="str">
        <x:v>New trip builder</x:v>
      </x:c>
      <x:c r="D541" s="71" t="str">
        <x:v>/journey/new/trip-builder</x:v>
      </x:c>
      <x:c r="E541" s="71" t="str">
        <x:v>TripBuilderDocument</x:v>
      </x:c>
      <x:c r="F541" s="71" t="str">
        <x:v>Accessibility / input support</x:v>
      </x:c>
      <x:c r="G541" s="71" t="str">
        <x:v>Accessibility label</x:v>
      </x:c>
      <x:c r="H541" s="71" t="str">
        <x:v>Confirmed stops</x:v>
      </x:c>
      <x:c r="I541" s="71" t="str">
        <x:v>Confirmed stops</x:v>
      </x:c>
      <x:c r="J541" s="73"/>
      <x:c r="K541" s="74" t="str">
        <x:f>IF(J541="",H541,IF(J541=I541,I541,J541))</x:f>
        <x:v>Confirmed stops</x:v>
      </x:c>
      <x:c r="L541" s="74" t="str">
        <x:f>IF(J541="","Keep current",IF(J541=I541,"Use suggestion","Custom"))</x:f>
        <x:v>Keep current</x:v>
      </x:c>
      <x:c r="M541" s="71" t="str">
        <x:v>Pending review</x:v>
      </x:c>
      <x:c r="N541" s="71" t="str">
        <x:v>Medium</x:v>
      </x:c>
      <x:c r="O541" s="71" t="str">
        <x:v>app/journey/new/trip-builder.tsx</x:v>
      </x:c>
      <x:c r="P541" s="71" t="str">
        <x:v>TripBuilderDocument:1855</x:v>
      </x:c>
      <x:c r="Q541" s="71" t="str">
        <x:v>EN</x:v>
      </x:c>
      <x:c r="R541" s="71" t="str">
        <x:v>Already clear and direct; suggested wording intentionally keeps the current copy. Terminology watch: ‘trip’ and ‘journey’ both describe the same plan. Terminology watch: ‘stops’, ‘destinations’ and ‘places’ overlap.</x:v>
      </x:c>
      <x:c r="S541" s="75" t="str">
        <x:v>Not applied — review required</x:v>
      </x:c>
    </x:row>
    <x:row r="542">
      <x:c r="A542" s="71" t="str">
        <x:v>MRV-8CB09542A5</x:v>
      </x:c>
      <x:c r="B542" s="71" t="str">
        <x:v>Planning</x:v>
      </x:c>
      <x:c r="C542" s="71" t="str">
        <x:v>New trip builder</x:v>
      </x:c>
      <x:c r="D542" s="71" t="str">
        <x:v>/journey/new/trip-builder</x:v>
      </x:c>
      <x:c r="E542" s="71" t="str">
        <x:v>TripBuilderDocument</x:v>
      </x:c>
      <x:c r="F542" s="71" t="str">
        <x:v>Accessibility / input support</x:v>
      </x:c>
      <x:c r="G542" s="71" t="str">
        <x:v>Accessibility label</x:v>
      </x:c>
      <x:c r="H542" s="71" t="str">
        <x:v>{stop.name}, {language === "es" ? "parada bloqueada" : "locked stop"}</x:v>
      </x:c>
      <x:c r="I542" s="71" t="str">
        <x:v>{stop.name}, {language === "es" ? "parada bloqueada" : "locked stop"}</x:v>
      </x:c>
      <x:c r="J542" s="73"/>
      <x:c r="K542" s="74" t="str">
        <x:f>IF(J542="",H542,IF(J542=I542,I542,J542))</x:f>
        <x:v>{stop.name}, {language === "es" ? "parada bloqueada" : "locked stop"}</x:v>
      </x:c>
      <x:c r="L542" s="74" t="str">
        <x:f>IF(J542="","Keep current",IF(J542=I542,"Use suggestion","Custom"))</x:f>
        <x:v>Keep current</x:v>
      </x:c>
      <x:c r="M542" s="71" t="str">
        <x:v>Pending review</x:v>
      </x:c>
      <x:c r="N542" s="71" t="str">
        <x:v>Medium</x:v>
      </x:c>
      <x:c r="O542" s="71" t="str">
        <x:v>app/journey/new/trip-builder.tsx</x:v>
      </x:c>
      <x:c r="P542" s="71" t="str">
        <x:v>TripBuilderDocument:1856</x:v>
      </x:c>
      <x:c r="Q542" s="71" t="str">
        <x:v>EN (default / shared)</x:v>
      </x:c>
      <x:c r="R542"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542" s="75" t="str">
        <x:v>Not applied — review required</x:v>
      </x:c>
    </x:row>
    <x:row r="543">
      <x:c r="A543" s="71" t="str">
        <x:v>MRV-FAA50B89F5</x:v>
      </x:c>
      <x:c r="B543" s="71" t="str">
        <x:v>Planning</x:v>
      </x:c>
      <x:c r="C543" s="71" t="str">
        <x:v>New trip builder</x:v>
      </x:c>
      <x:c r="D543" s="71" t="str">
        <x:v>/journey/new/trip-builder</x:v>
      </x:c>
      <x:c r="E543" s="71" t="str">
        <x:v>TripBuilderDocument</x:v>
      </x:c>
      <x:c r="F543" s="71" t="str">
        <x:v>Accessibility / input support</x:v>
      </x:c>
      <x:c r="G543" s="71" t="str">
        <x:v>Accessibility label</x:v>
      </x:c>
      <x:c r="H543" s="71" t="str">
        <x:v>parada bloqueada</x:v>
      </x:c>
      <x:c r="I543" s="71" t="str">
        <x:v>parada bloqueada</x:v>
      </x:c>
      <x:c r="J543" s="73"/>
      <x:c r="K543" s="74" t="str">
        <x:f>IF(J543="",H543,IF(J543=I543,I543,J543))</x:f>
        <x:v>parada bloqueada</x:v>
      </x:c>
      <x:c r="L543" s="74" t="str">
        <x:f>IF(J543="","Keep current",IF(J543=I543,"Use suggestion","Custom"))</x:f>
        <x:v>Keep current</x:v>
      </x:c>
      <x:c r="M543" s="71" t="str">
        <x:v>Pending review</x:v>
      </x:c>
      <x:c r="N543" s="71" t="str">
        <x:v>Medium</x:v>
      </x:c>
      <x:c r="O543" s="71" t="str">
        <x:v>app/journey/new/trip-builder.tsx</x:v>
      </x:c>
      <x:c r="P543" s="71" t="str">
        <x:v>TripBuilderDocument:1856</x:v>
      </x:c>
      <x:c r="Q543" s="71" t="str">
        <x:v>ES</x:v>
      </x:c>
      <x:c r="R543" s="71" t="str">
        <x:v>Already clear and direct; suggested wording intentionally keeps the current copy.</x:v>
      </x:c>
      <x:c r="S543" s="75" t="str">
        <x:v>Not applied — review required</x:v>
      </x:c>
    </x:row>
    <x:row r="544">
      <x:c r="A544" s="71" t="str">
        <x:v>MRV-483542F94E</x:v>
      </x:c>
      <x:c r="B544" s="71" t="str">
        <x:v>Planning</x:v>
      </x:c>
      <x:c r="C544" s="71" t="str">
        <x:v>New trip builder</x:v>
      </x:c>
      <x:c r="D544" s="71" t="str">
        <x:v>/journey/new/trip-builder</x:v>
      </x:c>
      <x:c r="E544" s="71" t="str">
        <x:v>TripBuilderDocument</x:v>
      </x:c>
      <x:c r="F544" s="71" t="str">
        <x:v>Accessibility / input support</x:v>
      </x:c>
      <x:c r="G544" s="71" t="str">
        <x:v>Accessibility label</x:v>
      </x:c>
      <x:c r="H544" s="71" t="str">
        <x:v>locked stop</x:v>
      </x:c>
      <x:c r="I544" s="71" t="str">
        <x:v>locked stop</x:v>
      </x:c>
      <x:c r="J544" s="73"/>
      <x:c r="K544" s="74" t="str">
        <x:f>IF(J544="",H544,IF(J544=I544,I544,J544))</x:f>
        <x:v>locked stop</x:v>
      </x:c>
      <x:c r="L544" s="74" t="str">
        <x:f>IF(J544="","Keep current",IF(J544=I544,"Use suggestion","Custom"))</x:f>
        <x:v>Keep current</x:v>
      </x:c>
      <x:c r="M544" s="71" t="str">
        <x:v>Pending review</x:v>
      </x:c>
      <x:c r="N544" s="71" t="str">
        <x:v>Medium</x:v>
      </x:c>
      <x:c r="O544" s="71" t="str">
        <x:v>app/journey/new/trip-builder.tsx</x:v>
      </x:c>
      <x:c r="P544" s="71" t="str">
        <x:v>TripBuilderDocument:1856</x:v>
      </x:c>
      <x:c r="Q544" s="71" t="str">
        <x:v>EN</x:v>
      </x:c>
      <x:c r="R544" s="71" t="str">
        <x:v>Already clear and direct; suggested wording intentionally keeps the current copy. Terminology watch: ‘trip’ and ‘journey’ both describe the same plan. Terminology watch: ‘stops’, ‘destinations’ and ‘places’ overlap.</x:v>
      </x:c>
      <x:c r="S544" s="75" t="str">
        <x:v>Not applied — review required</x:v>
      </x:c>
    </x:row>
    <x:row r="545">
      <x:c r="A545" s="71" t="str">
        <x:v>MRV-435444DB2B</x:v>
      </x:c>
      <x:c r="B545" s="71" t="str">
        <x:v>Planning</x:v>
      </x:c>
      <x:c r="C545" s="71" t="str">
        <x:v>New trip builder</x:v>
      </x:c>
      <x:c r="D545" s="71" t="str">
        <x:v>/journey/new/trip-builder</x:v>
      </x:c>
      <x:c r="E545" s="71" t="str">
        <x:v>TripBuilderDocument</x:v>
      </x:c>
      <x:c r="F545" s="71" t="str">
        <x:v>Accessibility / input support</x:v>
      </x:c>
      <x:c r="G545" s="71" t="str">
        <x:v>Accessibility label</x:v>
      </x:c>
      <x:c r="H545" s="71" t="str">
        <x:v>{language === "es" ? "Quitar" : "Remove"} {stop.name}</x:v>
      </x:c>
      <x:c r="I545" s="71" t="str">
        <x:v>{language === "es" ? "Quitar" : "Remove"} {stop.name}</x:v>
      </x:c>
      <x:c r="J545" s="73"/>
      <x:c r="K545" s="74" t="str">
        <x:f>IF(J545="",H545,IF(J545=I545,I545,J545))</x:f>
        <x:v>{language === "es" ? "Quitar" : "Remove"} {stop.name}</x:v>
      </x:c>
      <x:c r="L545" s="74" t="str">
        <x:f>IF(J545="","Keep current",IF(J545=I545,"Use suggestion","Custom"))</x:f>
        <x:v>Keep current</x:v>
      </x:c>
      <x:c r="M545" s="71" t="str">
        <x:v>Pending review</x:v>
      </x:c>
      <x:c r="N545" s="71" t="str">
        <x:v>Medium</x:v>
      </x:c>
      <x:c r="O545" s="71" t="str">
        <x:v>app/journey/new/trip-builder.tsx</x:v>
      </x:c>
      <x:c r="P545" s="71" t="str">
        <x:v>TripBuilderDocument:1856</x:v>
      </x:c>
      <x:c r="Q545" s="71" t="str">
        <x:v>EN (default / shared)</x:v>
      </x:c>
      <x:c r="R545"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545" s="75" t="str">
        <x:v>Not applied — review required</x:v>
      </x:c>
    </x:row>
    <x:row r="546">
      <x:c r="A546" s="71" t="str">
        <x:v>MRV-AF55B36C5D</x:v>
      </x:c>
      <x:c r="B546" s="71" t="str">
        <x:v>Planning</x:v>
      </x:c>
      <x:c r="C546" s="71" t="str">
        <x:v>New trip builder</x:v>
      </x:c>
      <x:c r="D546" s="71" t="str">
        <x:v>/journey/new/trip-builder</x:v>
      </x:c>
      <x:c r="E546" s="71" t="str">
        <x:v>TripBuilderDocument</x:v>
      </x:c>
      <x:c r="F546" s="71" t="str">
        <x:v>Accessibility / input support</x:v>
      </x:c>
      <x:c r="G546" s="71" t="str">
        <x:v>Accessibility label</x:v>
      </x:c>
      <x:c r="H546" s="71" t="str">
        <x:v>Quitar</x:v>
      </x:c>
      <x:c r="I546" s="71" t="str">
        <x:v>Quitar</x:v>
      </x:c>
      <x:c r="J546" s="73"/>
      <x:c r="K546" s="74" t="str">
        <x:f>IF(J546="",H546,IF(J546=I546,I546,J546))</x:f>
        <x:v>Quitar</x:v>
      </x:c>
      <x:c r="L546" s="74" t="str">
        <x:f>IF(J546="","Keep current",IF(J546=I546,"Use suggestion","Custom"))</x:f>
        <x:v>Keep current</x:v>
      </x:c>
      <x:c r="M546" s="71" t="str">
        <x:v>Pending review</x:v>
      </x:c>
      <x:c r="N546" s="71" t="str">
        <x:v>Medium</x:v>
      </x:c>
      <x:c r="O546" s="71" t="str">
        <x:v>app/journey/new/trip-builder.tsx</x:v>
      </x:c>
      <x:c r="P546" s="71" t="str">
        <x:v>TripBuilderDocument:1856</x:v>
      </x:c>
      <x:c r="Q546" s="71" t="str">
        <x:v>ES</x:v>
      </x:c>
      <x:c r="R546" s="71" t="str">
        <x:v>Already clear and direct; suggested wording intentionally keeps the current copy. Duplicate wording: appears 3 times.</x:v>
      </x:c>
      <x:c r="S546" s="75" t="str">
        <x:v>Not applied — review required</x:v>
      </x:c>
    </x:row>
    <x:row r="547">
      <x:c r="A547" s="71" t="str">
        <x:v>MRV-F6D14DBED1</x:v>
      </x:c>
      <x:c r="B547" s="71" t="str">
        <x:v>Planning</x:v>
      </x:c>
      <x:c r="C547" s="71" t="str">
        <x:v>New trip builder</x:v>
      </x:c>
      <x:c r="D547" s="71" t="str">
        <x:v>/journey/new/trip-builder</x:v>
      </x:c>
      <x:c r="E547" s="71" t="str">
        <x:v>TripBuilderDocument</x:v>
      </x:c>
      <x:c r="F547" s="71" t="str">
        <x:v>Accessibility / input support</x:v>
      </x:c>
      <x:c r="G547" s="71" t="str">
        <x:v>Accessibility label</x:v>
      </x:c>
      <x:c r="H547" s="71" t="str">
        <x:v>Remove</x:v>
      </x:c>
      <x:c r="I547" s="71" t="str">
        <x:v>Remove</x:v>
      </x:c>
      <x:c r="J547" s="73"/>
      <x:c r="K547" s="74" t="str">
        <x:f>IF(J547="",H547,IF(J547=I547,I547,J547))</x:f>
        <x:v>Remove</x:v>
      </x:c>
      <x:c r="L547" s="74" t="str">
        <x:f>IF(J547="","Keep current",IF(J547=I547,"Use suggestion","Custom"))</x:f>
        <x:v>Keep current</x:v>
      </x:c>
      <x:c r="M547" s="71" t="str">
        <x:v>Pending review</x:v>
      </x:c>
      <x:c r="N547" s="71" t="str">
        <x:v>Medium</x:v>
      </x:c>
      <x:c r="O547" s="71" t="str">
        <x:v>app/journey/new/trip-builder.tsx</x:v>
      </x:c>
      <x:c r="P547" s="71" t="str">
        <x:v>TripBuilderDocument:1856</x:v>
      </x:c>
      <x:c r="Q547" s="71" t="str">
        <x:v>EN</x:v>
      </x:c>
      <x:c r="R547" s="71" t="str">
        <x:v>Already clear and direct; suggested wording intentionally keeps the current copy. Duplicate wording: appears 3 times.</x:v>
      </x:c>
      <x:c r="S547" s="75" t="str">
        <x:v>Not applied — review required</x:v>
      </x:c>
    </x:row>
    <x:row r="548">
      <x:c r="A548" s="71" t="str">
        <x:v>MRV-2BC9023C21</x:v>
      </x:c>
      <x:c r="B548" s="71" t="str">
        <x:v>Planning</x:v>
      </x:c>
      <x:c r="C548" s="71" t="str">
        <x:v>New trip builder</x:v>
      </x:c>
      <x:c r="D548" s="71" t="str">
        <x:v>/journey/new/trip-builder</x:v>
      </x:c>
      <x:c r="E548" s="71" t="str">
        <x:v>TripBuilderDocument</x:v>
      </x:c>
      <x:c r="F548" s="71" t="str">
        <x:v>Default</x:v>
      </x:c>
      <x:c r="G548" s="71" t="str">
        <x:v>Label</x:v>
      </x:c>
      <x:c r="H548" s="71" t="str">
        <x:v>Añade una base para</x:v>
      </x:c>
      <x:c r="I548" s="71" t="str">
        <x:v>Añade una base para</x:v>
      </x:c>
      <x:c r="J548" s="73"/>
      <x:c r="K548" s="74" t="str">
        <x:f>IF(J548="",H548,IF(J548=I548,I548,J548))</x:f>
        <x:v>Añade una base para</x:v>
      </x:c>
      <x:c r="L548" s="74" t="str">
        <x:f>IF(J548="","Keep current",IF(J548=I548,"Use suggestion","Custom"))</x:f>
        <x:v>Keep current</x:v>
      </x:c>
      <x:c r="M548" s="71" t="str">
        <x:v>Pending review</x:v>
      </x:c>
      <x:c r="N548" s="71" t="str">
        <x:v>Normal</x:v>
      </x:c>
      <x:c r="O548" s="71" t="str">
        <x:v>app/journey/new/trip-builder.tsx</x:v>
      </x:c>
      <x:c r="P548" s="71" t="str">
        <x:v>TripBuilderDocument:1858</x:v>
      </x:c>
      <x:c r="Q548" s="71" t="str">
        <x:v>ES</x:v>
      </x:c>
      <x:c r="R548" s="71" t="str">
        <x:v>Already clear and direct; suggested wording intentionally keeps the current copy.</x:v>
      </x:c>
      <x:c r="S548" s="75" t="str">
        <x:v>Not applied — review required</x:v>
      </x:c>
    </x:row>
    <x:row r="549">
      <x:c r="A549" s="71" t="str">
        <x:v>MRV-97355C9EBF</x:v>
      </x:c>
      <x:c r="B549" s="71" t="str">
        <x:v>Planning</x:v>
      </x:c>
      <x:c r="C549" s="71" t="str">
        <x:v>New trip builder</x:v>
      </x:c>
      <x:c r="D549" s="71" t="str">
        <x:v>/journey/new/trip-builder</x:v>
      </x:c>
      <x:c r="E549" s="71" t="str">
        <x:v>TripBuilderDocument</x:v>
      </x:c>
      <x:c r="F549" s="71" t="str">
        <x:v>Default</x:v>
      </x:c>
      <x:c r="G549" s="71" t="str">
        <x:v>CTA / button</x:v>
      </x:c>
      <x:c r="H549" s="71" t="str">
        <x:v>Add a base for</x:v>
      </x:c>
      <x:c r="I549" s="71" t="str">
        <x:v>Add a base for</x:v>
      </x:c>
      <x:c r="J549" s="73"/>
      <x:c r="K549" s="74" t="str">
        <x:f>IF(J549="",H549,IF(J549=I549,I549,J549))</x:f>
        <x:v>Add a base for</x:v>
      </x:c>
      <x:c r="L549" s="74" t="str">
        <x:f>IF(J549="","Keep current",IF(J549=I549,"Use suggestion","Custom"))</x:f>
        <x:v>Keep current</x:v>
      </x:c>
      <x:c r="M549" s="71" t="str">
        <x:v>Pending review</x:v>
      </x:c>
      <x:c r="N549" s="71" t="str">
        <x:v>Medium</x:v>
      </x:c>
      <x:c r="O549" s="71" t="str">
        <x:v>app/journey/new/trip-builder.tsx</x:v>
      </x:c>
      <x:c r="P549" s="71" t="str">
        <x:v>TripBuilderDocument:1858</x:v>
      </x:c>
      <x:c r="Q549" s="71" t="str">
        <x:v>EN</x:v>
      </x:c>
      <x:c r="R549" s="71" t="str">
        <x:v>Already clear and direct; suggested wording intentionally keeps the current copy.</x:v>
      </x:c>
      <x:c r="S549" s="75" t="str">
        <x:v>Not applied — review required</x:v>
      </x:c>
    </x:row>
    <x:row r="550">
      <x:c r="A550" s="71" t="str">
        <x:v>MRV-B3BCCC51CA</x:v>
      </x:c>
      <x:c r="B550" s="71" t="str">
        <x:v>Planning</x:v>
      </x:c>
      <x:c r="C550" s="71" t="str">
        <x:v>New trip builder</x:v>
      </x:c>
      <x:c r="D550" s="71" t="str">
        <x:v>/journey/new/trip-builder</x:v>
      </x:c>
      <x:c r="E550" s="71" t="str">
        <x:v>TripBuilderDocument</x:v>
      </x:c>
      <x:c r="F550" s="71" t="str">
        <x:v>Default</x:v>
      </x:c>
      <x:c r="G550" s="71" t="str">
        <x:v>CTA / button</x:v>
      </x:c>
      <x:c r="H550" s="71" t="str">
        <x:v>Cancelar</x:v>
      </x:c>
      <x:c r="I550" s="71" t="str">
        <x:v>Cancelar</x:v>
      </x:c>
      <x:c r="J550" s="73"/>
      <x:c r="K550" s="74" t="str">
        <x:f>IF(J550="",H550,IF(J550=I550,I550,J550))</x:f>
        <x:v>Cancelar</x:v>
      </x:c>
      <x:c r="L550" s="74" t="str">
        <x:f>IF(J550="","Keep current",IF(J550=I550,"Use suggestion","Custom"))</x:f>
        <x:v>Keep current</x:v>
      </x:c>
      <x:c r="M550" s="71" t="str">
        <x:v>Pending review</x:v>
      </x:c>
      <x:c r="N550" s="71" t="str">
        <x:v>Medium</x:v>
      </x:c>
      <x:c r="O550" s="71" t="str">
        <x:v>app/journey/new/trip-builder.tsx</x:v>
      </x:c>
      <x:c r="P550" s="71" t="str">
        <x:v>TripBuilderDocument:1861</x:v>
      </x:c>
      <x:c r="Q550" s="71" t="str">
        <x:v>ES</x:v>
      </x:c>
      <x:c r="R550" s="71" t="str">
        <x:v>Already clear and direct; suggested wording intentionally keeps the current copy.</x:v>
      </x:c>
      <x:c r="S550" s="75" t="str">
        <x:v>Not applied — review required</x:v>
      </x:c>
    </x:row>
    <x:row r="551">
      <x:c r="A551" s="71" t="str">
        <x:v>MRV-2E39F5D628</x:v>
      </x:c>
      <x:c r="B551" s="71" t="str">
        <x:v>Planning</x:v>
      </x:c>
      <x:c r="C551" s="71" t="str">
        <x:v>New trip builder</x:v>
      </x:c>
      <x:c r="D551" s="71" t="str">
        <x:v>/journey/new/trip-builder</x:v>
      </x:c>
      <x:c r="E551" s="71" t="str">
        <x:v>TripBuilderDocument</x:v>
      </x:c>
      <x:c r="F551" s="71" t="str">
        <x:v>Default</x:v>
      </x:c>
      <x:c r="G551" s="71" t="str">
        <x:v>CTA / button</x:v>
      </x:c>
      <x:c r="H551" s="71" t="str">
        <x:v>Cancel</x:v>
      </x:c>
      <x:c r="I551" s="71" t="str">
        <x:v>Cancel</x:v>
      </x:c>
      <x:c r="J551" s="73"/>
      <x:c r="K551" s="74" t="str">
        <x:f>IF(J551="",H551,IF(J551=I551,I551,J551))</x:f>
        <x:v>Cancel</x:v>
      </x:c>
      <x:c r="L551" s="74" t="str">
        <x:f>IF(J551="","Keep current",IF(J551=I551,"Use suggestion","Custom"))</x:f>
        <x:v>Keep current</x:v>
      </x:c>
      <x:c r="M551" s="71" t="str">
        <x:v>Pending review</x:v>
      </x:c>
      <x:c r="N551" s="71" t="str">
        <x:v>Medium</x:v>
      </x:c>
      <x:c r="O551" s="71" t="str">
        <x:v>app/journey/new/trip-builder.tsx</x:v>
      </x:c>
      <x:c r="P551" s="71" t="str">
        <x:v>TripBuilderDocument:1861</x:v>
      </x:c>
      <x:c r="Q551" s="71" t="str">
        <x:v>EN</x:v>
      </x:c>
      <x:c r="R551" s="71" t="str">
        <x:v>Already clear and direct; suggested wording intentionally keeps the current copy. Duplicate wording: appears 2 times.</x:v>
      </x:c>
      <x:c r="S551" s="75" t="str">
        <x:v>Not applied — review required</x:v>
      </x:c>
    </x:row>
    <x:row r="552">
      <x:c r="A552" s="71" t="str">
        <x:v>MRV-AD6251CE04</x:v>
      </x:c>
      <x:c r="B552" s="71" t="str">
        <x:v>Planning</x:v>
      </x:c>
      <x:c r="C552" s="71" t="str">
        <x:v>New trip builder</x:v>
      </x:c>
      <x:c r="D552" s="71" t="str">
        <x:v>/journey/new/trip-builder</x:v>
      </x:c>
      <x:c r="E552" s="71" t="str">
        <x:v>TripBuilderDocument</x:v>
      </x:c>
      <x:c r="F552" s="71" t="str">
        <x:v>Accessibility / input support</x:v>
      </x:c>
      <x:c r="G552" s="71" t="str">
        <x:v>Accessibility label</x:v>
      </x:c>
      <x:c r="H552" s="71" t="str">
        <x:v>Geografía entendida</x:v>
      </x:c>
      <x:c r="I552" s="71" t="str">
        <x:v>Geografía entendida</x:v>
      </x:c>
      <x:c r="J552" s="73"/>
      <x:c r="K552" s="74" t="str">
        <x:f>IF(J552="",H552,IF(J552=I552,I552,J552))</x:f>
        <x:v>Geografía entendida</x:v>
      </x:c>
      <x:c r="L552" s="74" t="str">
        <x:f>IF(J552="","Keep current",IF(J552=I552,"Use suggestion","Custom"))</x:f>
        <x:v>Keep current</x:v>
      </x:c>
      <x:c r="M552" s="71" t="str">
        <x:v>Pending review</x:v>
      </x:c>
      <x:c r="N552" s="71" t="str">
        <x:v>Medium</x:v>
      </x:c>
      <x:c r="O552" s="71" t="str">
        <x:v>app/journey/new/trip-builder.tsx</x:v>
      </x:c>
      <x:c r="P552" s="71" t="str">
        <x:v>TripBuilderDocument:1867</x:v>
      </x:c>
      <x:c r="Q552" s="71" t="str">
        <x:v>ES</x:v>
      </x:c>
      <x:c r="R552" s="71" t="str">
        <x:v>Already clear and direct; suggested wording intentionally keeps the current copy. Duplicate wording: appears 2 times.</x:v>
      </x:c>
      <x:c r="S552" s="75" t="str">
        <x:v>Not applied — review required</x:v>
      </x:c>
    </x:row>
    <x:row r="553">
      <x:c r="A553" s="71" t="str">
        <x:v>MRV-7FB609A869</x:v>
      </x:c>
      <x:c r="B553" s="71" t="str">
        <x:v>Planning</x:v>
      </x:c>
      <x:c r="C553" s="71" t="str">
        <x:v>New trip builder</x:v>
      </x:c>
      <x:c r="D553" s="71" t="str">
        <x:v>/journey/new/trip-builder</x:v>
      </x:c>
      <x:c r="E553" s="71" t="str">
        <x:v>TripBuilderDocument</x:v>
      </x:c>
      <x:c r="F553" s="71" t="str">
        <x:v>Accessibility / input support</x:v>
      </x:c>
      <x:c r="G553" s="71" t="str">
        <x:v>Accessibility label</x:v>
      </x:c>
      <x:c r="H553" s="71" t="str">
        <x:v>Geography understood</x:v>
      </x:c>
      <x:c r="I553" s="71" t="str">
        <x:v>Geography understood</x:v>
      </x:c>
      <x:c r="J553" s="73"/>
      <x:c r="K553" s="74" t="str">
        <x:f>IF(J553="",H553,IF(J553=I553,I553,J553))</x:f>
        <x:v>Geography understood</x:v>
      </x:c>
      <x:c r="L553" s="74" t="str">
        <x:f>IF(J553="","Keep current",IF(J553=I553,"Use suggestion","Custom"))</x:f>
        <x:v>Keep current</x:v>
      </x:c>
      <x:c r="M553" s="71" t="str">
        <x:v>Pending review</x:v>
      </x:c>
      <x:c r="N553" s="71" t="str">
        <x:v>Medium</x:v>
      </x:c>
      <x:c r="O553" s="71" t="str">
        <x:v>app/journey/new/trip-builder.tsx</x:v>
      </x:c>
      <x:c r="P553" s="71" t="str">
        <x:v>TripBuilderDocument:1867</x:v>
      </x:c>
      <x:c r="Q553" s="71" t="str">
        <x:v>EN</x:v>
      </x:c>
      <x:c r="R553" s="71" t="str">
        <x:v>Already clear and direct; suggested wording intentionally keeps the current copy.</x:v>
      </x:c>
      <x:c r="S553" s="75" t="str">
        <x:v>Not applied — review required</x:v>
      </x:c>
    </x:row>
    <x:row r="554">
      <x:c r="A554" s="71" t="str">
        <x:v>MRV-066129A65F</x:v>
      </x:c>
      <x:c r="B554" s="71" t="str">
        <x:v>Planning</x:v>
      </x:c>
      <x:c r="C554" s="71" t="str">
        <x:v>New trip builder</x:v>
      </x:c>
      <x:c r="D554" s="71" t="str">
        <x:v>/journey/new/trip-builder</x:v>
      </x:c>
      <x:c r="E554" s="71" t="str">
        <x:v>TripBuilderDocument</x:v>
      </x:c>
      <x:c r="F554" s="71" t="str">
        <x:v>Default</x:v>
      </x:c>
      <x:c r="G554" s="71" t="str">
        <x:v>Label</x:v>
      </x:c>
      <x:c r="H554" s="71" t="str">
        <x:v>GEOGRAFÍA ENTENDIDA</x:v>
      </x:c>
      <x:c r="I554" s="71" t="str">
        <x:v>GEOGRAFÍA ENTENDIDA</x:v>
      </x:c>
      <x:c r="J554" s="73"/>
      <x:c r="K554" s="74" t="str">
        <x:f>IF(J554="",H554,IF(J554=I554,I554,J554))</x:f>
        <x:v>GEOGRAFÍA ENTENDIDA</x:v>
      </x:c>
      <x:c r="L554" s="74" t="str">
        <x:f>IF(J554="","Keep current",IF(J554=I554,"Use suggestion","Custom"))</x:f>
        <x:v>Keep current</x:v>
      </x:c>
      <x:c r="M554" s="71" t="str">
        <x:v>Pending review</x:v>
      </x:c>
      <x:c r="N554" s="71" t="str">
        <x:v>Normal</x:v>
      </x:c>
      <x:c r="O554" s="71" t="str">
        <x:v>app/journey/new/trip-builder.tsx</x:v>
      </x:c>
      <x:c r="P554" s="71" t="str">
        <x:v>TripBuilderDocument:1868</x:v>
      </x:c>
      <x:c r="Q554" s="71" t="str">
        <x:v>ES</x:v>
      </x:c>
      <x:c r="R554" s="71" t="str">
        <x:v>Already clear and direct; suggested wording intentionally keeps the current copy. Duplicate wording: appears 2 times.</x:v>
      </x:c>
      <x:c r="S554" s="75" t="str">
        <x:v>Not applied — review required</x:v>
      </x:c>
    </x:row>
    <x:row r="555">
      <x:c r="A555" s="71" t="str">
        <x:v>MRV-C5993B00A1</x:v>
      </x:c>
      <x:c r="B555" s="71" t="str">
        <x:v>Planning</x:v>
      </x:c>
      <x:c r="C555" s="71" t="str">
        <x:v>New trip builder</x:v>
      </x:c>
      <x:c r="D555" s="71" t="str">
        <x:v>/journey/new/trip-builder</x:v>
      </x:c>
      <x:c r="E555" s="71" t="str">
        <x:v>TripBuilderDocument</x:v>
      </x:c>
      <x:c r="F555" s="71" t="str">
        <x:v>Default</x:v>
      </x:c>
      <x:c r="G555" s="71" t="str">
        <x:v>Label</x:v>
      </x:c>
      <x:c r="H555" s="71" t="str">
        <x:v>GEOGRAPHY WE UNDERSTOOD</x:v>
      </x:c>
      <x:c r="I555" s="71" t="str">
        <x:v>GEOGRAPHY WE UNDERSTOOD</x:v>
      </x:c>
      <x:c r="J555" s="73"/>
      <x:c r="K555" s="74" t="str">
        <x:f>IF(J555="",H555,IF(J555=I555,I555,J555))</x:f>
        <x:v>GEOGRAPHY WE UNDERSTOOD</x:v>
      </x:c>
      <x:c r="L555" s="74" t="str">
        <x:f>IF(J555="","Keep current",IF(J555=I555,"Use suggestion","Custom"))</x:f>
        <x:v>Keep current</x:v>
      </x:c>
      <x:c r="M555" s="71" t="str">
        <x:v>Pending review</x:v>
      </x:c>
      <x:c r="N555" s="71" t="str">
        <x:v>Normal</x:v>
      </x:c>
      <x:c r="O555" s="71" t="str">
        <x:v>app/journey/new/trip-builder.tsx</x:v>
      </x:c>
      <x:c r="P555" s="71" t="str">
        <x:v>TripBuilderDocument:1868</x:v>
      </x:c>
      <x:c r="Q555" s="71" t="str">
        <x:v>EN</x:v>
      </x:c>
      <x:c r="R555" s="71" t="str">
        <x:v>Already clear and direct; suggested wording intentionally keeps the current copy.</x:v>
      </x:c>
      <x:c r="S555" s="75" t="str">
        <x:v>Not applied — review required</x:v>
      </x:c>
    </x:row>
    <x:row r="556">
      <x:c r="A556" s="71" t="str">
        <x:v>MRV-104381D4D8</x:v>
      </x:c>
      <x:c r="B556" s="71" t="str">
        <x:v>Planning</x:v>
      </x:c>
      <x:c r="C556" s="71" t="str">
        <x:v>New trip builder</x:v>
      </x:c>
      <x:c r="D556" s="71" t="str">
        <x:v>/journey/new/trip-builder</x:v>
      </x:c>
      <x:c r="E556" s="71" t="str">
        <x:v>TripBuilderDocument</x:v>
      </x:c>
      <x:c r="F556" s="71" t="str">
        <x:v>Default</x:v>
      </x:c>
      <x:c r="G556" s="71" t="str">
        <x:v>Body copy</x:v>
      </x:c>
      <x:c r="H556" s="71" t="str">
        <x:v>Las regiones se conservan hasta que elijas una base.</x:v>
      </x:c>
      <x:c r="I556" s="71" t="str">
        <x:v>Las regiones se conservan hasta que elijas una base.</x:v>
      </x:c>
      <x:c r="J556" s="73"/>
      <x:c r="K556" s="74" t="str">
        <x:f>IF(J556="",H556,IF(J556=I556,I556,J556))</x:f>
        <x:v>Las regiones se conservan hasta que elijas una base.</x:v>
      </x:c>
      <x:c r="L556" s="74" t="str">
        <x:f>IF(J556="","Keep current",IF(J556=I556,"Use suggestion","Custom"))</x:f>
        <x:v>Keep current</x:v>
      </x:c>
      <x:c r="M556" s="71" t="str">
        <x:v>Pending review</x:v>
      </x:c>
      <x:c r="N556" s="71" t="str">
        <x:v>Normal</x:v>
      </x:c>
      <x:c r="O556" s="71" t="str">
        <x:v>app/journey/new/trip-builder.tsx</x:v>
      </x:c>
      <x:c r="P556" s="71" t="str">
        <x:v>TripBuilderDocument:1868</x:v>
      </x:c>
      <x:c r="Q556" s="71" t="str">
        <x:v>ES</x:v>
      </x:c>
      <x:c r="R556" s="71" t="str">
        <x:v>Already clear and direct; suggested wording intentionally keeps the current copy.</x:v>
      </x:c>
      <x:c r="S556" s="75" t="str">
        <x:v>Not applied — review required</x:v>
      </x:c>
    </x:row>
    <x:row r="557">
      <x:c r="A557" s="71" t="str">
        <x:v>MRV-CD1E58AE8A</x:v>
      </x:c>
      <x:c r="B557" s="71" t="str">
        <x:v>Planning</x:v>
      </x:c>
      <x:c r="C557" s="71" t="str">
        <x:v>New trip builder</x:v>
      </x:c>
      <x:c r="D557" s="71" t="str">
        <x:v>/journey/new/trip-builder</x:v>
      </x:c>
      <x:c r="E557" s="71" t="str">
        <x:v>TripBuilderDocument</x:v>
      </x:c>
      <x:c r="F557" s="71" t="str">
        <x:v>Default</x:v>
      </x:c>
      <x:c r="G557" s="71" t="str">
        <x:v>Body copy</x:v>
      </x:c>
      <x:c r="H557" s="71" t="str">
        <x:v>Regions stay in your brief until you choose a base.</x:v>
      </x:c>
      <x:c r="I557" s="71" t="str">
        <x:v>Regions stay in your brief until you choose a base.</x:v>
      </x:c>
      <x:c r="J557" s="73"/>
      <x:c r="K557" s="74" t="str">
        <x:f>IF(J557="",H557,IF(J557=I557,I557,J557))</x:f>
        <x:v>Regions stay in your brief until you choose a base.</x:v>
      </x:c>
      <x:c r="L557" s="74" t="str">
        <x:f>IF(J557="","Keep current",IF(J557=I557,"Use suggestion","Custom"))</x:f>
        <x:v>Keep current</x:v>
      </x:c>
      <x:c r="M557" s="71" t="str">
        <x:v>Pending review</x:v>
      </x:c>
      <x:c r="N557" s="71" t="str">
        <x:v>Normal</x:v>
      </x:c>
      <x:c r="O557" s="71" t="str">
        <x:v>app/journey/new/trip-builder.tsx</x:v>
      </x:c>
      <x:c r="P557" s="71" t="str">
        <x:v>TripBuilderDocument:1868</x:v>
      </x:c>
      <x:c r="Q557" s="71" t="str">
        <x:v>EN</x:v>
      </x:c>
      <x:c r="R557" s="71" t="str">
        <x:v>Already clear and direct; suggested wording intentionally keeps the current copy.</x:v>
      </x:c>
      <x:c r="S557" s="75" t="str">
        <x:v>Not applied — review required</x:v>
      </x:c>
    </x:row>
    <x:row r="558">
      <x:c r="A558" s="71" t="str">
        <x:v>MRV-14C65D8561</x:v>
      </x:c>
      <x:c r="B558" s="71" t="str">
        <x:v>Planning</x:v>
      </x:c>
      <x:c r="C558" s="71" t="str">
        <x:v>New trip builder</x:v>
      </x:c>
      <x:c r="D558" s="71" t="str">
        <x:v>/journey/new/trip-builder</x:v>
      </x:c>
      <x:c r="E558" s="71" t="str">
        <x:v>TripBuilderDocument</x:v>
      </x:c>
      <x:c r="F558" s="71" t="str">
        <x:v>Default</x:v>
      </x:c>
      <x:c r="G558" s="71" t="str">
        <x:v>Label</x:v>
      </x:c>
      <x:c r="H558" s="71" t="str">
        <x:v>También mencionado como</x:v>
      </x:c>
      <x:c r="I558" s="71" t="str">
        <x:v>También mencionado como</x:v>
      </x:c>
      <x:c r="J558" s="73"/>
      <x:c r="K558" s="74" t="str">
        <x:f>IF(J558="",H558,IF(J558=I558,I558,J558))</x:f>
        <x:v>También mencionado como</x:v>
      </x:c>
      <x:c r="L558" s="74" t="str">
        <x:f>IF(J558="","Keep current",IF(J558=I558,"Use suggestion","Custom"))</x:f>
        <x:v>Keep current</x:v>
      </x:c>
      <x:c r="M558" s="71" t="str">
        <x:v>Pending review</x:v>
      </x:c>
      <x:c r="N558" s="71" t="str">
        <x:v>Normal</x:v>
      </x:c>
      <x:c r="O558" s="71" t="str">
        <x:v>app/journey/new/trip-builder.tsx</x:v>
      </x:c>
      <x:c r="P558" s="71" t="str">
        <x:v>TripBuilderDocument:1874</x:v>
      </x:c>
      <x:c r="Q558" s="71" t="str">
        <x:v>ES</x:v>
      </x:c>
      <x:c r="R558" s="71" t="str">
        <x:v>Already clear and direct; suggested wording intentionally keeps the current copy.</x:v>
      </x:c>
      <x:c r="S558" s="75" t="str">
        <x:v>Not applied — review required</x:v>
      </x:c>
    </x:row>
    <x:row r="559">
      <x:c r="A559" s="71" t="str">
        <x:v>MRV-3725566438</x:v>
      </x:c>
      <x:c r="B559" s="71" t="str">
        <x:v>Planning</x:v>
      </x:c>
      <x:c r="C559" s="71" t="str">
        <x:v>New trip builder</x:v>
      </x:c>
      <x:c r="D559" s="71" t="str">
        <x:v>/journey/new/trip-builder</x:v>
      </x:c>
      <x:c r="E559" s="71" t="str">
        <x:v>TripBuilderDocument</x:v>
      </x:c>
      <x:c r="F559" s="71" t="str">
        <x:v>Default</x:v>
      </x:c>
      <x:c r="G559" s="71" t="str">
        <x:v>Label</x:v>
      </x:c>
      <x:c r="H559" s="71" t="str">
        <x:v>Also mentioned as</x:v>
      </x:c>
      <x:c r="I559" s="71" t="str">
        <x:v>Also mentioned as</x:v>
      </x:c>
      <x:c r="J559" s="73"/>
      <x:c r="K559" s="74" t="str">
        <x:f>IF(J559="",H559,IF(J559=I559,I559,J559))</x:f>
        <x:v>Also mentioned as</x:v>
      </x:c>
      <x:c r="L559" s="74" t="str">
        <x:f>IF(J559="","Keep current",IF(J559=I559,"Use suggestion","Custom"))</x:f>
        <x:v>Keep current</x:v>
      </x:c>
      <x:c r="M559" s="71" t="str">
        <x:v>Pending review</x:v>
      </x:c>
      <x:c r="N559" s="71" t="str">
        <x:v>Normal</x:v>
      </x:c>
      <x:c r="O559" s="71" t="str">
        <x:v>app/journey/new/trip-builder.tsx</x:v>
      </x:c>
      <x:c r="P559" s="71" t="str">
        <x:v>TripBuilderDocument:1874</x:v>
      </x:c>
      <x:c r="Q559" s="71" t="str">
        <x:v>EN</x:v>
      </x:c>
      <x:c r="R559" s="71" t="str">
        <x:v>Already clear and direct; suggested wording intentionally keeps the current copy.</x:v>
      </x:c>
      <x:c r="S559" s="75" t="str">
        <x:v>Not applied — review required</x:v>
      </x:c>
    </x:row>
    <x:row r="560">
      <x:c r="A560" s="71" t="str">
        <x:v>MRV-3EDD069F83</x:v>
      </x:c>
      <x:c r="B560" s="71" t="str">
        <x:v>Planning</x:v>
      </x:c>
      <x:c r="C560" s="71" t="str">
        <x:v>New trip builder</x:v>
      </x:c>
      <x:c r="D560" s="71" t="str">
        <x:v>/journey/new/trip-builder</x:v>
      </x:c>
      <x:c r="E560" s="71" t="str">
        <x:v>TripBuilderDocument</x:v>
      </x:c>
      <x:c r="F560" s="71" t="str">
        <x:v>Default</x:v>
      </x:c>
      <x:c r="G560" s="71" t="str">
        <x:v>Body copy</x:v>
      </x:c>
      <x:c r="H560" s="71" t="str">
        <x:v>· {option.country}</x:v>
      </x:c>
      <x:c r="I560" s="71" t="str">
        <x:v>· {option.country}</x:v>
      </x:c>
      <x:c r="J560" s="73"/>
      <x:c r="K560" s="74" t="str">
        <x:f>IF(J560="",H560,IF(J560=I560,I560,J560))</x:f>
        <x:v>· {option.country}</x:v>
      </x:c>
      <x:c r="L560" s="74" t="str">
        <x:f>IF(J560="","Keep current",IF(J560=I560,"Use suggestion","Custom"))</x:f>
        <x:v>Keep current</x:v>
      </x:c>
      <x:c r="M560" s="71" t="str">
        <x:v>Pending review</x:v>
      </x:c>
      <x:c r="N560" s="71" t="str">
        <x:v>Normal</x:v>
      </x:c>
      <x:c r="O560" s="71" t="str">
        <x:v>app/journey/new/trip-builder.tsx</x:v>
      </x:c>
      <x:c r="P560" s="71" t="str">
        <x:v>TripBuilderDocument:1876</x:v>
      </x:c>
      <x:c r="Q560" s="71" t="str">
        <x:v>EN (default / shared)</x:v>
      </x:c>
      <x:c r="R560" s="71" t="str">
        <x:v>Already clear and direct; suggested wording intentionally keeps the current copy. Dynamic traveller or trip value is represented as a token; user-generated values are excluded.</x:v>
      </x:c>
      <x:c r="S560" s="75" t="str">
        <x:v>Not applied — review required</x:v>
      </x:c>
    </x:row>
    <x:row r="561">
      <x:c r="A561" s="71" t="str">
        <x:v>MRV-888BAFD305</x:v>
      </x:c>
      <x:c r="B561" s="71" t="str">
        <x:v>Planning</x:v>
      </x:c>
      <x:c r="C561" s="71" t="str">
        <x:v>New trip builder</x:v>
      </x:c>
      <x:c r="D561" s="71" t="str">
        <x:v>/journey/new/trip-builder</x:v>
      </x:c>
      <x:c r="E561" s="71" t="str">
        <x:v>TripBuilderDocument</x:v>
      </x:c>
      <x:c r="F561" s="71" t="str">
        <x:v>Default</x:v>
      </x:c>
      <x:c r="G561" s="71" t="str">
        <x:v>Label</x:v>
      </x:c>
      <x:c r="H561" s="71" t="str">
        <x:v>Añadirlo manualmente</x:v>
      </x:c>
      <x:c r="I561" s="71" t="str">
        <x:v>Añadirlo manualmente</x:v>
      </x:c>
      <x:c r="J561" s="73"/>
      <x:c r="K561" s="74" t="str">
        <x:f>IF(J561="",H561,IF(J561=I561,I561,J561))</x:f>
        <x:v>Añadirlo manualmente</x:v>
      </x:c>
      <x:c r="L561" s="74" t="str">
        <x:f>IF(J561="","Keep current",IF(J561=I561,"Use suggestion","Custom"))</x:f>
        <x:v>Keep current</x:v>
      </x:c>
      <x:c r="M561" s="71" t="str">
        <x:v>Pending review</x:v>
      </x:c>
      <x:c r="N561" s="71" t="str">
        <x:v>Normal</x:v>
      </x:c>
      <x:c r="O561" s="71" t="str">
        <x:v>app/journey/new/trip-builder.tsx</x:v>
      </x:c>
      <x:c r="P561" s="71" t="str">
        <x:v>TripBuilderDocument:1877</x:v>
      </x:c>
      <x:c r="Q561" s="71" t="str">
        <x:v>ES</x:v>
      </x:c>
      <x:c r="R561" s="71" t="str">
        <x:v>Already clear and direct; suggested wording intentionally keeps the current copy.</x:v>
      </x:c>
      <x:c r="S561" s="75" t="str">
        <x:v>Not applied — review required</x:v>
      </x:c>
    </x:row>
    <x:row r="562">
      <x:c r="A562" s="71" t="str">
        <x:v>MRV-01D69353C2</x:v>
      </x:c>
      <x:c r="B562" s="71" t="str">
        <x:v>Planning</x:v>
      </x:c>
      <x:c r="C562" s="71" t="str">
        <x:v>New trip builder</x:v>
      </x:c>
      <x:c r="D562" s="71" t="str">
        <x:v>/journey/new/trip-builder</x:v>
      </x:c>
      <x:c r="E562" s="71" t="str">
        <x:v>TripBuilderDocument</x:v>
      </x:c>
      <x:c r="F562" s="71" t="str">
        <x:v>Default</x:v>
      </x:c>
      <x:c r="G562" s="71" t="str">
        <x:v>Label</x:v>
      </x:c>
      <x:c r="H562" s="71" t="str">
        <x:v>I’ll add it myself</x:v>
      </x:c>
      <x:c r="I562" s="71" t="str">
        <x:v>I’ll add it myself</x:v>
      </x:c>
      <x:c r="J562" s="73"/>
      <x:c r="K562" s="74" t="str">
        <x:f>IF(J562="",H562,IF(J562=I562,I562,J562))</x:f>
        <x:v>I’ll add it myself</x:v>
      </x:c>
      <x:c r="L562" s="74" t="str">
        <x:f>IF(J562="","Keep current",IF(J562=I562,"Use suggestion","Custom"))</x:f>
        <x:v>Keep current</x:v>
      </x:c>
      <x:c r="M562" s="71" t="str">
        <x:v>Pending review</x:v>
      </x:c>
      <x:c r="N562" s="71" t="str">
        <x:v>Normal</x:v>
      </x:c>
      <x:c r="O562" s="71" t="str">
        <x:v>app/journey/new/trip-builder.tsx</x:v>
      </x:c>
      <x:c r="P562" s="71" t="str">
        <x:v>TripBuilderDocument:1877</x:v>
      </x:c>
      <x:c r="Q562" s="71" t="str">
        <x:v>EN</x:v>
      </x:c>
      <x:c r="R562" s="71" t="str">
        <x:v>Already clear and direct; suggested wording intentionally keeps the current copy.</x:v>
      </x:c>
      <x:c r="S562" s="75" t="str">
        <x:v>Not applied — review required</x:v>
      </x:c>
    </x:row>
    <x:row r="563">
      <x:c r="A563" s="71" t="str">
        <x:v>MRV-C3BC1EE993</x:v>
      </x:c>
      <x:c r="B563" s="71" t="str">
        <x:v>Planning</x:v>
      </x:c>
      <x:c r="C563" s="71" t="str">
        <x:v>New trip builder</x:v>
      </x:c>
      <x:c r="D563" s="71" t="str">
        <x:v>/journey/new/trip-builder</x:v>
      </x:c>
      <x:c r="E563" s="71" t="str">
        <x:v>TripBuilderDocument</x:v>
      </x:c>
      <x:c r="F563" s="71" t="str">
        <x:v>Default</x:v>
      </x:c>
      <x:c r="G563" s="71" t="str">
        <x:v>Label</x:v>
      </x:c>
      <x:c r="H563" s="71" t="str">
        <x:v>Sustituir por un lugar</x:v>
      </x:c>
      <x:c r="I563" s="71" t="str">
        <x:v>Sustituir por un lugar</x:v>
      </x:c>
      <x:c r="J563" s="73"/>
      <x:c r="K563" s="74" t="str">
        <x:f>IF(J563="",H563,IF(J563=I563,I563,J563))</x:f>
        <x:v>Sustituir por un lugar</x:v>
      </x:c>
      <x:c r="L563" s="74" t="str">
        <x:f>IF(J563="","Keep current",IF(J563=I563,"Use suggestion","Custom"))</x:f>
        <x:v>Keep current</x:v>
      </x:c>
      <x:c r="M563" s="71" t="str">
        <x:v>Pending review</x:v>
      </x:c>
      <x:c r="N563" s="71" t="str">
        <x:v>Normal</x:v>
      </x:c>
      <x:c r="O563" s="71" t="str">
        <x:v>app/journey/new/trip-builder.tsx</x:v>
      </x:c>
      <x:c r="P563" s="71" t="str">
        <x:v>TripBuilderDocument:1877</x:v>
      </x:c>
      <x:c r="Q563" s="71" t="str">
        <x:v>ES</x:v>
      </x:c>
      <x:c r="R563" s="71" t="str">
        <x:v>Already clear and direct; suggested wording intentionally keeps the current copy.</x:v>
      </x:c>
      <x:c r="S563" s="75" t="str">
        <x:v>Not applied — review required</x:v>
      </x:c>
    </x:row>
    <x:row r="564">
      <x:c r="A564" s="71" t="str">
        <x:v>MRV-6565BF936A</x:v>
      </x:c>
      <x:c r="B564" s="71" t="str">
        <x:v>Planning</x:v>
      </x:c>
      <x:c r="C564" s="71" t="str">
        <x:v>New trip builder</x:v>
      </x:c>
      <x:c r="D564" s="71" t="str">
        <x:v>/journey/new/trip-builder</x:v>
      </x:c>
      <x:c r="E564" s="71" t="str">
        <x:v>TripBuilderDocument</x:v>
      </x:c>
      <x:c r="F564" s="71" t="str">
        <x:v>Default</x:v>
      </x:c>
      <x:c r="G564" s="71" t="str">
        <x:v>Label</x:v>
      </x:c>
      <x:c r="H564" s="71" t="str">
        <x:v>Replace with a place</x:v>
      </x:c>
      <x:c r="I564" s="71" t="str">
        <x:v>Replace with a place</x:v>
      </x:c>
      <x:c r="J564" s="73"/>
      <x:c r="K564" s="74" t="str">
        <x:f>IF(J564="",H564,IF(J564=I564,I564,J564))</x:f>
        <x:v>Replace with a place</x:v>
      </x:c>
      <x:c r="L564" s="74" t="str">
        <x:f>IF(J564="","Keep current",IF(J564=I564,"Use suggestion","Custom"))</x:f>
        <x:v>Keep current</x:v>
      </x:c>
      <x:c r="M564" s="71" t="str">
        <x:v>Pending review</x:v>
      </x:c>
      <x:c r="N564" s="71" t="str">
        <x:v>Normal</x:v>
      </x:c>
      <x:c r="O564" s="71" t="str">
        <x:v>app/journey/new/trip-builder.tsx</x:v>
      </x:c>
      <x:c r="P564" s="71" t="str">
        <x:v>TripBuilderDocument:1877</x:v>
      </x:c>
      <x:c r="Q564" s="71" t="str">
        <x:v>EN</x:v>
      </x:c>
      <x:c r="R564" s="71" t="str">
        <x:v>Already clear and direct; suggested wording intentionally keeps the current copy. Terminology watch: ‘trip’ and ‘journey’ both describe the same plan. Terminology watch: ‘stops’, ‘destinations’ and ‘places’ overlap.</x:v>
      </x:c>
      <x:c r="S564" s="75" t="str">
        <x:v>Not applied — review required</x:v>
      </x:c>
    </x:row>
    <x:row r="565">
      <x:c r="A565" s="71" t="str">
        <x:v>MRV-DF33249C56</x:v>
      </x:c>
      <x:c r="B565" s="71" t="str">
        <x:v>Planning</x:v>
      </x:c>
      <x:c r="C565" s="71" t="str">
        <x:v>New trip builder</x:v>
      </x:c>
      <x:c r="D565" s="71" t="str">
        <x:v>/journey/new/trip-builder</x:v>
      </x:c>
      <x:c r="E565" s="71" t="str">
        <x:v>TripBuilderDocument</x:v>
      </x:c>
      <x:c r="F565" s="71" t="str">
        <x:v>Default</x:v>
      </x:c>
      <x:c r="G565" s="71" t="str">
        <x:v>Label</x:v>
      </x:c>
      <x:c r="H565" s="71" t="str">
        <x:v>Añadir otra base</x:v>
      </x:c>
      <x:c r="I565" s="71" t="str">
        <x:v>Añadir otra base</x:v>
      </x:c>
      <x:c r="J565" s="73"/>
      <x:c r="K565" s="74" t="str">
        <x:f>IF(J565="",H565,IF(J565=I565,I565,J565))</x:f>
        <x:v>Añadir otra base</x:v>
      </x:c>
      <x:c r="L565" s="74" t="str">
        <x:f>IF(J565="","Keep current",IF(J565=I565,"Use suggestion","Custom"))</x:f>
        <x:v>Keep current</x:v>
      </x:c>
      <x:c r="M565" s="71" t="str">
        <x:v>Pending review</x:v>
      </x:c>
      <x:c r="N565" s="71" t="str">
        <x:v>Normal</x:v>
      </x:c>
      <x:c r="O565" s="71" t="str">
        <x:v>app/journey/new/trip-builder.tsx</x:v>
      </x:c>
      <x:c r="P565" s="71" t="str">
        <x:v>TripBuilderDocument:1877</x:v>
      </x:c>
      <x:c r="Q565" s="71" t="str">
        <x:v>ES</x:v>
      </x:c>
      <x:c r="R565" s="71" t="str">
        <x:v>Already clear and direct; suggested wording intentionally keeps the current copy.</x:v>
      </x:c>
      <x:c r="S565" s="75" t="str">
        <x:v>Not applied — review required</x:v>
      </x:c>
    </x:row>
    <x:row r="566">
      <x:c r="A566" s="71" t="str">
        <x:v>MRV-A3B51FC8D3</x:v>
      </x:c>
      <x:c r="B566" s="71" t="str">
        <x:v>Planning</x:v>
      </x:c>
      <x:c r="C566" s="71" t="str">
        <x:v>New trip builder</x:v>
      </x:c>
      <x:c r="D566" s="71" t="str">
        <x:v>/journey/new/trip-builder</x:v>
      </x:c>
      <x:c r="E566" s="71" t="str">
        <x:v>TripBuilderDocument</x:v>
      </x:c>
      <x:c r="F566" s="71" t="str">
        <x:v>Default</x:v>
      </x:c>
      <x:c r="G566" s="71" t="str">
        <x:v>CTA / button</x:v>
      </x:c>
      <x:c r="H566" s="71" t="str">
        <x:v>Add another base</x:v>
      </x:c>
      <x:c r="I566" s="71" t="str">
        <x:v>Add another base</x:v>
      </x:c>
      <x:c r="J566" s="73"/>
      <x:c r="K566" s="74" t="str">
        <x:f>IF(J566="",H566,IF(J566=I566,I566,J566))</x:f>
        <x:v>Add another base</x:v>
      </x:c>
      <x:c r="L566" s="74" t="str">
        <x:f>IF(J566="","Keep current",IF(J566=I566,"Use suggestion","Custom"))</x:f>
        <x:v>Keep current</x:v>
      </x:c>
      <x:c r="M566" s="71" t="str">
        <x:v>Pending review</x:v>
      </x:c>
      <x:c r="N566" s="71" t="str">
        <x:v>Medium</x:v>
      </x:c>
      <x:c r="O566" s="71" t="str">
        <x:v>app/journey/new/trip-builder.tsx</x:v>
      </x:c>
      <x:c r="P566" s="71" t="str">
        <x:v>TripBuilderDocument:1877</x:v>
      </x:c>
      <x:c r="Q566" s="71" t="str">
        <x:v>EN</x:v>
      </x:c>
      <x:c r="R566" s="71" t="str">
        <x:v>Already clear and direct; suggested wording intentionally keeps the current copy.</x:v>
      </x:c>
      <x:c r="S566" s="75" t="str">
        <x:v>Not applied — review required</x:v>
      </x:c>
    </x:row>
    <x:row r="567">
      <x:c r="A567" s="71" t="str">
        <x:v>MRV-7E9498F148</x:v>
      </x:c>
      <x:c r="B567" s="71" t="str">
        <x:v>Planning</x:v>
      </x:c>
      <x:c r="C567" s="71" t="str">
        <x:v>New trip builder</x:v>
      </x:c>
      <x:c r="D567" s="71" t="str">
        <x:v>/journey/new/trip-builder</x:v>
      </x:c>
      <x:c r="E567" s="71" t="str">
        <x:v>TripBuilderDocument</x:v>
      </x:c>
      <x:c r="F567" s="71" t="str">
        <x:v>Default</x:v>
      </x:c>
      <x:c r="G567" s="71" t="str">
        <x:v>Label</x:v>
      </x:c>
      <x:c r="H567" s="71" t="str">
        <x:v>Elegir una base</x:v>
      </x:c>
      <x:c r="I567" s="71" t="str">
        <x:v>Elegir una base</x:v>
      </x:c>
      <x:c r="J567" s="73"/>
      <x:c r="K567" s="74" t="str">
        <x:f>IF(J567="",H567,IF(J567=I567,I567,J567))</x:f>
        <x:v>Elegir una base</x:v>
      </x:c>
      <x:c r="L567" s="74" t="str">
        <x:f>IF(J567="","Keep current",IF(J567=I567,"Use suggestion","Custom"))</x:f>
        <x:v>Keep current</x:v>
      </x:c>
      <x:c r="M567" s="71" t="str">
        <x:v>Pending review</x:v>
      </x:c>
      <x:c r="N567" s="71" t="str">
        <x:v>Normal</x:v>
      </x:c>
      <x:c r="O567" s="71" t="str">
        <x:v>app/journey/new/trip-builder.tsx</x:v>
      </x:c>
      <x:c r="P567" s="71" t="str">
        <x:v>TripBuilderDocument:1877</x:v>
      </x:c>
      <x:c r="Q567" s="71" t="str">
        <x:v>ES</x:v>
      </x:c>
      <x:c r="R567" s="71" t="str">
        <x:v>Already clear and direct; suggested wording intentionally keeps the current copy.</x:v>
      </x:c>
      <x:c r="S567" s="75" t="str">
        <x:v>Not applied — review required</x:v>
      </x:c>
    </x:row>
    <x:row r="568">
      <x:c r="A568" s="71" t="str">
        <x:v>MRV-BB0208A409</x:v>
      </x:c>
      <x:c r="B568" s="71" t="str">
        <x:v>Planning</x:v>
      </x:c>
      <x:c r="C568" s="71" t="str">
        <x:v>New trip builder</x:v>
      </x:c>
      <x:c r="D568" s="71" t="str">
        <x:v>/journey/new/trip-builder</x:v>
      </x:c>
      <x:c r="E568" s="71" t="str">
        <x:v>TripBuilderDocument</x:v>
      </x:c>
      <x:c r="F568" s="71" t="str">
        <x:v>Default</x:v>
      </x:c>
      <x:c r="G568" s="71" t="str">
        <x:v>Label</x:v>
      </x:c>
      <x:c r="H568" s="71" t="str">
        <x:v>Choose a base</x:v>
      </x:c>
      <x:c r="I568" s="71" t="str">
        <x:v>Choose a base</x:v>
      </x:c>
      <x:c r="J568" s="73"/>
      <x:c r="K568" s="74" t="str">
        <x:f>IF(J568="",H568,IF(J568=I568,I568,J568))</x:f>
        <x:v>Choose a base</x:v>
      </x:c>
      <x:c r="L568" s="74" t="str">
        <x:f>IF(J568="","Keep current",IF(J568=I568,"Use suggestion","Custom"))</x:f>
        <x:v>Keep current</x:v>
      </x:c>
      <x:c r="M568" s="71" t="str">
        <x:v>Pending review</x:v>
      </x:c>
      <x:c r="N568" s="71" t="str">
        <x:v>Normal</x:v>
      </x:c>
      <x:c r="O568" s="71" t="str">
        <x:v>app/journey/new/trip-builder.tsx</x:v>
      </x:c>
      <x:c r="P568" s="71" t="str">
        <x:v>TripBuilderDocument:1877</x:v>
      </x:c>
      <x:c r="Q568" s="71" t="str">
        <x:v>EN</x:v>
      </x:c>
      <x:c r="R568" s="71" t="str">
        <x:v>Already clear and direct; suggested wording intentionally keeps the current copy.</x:v>
      </x:c>
      <x:c r="S568" s="75" t="str">
        <x:v>Not applied — review required</x:v>
      </x:c>
    </x:row>
    <x:row r="569">
      <x:c r="A569" s="71" t="str">
        <x:v>MRV-CA2FBF4EE4</x:v>
      </x:c>
      <x:c r="B569" s="71" t="str">
        <x:v>Planning</x:v>
      </x:c>
      <x:c r="C569" s="71" t="str">
        <x:v>New trip builder</x:v>
      </x:c>
      <x:c r="D569" s="71" t="str">
        <x:v>/journey/new/trip-builder</x:v>
      </x:c>
      <x:c r="E569" s="71" t="str">
        <x:v>TripBuilderDocument</x:v>
      </x:c>
      <x:c r="F569" s="71" t="str">
        <x:v>Accessibility / input support</x:v>
      </x:c>
      <x:c r="G569" s="71" t="str">
        <x:v>Accessibility label</x:v>
      </x:c>
      <x:c r="H569" s="71" t="str">
        <x:v>Preferencias recogidas</x:v>
      </x:c>
      <x:c r="I569" s="71" t="str">
        <x:v>Preferencias recogidas</x:v>
      </x:c>
      <x:c r="J569" s="73"/>
      <x:c r="K569" s="74" t="str">
        <x:f>IF(J569="",H569,IF(J569=I569,I569,J569))</x:f>
        <x:v>Preferencias recogidas</x:v>
      </x:c>
      <x:c r="L569" s="74" t="str">
        <x:f>IF(J569="","Keep current",IF(J569=I569,"Use suggestion","Custom"))</x:f>
        <x:v>Keep current</x:v>
      </x:c>
      <x:c r="M569" s="71" t="str">
        <x:v>Pending review</x:v>
      </x:c>
      <x:c r="N569" s="71" t="str">
        <x:v>Medium</x:v>
      </x:c>
      <x:c r="O569" s="71" t="str">
        <x:v>app/journey/new/trip-builder.tsx</x:v>
      </x:c>
      <x:c r="P569" s="71" t="str">
        <x:v>TripBuilderDocument:1882</x:v>
      </x:c>
      <x:c r="Q569" s="71" t="str">
        <x:v>ES</x:v>
      </x:c>
      <x:c r="R569" s="71" t="str">
        <x:v>Already clear and direct; suggested wording intentionally keeps the current copy. Duplicate wording: appears 2 times.</x:v>
      </x:c>
      <x:c r="S569" s="75" t="str">
        <x:v>Not applied — review required</x:v>
      </x:c>
    </x:row>
    <x:row r="570">
      <x:c r="A570" s="71" t="str">
        <x:v>MRV-86B1080C53</x:v>
      </x:c>
      <x:c r="B570" s="71" t="str">
        <x:v>Planning</x:v>
      </x:c>
      <x:c r="C570" s="71" t="str">
        <x:v>New trip builder</x:v>
      </x:c>
      <x:c r="D570" s="71" t="str">
        <x:v>/journey/new/trip-builder</x:v>
      </x:c>
      <x:c r="E570" s="71" t="str">
        <x:v>TripBuilderDocument</x:v>
      </x:c>
      <x:c r="F570" s="71" t="str">
        <x:v>Accessibility / input support</x:v>
      </x:c>
      <x:c r="G570" s="71" t="str">
        <x:v>Accessibility label</x:v>
      </x:c>
      <x:c r="H570" s="71" t="str">
        <x:v>Preferences picked up</x:v>
      </x:c>
      <x:c r="I570" s="71" t="str">
        <x:v>Preferences picked up</x:v>
      </x:c>
      <x:c r="J570" s="73"/>
      <x:c r="K570" s="74" t="str">
        <x:f>IF(J570="",H570,IF(J570=I570,I570,J570))</x:f>
        <x:v>Preferences picked up</x:v>
      </x:c>
      <x:c r="L570" s="74" t="str">
        <x:f>IF(J570="","Keep current",IF(J570=I570,"Use suggestion","Custom"))</x:f>
        <x:v>Keep current</x:v>
      </x:c>
      <x:c r="M570" s="71" t="str">
        <x:v>Pending review</x:v>
      </x:c>
      <x:c r="N570" s="71" t="str">
        <x:v>Medium</x:v>
      </x:c>
      <x:c r="O570" s="71" t="str">
        <x:v>app/journey/new/trip-builder.tsx</x:v>
      </x:c>
      <x:c r="P570" s="71" t="str">
        <x:v>TripBuilderDocument:1882</x:v>
      </x:c>
      <x:c r="Q570" s="71" t="str">
        <x:v>EN</x:v>
      </x:c>
      <x:c r="R570" s="71" t="str">
        <x:v>Already clear and direct; suggested wording intentionally keeps the current copy.</x:v>
      </x:c>
      <x:c r="S570" s="75" t="str">
        <x:v>Not applied — review required</x:v>
      </x:c>
    </x:row>
    <x:row r="571">
      <x:c r="A571" s="71" t="str">
        <x:v>MRV-05A551114C</x:v>
      </x:c>
      <x:c r="B571" s="71" t="str">
        <x:v>Planning</x:v>
      </x:c>
      <x:c r="C571" s="71" t="str">
        <x:v>New trip builder</x:v>
      </x:c>
      <x:c r="D571" s="71" t="str">
        <x:v>/journey/new/trip-builder</x:v>
      </x:c>
      <x:c r="E571" s="71" t="str">
        <x:v>TripBuilderDocument</x:v>
      </x:c>
      <x:c r="F571" s="71" t="str">
        <x:v>Default</x:v>
      </x:c>
      <x:c r="G571" s="71" t="str">
        <x:v>Label</x:v>
      </x:c>
      <x:c r="H571" s="71" t="str">
        <x:v>PREFERENCIAS RECOGIDAS</x:v>
      </x:c>
      <x:c r="I571" s="71" t="str">
        <x:v>PREFERENCIAS RECOGIDAS</x:v>
      </x:c>
      <x:c r="J571" s="73"/>
      <x:c r="K571" s="74" t="str">
        <x:f>IF(J571="",H571,IF(J571=I571,I571,J571))</x:f>
        <x:v>PREFERENCIAS RECOGIDAS</x:v>
      </x:c>
      <x:c r="L571" s="74" t="str">
        <x:f>IF(J571="","Keep current",IF(J571=I571,"Use suggestion","Custom"))</x:f>
        <x:v>Keep current</x:v>
      </x:c>
      <x:c r="M571" s="71" t="str">
        <x:v>Pending review</x:v>
      </x:c>
      <x:c r="N571" s="71" t="str">
        <x:v>Normal</x:v>
      </x:c>
      <x:c r="O571" s="71" t="str">
        <x:v>app/journey/new/trip-builder.tsx</x:v>
      </x:c>
      <x:c r="P571" s="71" t="str">
        <x:v>TripBuilderDocument:1882</x:v>
      </x:c>
      <x:c r="Q571" s="71" t="str">
        <x:v>ES</x:v>
      </x:c>
      <x:c r="R571" s="71" t="str">
        <x:v>Already clear and direct; suggested wording intentionally keeps the current copy. Duplicate wording: appears 2 times.</x:v>
      </x:c>
      <x:c r="S571" s="75" t="str">
        <x:v>Not applied — review required</x:v>
      </x:c>
    </x:row>
    <x:row r="572">
      <x:c r="A572" s="71" t="str">
        <x:v>MRV-D6484D70D2</x:v>
      </x:c>
      <x:c r="B572" s="71" t="str">
        <x:v>Planning</x:v>
      </x:c>
      <x:c r="C572" s="71" t="str">
        <x:v>New trip builder</x:v>
      </x:c>
      <x:c r="D572" s="71" t="str">
        <x:v>/journey/new/trip-builder</x:v>
      </x:c>
      <x:c r="E572" s="71" t="str">
        <x:v>TripBuilderDocument</x:v>
      </x:c>
      <x:c r="F572" s="71" t="str">
        <x:v>Default</x:v>
      </x:c>
      <x:c r="G572" s="71" t="str">
        <x:v>Label</x:v>
      </x:c>
      <x:c r="H572" s="71" t="str">
        <x:v>PREFERENCES WE PICKED UP</x:v>
      </x:c>
      <x:c r="I572" s="71" t="str">
        <x:v>PREFERENCES WE PICKED UP</x:v>
      </x:c>
      <x:c r="J572" s="73"/>
      <x:c r="K572" s="74" t="str">
        <x:f>IF(J572="",H572,IF(J572=I572,I572,J572))</x:f>
        <x:v>PREFERENCES WE PICKED UP</x:v>
      </x:c>
      <x:c r="L572" s="74" t="str">
        <x:f>IF(J572="","Keep current",IF(J572=I572,"Use suggestion","Custom"))</x:f>
        <x:v>Keep current</x:v>
      </x:c>
      <x:c r="M572" s="71" t="str">
        <x:v>Pending review</x:v>
      </x:c>
      <x:c r="N572" s="71" t="str">
        <x:v>Normal</x:v>
      </x:c>
      <x:c r="O572" s="71" t="str">
        <x:v>app/journey/new/trip-builder.tsx</x:v>
      </x:c>
      <x:c r="P572" s="71" t="str">
        <x:v>TripBuilderDocument:1882</x:v>
      </x:c>
      <x:c r="Q572" s="71" t="str">
        <x:v>EN</x:v>
      </x:c>
      <x:c r="R572" s="71" t="str">
        <x:v>Already clear and direct; suggested wording intentionally keeps the current copy.</x:v>
      </x:c>
      <x:c r="S572" s="75" t="str">
        <x:v>Not applied — review required</x:v>
      </x:c>
    </x:row>
    <x:row r="573">
      <x:c r="A573" s="71" t="str">
        <x:v>MRV-99A86B2DC6</x:v>
      </x:c>
      <x:c r="B573" s="71" t="str">
        <x:v>Planning</x:v>
      </x:c>
      <x:c r="C573" s="71" t="str">
        <x:v>New trip builder</x:v>
      </x:c>
      <x:c r="D573" s="71" t="str">
        <x:v>/journey/new/trip-builder</x:v>
      </x:c>
      <x:c r="E573" s="71" t="str">
        <x:v>TripBuilderDocument</x:v>
      </x:c>
      <x:c r="F573" s="71" t="str">
        <x:v>Accessibility / input support</x:v>
      </x:c>
      <x:c r="G573" s="71" t="str">
        <x:v>Accessibility label</x:v>
      </x:c>
      <x:c r="H573" s="71" t="str">
        <x:v>Intención y condiciones del viaje</x:v>
      </x:c>
      <x:c r="I573" s="71" t="str">
        <x:v>Intención y condiciones del viaje</x:v>
      </x:c>
      <x:c r="J573" s="73"/>
      <x:c r="K573" s="74" t="str">
        <x:f>IF(J573="",H573,IF(J573=I573,I573,J573))</x:f>
        <x:v>Intención y condiciones del viaje</x:v>
      </x:c>
      <x:c r="L573" s="74" t="str">
        <x:f>IF(J573="","Keep current",IF(J573=I573,"Use suggestion","Custom"))</x:f>
        <x:v>Keep current</x:v>
      </x:c>
      <x:c r="M573" s="71" t="str">
        <x:v>Pending review</x:v>
      </x:c>
      <x:c r="N573" s="71" t="str">
        <x:v>Medium</x:v>
      </x:c>
      <x:c r="O573" s="71" t="str">
        <x:v>app/journey/new/trip-builder.tsx</x:v>
      </x:c>
      <x:c r="P573" s="71" t="str">
        <x:v>TripBuilderDocument:1884</x:v>
      </x:c>
      <x:c r="Q573" s="71" t="str">
        <x:v>ES</x:v>
      </x:c>
      <x:c r="R573" s="71" t="str">
        <x:v>Already clear and direct; suggested wording intentionally keeps the current copy.</x:v>
      </x:c>
      <x:c r="S573" s="75" t="str">
        <x:v>Not applied — review required</x:v>
      </x:c>
    </x:row>
    <x:row r="574">
      <x:c r="A574" s="71" t="str">
        <x:v>MRV-46C7781F3E</x:v>
      </x:c>
      <x:c r="B574" s="71" t="str">
        <x:v>Planning</x:v>
      </x:c>
      <x:c r="C574" s="71" t="str">
        <x:v>New trip builder</x:v>
      </x:c>
      <x:c r="D574" s="71" t="str">
        <x:v>/journey/new/trip-builder</x:v>
      </x:c>
      <x:c r="E574" s="71" t="str">
        <x:v>TripBuilderDocument</x:v>
      </x:c>
      <x:c r="F574" s="71" t="str">
        <x:v>Accessibility / input support</x:v>
      </x:c>
      <x:c r="G574" s="71" t="str">
        <x:v>Accessibility label</x:v>
      </x:c>
      <x:c r="H574" s="71" t="str">
        <x:v>Trip intent and constraints</x:v>
      </x:c>
      <x:c r="I574" s="71" t="str">
        <x:v>Trip intent and constraints</x:v>
      </x:c>
      <x:c r="J574" s="73"/>
      <x:c r="K574" s="74" t="str">
        <x:f>IF(J574="",H574,IF(J574=I574,I574,J574))</x:f>
        <x:v>Trip intent and constraints</x:v>
      </x:c>
      <x:c r="L574" s="74" t="str">
        <x:f>IF(J574="","Keep current",IF(J574=I574,"Use suggestion","Custom"))</x:f>
        <x:v>Keep current</x:v>
      </x:c>
      <x:c r="M574" s="71" t="str">
        <x:v>Pending review</x:v>
      </x:c>
      <x:c r="N574" s="71" t="str">
        <x:v>Medium</x:v>
      </x:c>
      <x:c r="O574" s="71" t="str">
        <x:v>app/journey/new/trip-builder.tsx</x:v>
      </x:c>
      <x:c r="P574" s="71" t="str">
        <x:v>TripBuilderDocument:1884</x:v>
      </x:c>
      <x:c r="Q574" s="71" t="str">
        <x:v>EN</x:v>
      </x:c>
      <x:c r="R574" s="71" t="str">
        <x:v>Already clear and direct; suggested wording intentionally keeps the current copy. Terminology watch: ‘trip’ and ‘journey’ both describe the same plan. Terminology watch: ‘stops’, ‘destinations’ and ‘places’ overlap.</x:v>
      </x:c>
      <x:c r="S574" s="75" t="str">
        <x:v>Not applied — review required</x:v>
      </x:c>
    </x:row>
    <x:row r="575">
      <x:c r="A575" s="71" t="str">
        <x:v>MRV-D0190EBA4A</x:v>
      </x:c>
      <x:c r="B575" s="71" t="str">
        <x:v>Planning</x:v>
      </x:c>
      <x:c r="C575" s="71" t="str">
        <x:v>New trip builder</x:v>
      </x:c>
      <x:c r="D575" s="71" t="str">
        <x:v>/journey/new/trip-builder</x:v>
      </x:c>
      <x:c r="E575" s="71" t="str">
        <x:v>TripBuilderDocument</x:v>
      </x:c>
      <x:c r="F575" s="71" t="str">
        <x:v>Default</x:v>
      </x:c>
      <x:c r="G575" s="71" t="str">
        <x:v>Label</x:v>
      </x:c>
      <x:c r="H575" s="71" t="str">
        <x:v>Ocultar planes fijos</x:v>
      </x:c>
      <x:c r="I575" s="71" t="str">
        <x:v>Ocultar planes fijos</x:v>
      </x:c>
      <x:c r="J575" s="73"/>
      <x:c r="K575" s="74" t="str">
        <x:f>IF(J575="",H575,IF(J575=I575,I575,J575))</x:f>
        <x:v>Ocultar planes fijos</x:v>
      </x:c>
      <x:c r="L575" s="74" t="str">
        <x:f>IF(J575="","Keep current",IF(J575=I575,"Use suggestion","Custom"))</x:f>
        <x:v>Keep current</x:v>
      </x:c>
      <x:c r="M575" s="71" t="str">
        <x:v>Pending review</x:v>
      </x:c>
      <x:c r="N575" s="71" t="str">
        <x:v>Normal</x:v>
      </x:c>
      <x:c r="O575" s="71" t="str">
        <x:v>app/journey/new/trip-builder.tsx</x:v>
      </x:c>
      <x:c r="P575" s="71" t="str">
        <x:v>TripBuilderDocument:1885</x:v>
      </x:c>
      <x:c r="Q575" s="71" t="str">
        <x:v>ES</x:v>
      </x:c>
      <x:c r="R575" s="71" t="str">
        <x:v>Already clear and direct; suggested wording intentionally keeps the current copy.</x:v>
      </x:c>
      <x:c r="S575" s="75" t="str">
        <x:v>Not applied — review required</x:v>
      </x:c>
    </x:row>
    <x:row r="576">
      <x:c r="A576" s="71" t="str">
        <x:v>MRV-E8EB3D0D62</x:v>
      </x:c>
      <x:c r="B576" s="71" t="str">
        <x:v>Planning</x:v>
      </x:c>
      <x:c r="C576" s="71" t="str">
        <x:v>New trip builder</x:v>
      </x:c>
      <x:c r="D576" s="71" t="str">
        <x:v>/journey/new/trip-builder</x:v>
      </x:c>
      <x:c r="E576" s="71" t="str">
        <x:v>TripBuilderDocument</x:v>
      </x:c>
      <x:c r="F576" s="71" t="str">
        <x:v>Default</x:v>
      </x:c>
      <x:c r="G576" s="71" t="str">
        <x:v>Label</x:v>
      </x:c>
      <x:c r="H576" s="71" t="str">
        <x:v>Hide fixed plans</x:v>
      </x:c>
      <x:c r="I576" s="71" t="str">
        <x:v>Hide fixed plans</x:v>
      </x:c>
      <x:c r="J576" s="73"/>
      <x:c r="K576" s="74" t="str">
        <x:f>IF(J576="",H576,IF(J576=I576,I576,J576))</x:f>
        <x:v>Hide fixed plans</x:v>
      </x:c>
      <x:c r="L576" s="74" t="str">
        <x:f>IF(J576="","Keep current",IF(J576=I576,"Use suggestion","Custom"))</x:f>
        <x:v>Keep current</x:v>
      </x:c>
      <x:c r="M576" s="71" t="str">
        <x:v>Pending review</x:v>
      </x:c>
      <x:c r="N576" s="71" t="str">
        <x:v>Normal</x:v>
      </x:c>
      <x:c r="O576" s="71" t="str">
        <x:v>app/journey/new/trip-builder.tsx</x:v>
      </x:c>
      <x:c r="P576" s="71" t="str">
        <x:v>TripBuilderDocument:1885</x:v>
      </x:c>
      <x:c r="Q576" s="71" t="str">
        <x:v>EN</x:v>
      </x:c>
      <x:c r="R576" s="71" t="str">
        <x:v>Already clear and direct; suggested wording intentionally keeps the current copy.</x:v>
      </x:c>
      <x:c r="S576" s="75" t="str">
        <x:v>Not applied — review required</x:v>
      </x:c>
    </x:row>
    <x:row r="577">
      <x:c r="A577" s="71" t="str">
        <x:v>MRV-A260C767BB</x:v>
      </x:c>
      <x:c r="B577" s="71" t="str">
        <x:v>Planning</x:v>
      </x:c>
      <x:c r="C577" s="71" t="str">
        <x:v>New trip builder</x:v>
      </x:c>
      <x:c r="D577" s="71" t="str">
        <x:v>/journey/new/trip-builder</x:v>
      </x:c>
      <x:c r="E577" s="71" t="str">
        <x:v>TripBuilderDocument</x:v>
      </x:c>
      <x:c r="F577" s="71" t="str">
        <x:v>Default</x:v>
      </x:c>
      <x:c r="G577" s="71" t="str">
        <x:v>CTA / button</x:v>
      </x:c>
      <x:c r="H577" s="71" t="str">
        <x:v>Planes fijos</x:v>
      </x:c>
      <x:c r="I577" s="71" t="str">
        <x:v>Planes fijos</x:v>
      </x:c>
      <x:c r="J577" s="73"/>
      <x:c r="K577" s="74" t="str">
        <x:f>IF(J577="",H577,IF(J577=I577,I577,J577))</x:f>
        <x:v>Planes fijos</x:v>
      </x:c>
      <x:c r="L577" s="74" t="str">
        <x:f>IF(J577="","Keep current",IF(J577=I577,"Use suggestion","Custom"))</x:f>
        <x:v>Keep current</x:v>
      </x:c>
      <x:c r="M577" s="71" t="str">
        <x:v>Pending review</x:v>
      </x:c>
      <x:c r="N577" s="71" t="str">
        <x:v>Medium</x:v>
      </x:c>
      <x:c r="O577" s="71" t="str">
        <x:v>app/journey/new/trip-builder.tsx</x:v>
      </x:c>
      <x:c r="P577" s="71" t="str">
        <x:v>TripBuilderDocument:1885</x:v>
      </x:c>
      <x:c r="Q577" s="71" t="str">
        <x:v>ES</x:v>
      </x:c>
      <x:c r="R577" s="71" t="str">
        <x:v>Already clear and direct; suggested wording intentionally keeps the current copy.</x:v>
      </x:c>
      <x:c r="S577" s="75" t="str">
        <x:v>Not applied — review required</x:v>
      </x:c>
    </x:row>
    <x:row r="578">
      <x:c r="A578" s="71" t="str">
        <x:v>MRV-39DBE02075</x:v>
      </x:c>
      <x:c r="B578" s="71" t="str">
        <x:v>Planning</x:v>
      </x:c>
      <x:c r="C578" s="71" t="str">
        <x:v>New trip builder</x:v>
      </x:c>
      <x:c r="D578" s="71" t="str">
        <x:v>/journey/new/trip-builder</x:v>
      </x:c>
      <x:c r="E578" s="71" t="str">
        <x:v>TripBuilderDocument</x:v>
      </x:c>
      <x:c r="F578" s="71" t="str">
        <x:v>Default</x:v>
      </x:c>
      <x:c r="G578" s="71" t="str">
        <x:v>Label</x:v>
      </x:c>
      <x:c r="H578" s="71" t="str">
        <x:v>Fixed plans</x:v>
      </x:c>
      <x:c r="I578" s="71" t="str">
        <x:v>Fixed plans</x:v>
      </x:c>
      <x:c r="J578" s="73"/>
      <x:c r="K578" s="74" t="str">
        <x:f>IF(J578="",H578,IF(J578=I578,I578,J578))</x:f>
        <x:v>Fixed plans</x:v>
      </x:c>
      <x:c r="L578" s="74" t="str">
        <x:f>IF(J578="","Keep current",IF(J578=I578,"Use suggestion","Custom"))</x:f>
        <x:v>Keep current</x:v>
      </x:c>
      <x:c r="M578" s="71" t="str">
        <x:v>Pending review</x:v>
      </x:c>
      <x:c r="N578" s="71" t="str">
        <x:v>Normal</x:v>
      </x:c>
      <x:c r="O578" s="71" t="str">
        <x:v>app/journey/new/trip-builder.tsx</x:v>
      </x:c>
      <x:c r="P578" s="71" t="str">
        <x:v>TripBuilderDocument:1885</x:v>
      </x:c>
      <x:c r="Q578" s="71" t="str">
        <x:v>EN</x:v>
      </x:c>
      <x:c r="R578" s="71" t="str">
        <x:v>Already clear and direct; suggested wording intentionally keeps the current copy.</x:v>
      </x:c>
      <x:c r="S578" s="75" t="str">
        <x:v>Not applied — review required</x:v>
      </x:c>
    </x:row>
    <x:row r="579">
      <x:c r="A579" s="71" t="str">
        <x:v>MRV-58AA011FC1</x:v>
      </x:c>
      <x:c r="B579" s="71" t="str">
        <x:v>Planning</x:v>
      </x:c>
      <x:c r="C579" s="71" t="str">
        <x:v>New trip builder</x:v>
      </x:c>
      <x:c r="D579" s="71" t="str">
        <x:v>/journey/new/trip-builder</x:v>
      </x:c>
      <x:c r="E579" s="71" t="str">
        <x:v>TripBuilderDocument</x:v>
      </x:c>
      <x:c r="F579" s="71" t="str">
        <x:v>Default</x:v>
      </x:c>
      <x:c r="G579" s="71" t="str">
        <x:v>CTA / button</x:v>
      </x:c>
      <x:c r="H579" s="71" t="str">
        <x:v>Planes fijos · Añade algo que no pueda moverse</x:v>
      </x:c>
      <x:c r="I579" s="71" t="str">
        <x:v>Planes fijos · Añade algo que no pueda moverse</x:v>
      </x:c>
      <x:c r="J579" s="73"/>
      <x:c r="K579" s="74" t="str">
        <x:f>IF(J579="",H579,IF(J579=I579,I579,J579))</x:f>
        <x:v>Planes fijos · Añade algo que no pueda moverse</x:v>
      </x:c>
      <x:c r="L579" s="74" t="str">
        <x:f>IF(J579="","Keep current",IF(J579=I579,"Use suggestion","Custom"))</x:f>
        <x:v>Keep current</x:v>
      </x:c>
      <x:c r="M579" s="71" t="str">
        <x:v>Pending review</x:v>
      </x:c>
      <x:c r="N579" s="71" t="str">
        <x:v>Medium</x:v>
      </x:c>
      <x:c r="O579" s="71" t="str">
        <x:v>app/journey/new/trip-builder.tsx</x:v>
      </x:c>
      <x:c r="P579" s="71" t="str">
        <x:v>TripBuilderDocument:1885</x:v>
      </x:c>
      <x:c r="Q579" s="71" t="str">
        <x:v>ES</x:v>
      </x:c>
      <x:c r="R579" s="71" t="str">
        <x:v>Already clear and direct; suggested wording intentionally keeps the current copy.</x:v>
      </x:c>
      <x:c r="S579" s="75" t="str">
        <x:v>Not applied — review required</x:v>
      </x:c>
    </x:row>
    <x:row r="580">
      <x:c r="A580" s="71" t="str">
        <x:v>MRV-D15D589538</x:v>
      </x:c>
      <x:c r="B580" s="71" t="str">
        <x:v>Planning</x:v>
      </x:c>
      <x:c r="C580" s="71" t="str">
        <x:v>New trip builder</x:v>
      </x:c>
      <x:c r="D580" s="71" t="str">
        <x:v>/journey/new/trip-builder</x:v>
      </x:c>
      <x:c r="E580" s="71" t="str">
        <x:v>TripBuilderDocument</x:v>
      </x:c>
      <x:c r="F580" s="71" t="str">
        <x:v>Default</x:v>
      </x:c>
      <x:c r="G580" s="71" t="str">
        <x:v>Body copy</x:v>
      </x:c>
      <x:c r="H580" s="71" t="str">
        <x:v>Fixed plans · Add something that can’t move</x:v>
      </x:c>
      <x:c r="I580" s="71" t="str">
        <x:v>Fixed plans · Add something that can’t move</x:v>
      </x:c>
      <x:c r="J580" s="73"/>
      <x:c r="K580" s="74" t="str">
        <x:f>IF(J580="",H580,IF(J580=I580,I580,J580))</x:f>
        <x:v>Fixed plans · Add something that can’t move</x:v>
      </x:c>
      <x:c r="L580" s="74" t="str">
        <x:f>IF(J580="","Keep current",IF(J580=I580,"Use suggestion","Custom"))</x:f>
        <x:v>Keep current</x:v>
      </x:c>
      <x:c r="M580" s="71" t="str">
        <x:v>Pending review</x:v>
      </x:c>
      <x:c r="N580" s="71" t="str">
        <x:v>Normal</x:v>
      </x:c>
      <x:c r="O580" s="71" t="str">
        <x:v>app/journey/new/trip-builder.tsx</x:v>
      </x:c>
      <x:c r="P580" s="71" t="str">
        <x:v>TripBuilderDocument:1885</x:v>
      </x:c>
      <x:c r="Q580" s="71" t="str">
        <x:v>EN</x:v>
      </x:c>
      <x:c r="R580" s="71" t="str">
        <x:v>Already clear and direct; suggested wording intentionally keeps the current copy.</x:v>
      </x:c>
      <x:c r="S580" s="75" t="str">
        <x:v>Not applied — review required</x:v>
      </x:c>
    </x:row>
    <x:row r="581">
      <x:c r="A581" s="71" t="str">
        <x:v>MRV-3F64D95842</x:v>
      </x:c>
      <x:c r="B581" s="71" t="str">
        <x:v>Planning</x:v>
      </x:c>
      <x:c r="C581" s="71" t="str">
        <x:v>New trip builder</x:v>
      </x:c>
      <x:c r="D581" s="71" t="str">
        <x:v>/journey/new/trip-builder</x:v>
      </x:c>
      <x:c r="E581" s="71" t="str">
        <x:v>TripBuilderDocument</x:v>
      </x:c>
      <x:c r="F581" s="71" t="str">
        <x:v>Default</x:v>
      </x:c>
      <x:c r="G581" s="71" t="str">
        <x:v>Label</x:v>
      </x:c>
      <x:c r="H581" s="71" t="str">
        <x:v>YA RESERVADO</x:v>
      </x:c>
      <x:c r="I581" s="71" t="str">
        <x:v>YA RESERVADO</x:v>
      </x:c>
      <x:c r="J581" s="73"/>
      <x:c r="K581" s="74" t="str">
        <x:f>IF(J581="",H581,IF(J581=I581,I581,J581))</x:f>
        <x:v>YA RESERVADO</x:v>
      </x:c>
      <x:c r="L581" s="74" t="str">
        <x:f>IF(J581="","Keep current",IF(J581=I581,"Use suggestion","Custom"))</x:f>
        <x:v>Keep current</x:v>
      </x:c>
      <x:c r="M581" s="71" t="str">
        <x:v>Pending review</x:v>
      </x:c>
      <x:c r="N581" s="71" t="str">
        <x:v>Normal</x:v>
      </x:c>
      <x:c r="O581" s="71" t="str">
        <x:v>app/journey/new/trip-builder.tsx</x:v>
      </x:c>
      <x:c r="P581" s="71" t="str">
        <x:v>TripBuilderDocument:1887</x:v>
      </x:c>
      <x:c r="Q581" s="71" t="str">
        <x:v>ES</x:v>
      </x:c>
      <x:c r="R581" s="71" t="str">
        <x:v>Already clear and direct; suggested wording intentionally keeps the current copy.</x:v>
      </x:c>
      <x:c r="S581" s="75" t="str">
        <x:v>Not applied — review required</x:v>
      </x:c>
    </x:row>
    <x:row r="582">
      <x:c r="A582" s="71" t="str">
        <x:v>MRV-50EE6DB98E</x:v>
      </x:c>
      <x:c r="B582" s="71" t="str">
        <x:v>Planning</x:v>
      </x:c>
      <x:c r="C582" s="71" t="str">
        <x:v>New trip builder</x:v>
      </x:c>
      <x:c r="D582" s="71" t="str">
        <x:v>/journey/new/trip-builder</x:v>
      </x:c>
      <x:c r="E582" s="71" t="str">
        <x:v>TripBuilderDocument</x:v>
      </x:c>
      <x:c r="F582" s="71" t="str">
        <x:v>Default</x:v>
      </x:c>
      <x:c r="G582" s="71" t="str">
        <x:v>Label</x:v>
      </x:c>
      <x:c r="H582" s="71" t="str">
        <x:v>ALREADY BOOKED</x:v>
      </x:c>
      <x:c r="I582" s="71" t="str">
        <x:v>ALREADY BOOKED</x:v>
      </x:c>
      <x:c r="J582" s="73"/>
      <x:c r="K582" s="74" t="str">
        <x:f>IF(J582="",H582,IF(J582=I582,I582,J582))</x:f>
        <x:v>ALREADY BOOKED</x:v>
      </x:c>
      <x:c r="L582" s="74" t="str">
        <x:f>IF(J582="","Keep current",IF(J582=I582,"Use suggestion","Custom"))</x:f>
        <x:v>Keep current</x:v>
      </x:c>
      <x:c r="M582" s="71" t="str">
        <x:v>Pending review</x:v>
      </x:c>
      <x:c r="N582" s="71" t="str">
        <x:v>Normal</x:v>
      </x:c>
      <x:c r="O582" s="71" t="str">
        <x:v>app/journey/new/trip-builder.tsx</x:v>
      </x:c>
      <x:c r="P582" s="71" t="str">
        <x:v>TripBuilderDocument:1887</x:v>
      </x:c>
      <x:c r="Q582" s="71" t="str">
        <x:v>EN</x:v>
      </x:c>
      <x:c r="R582" s="71" t="str">
        <x:v>Already clear and direct; suggested wording intentionally keeps the current copy.</x:v>
      </x:c>
      <x:c r="S582" s="75" t="str">
        <x:v>Not applied — review required</x:v>
      </x:c>
    </x:row>
    <x:row r="583">
      <x:c r="A583" s="71" t="str">
        <x:v>MRV-6063CB3744</x:v>
      </x:c>
      <x:c r="B583" s="71" t="str">
        <x:v>Planning</x:v>
      </x:c>
      <x:c r="C583" s="71" t="str">
        <x:v>New trip builder</x:v>
      </x:c>
      <x:c r="D583" s="71" t="str">
        <x:v>/journey/new/trip-builder</x:v>
      </x:c>
      <x:c r="E583" s="71" t="str">
        <x:v>TripBuilderDocument</x:v>
      </x:c>
      <x:c r="F583" s="71" t="str">
        <x:v>Default</x:v>
      </x:c>
      <x:c r="G583" s="71" t="str">
        <x:v>Body copy</x:v>
      </x:c>
      <x:c r="H583" s="71" t="str">
        <x:v>Mantén visible lo que no puede cambiar.</x:v>
      </x:c>
      <x:c r="I583" s="71" t="str">
        <x:v>Mantén visible lo que no puede cambiar.</x:v>
      </x:c>
      <x:c r="J583" s="73"/>
      <x:c r="K583" s="74" t="str">
        <x:f>IF(J583="",H583,IF(J583=I583,I583,J583))</x:f>
        <x:v>Mantén visible lo que no puede cambiar.</x:v>
      </x:c>
      <x:c r="L583" s="74" t="str">
        <x:f>IF(J583="","Keep current",IF(J583=I583,"Use suggestion","Custom"))</x:f>
        <x:v>Keep current</x:v>
      </x:c>
      <x:c r="M583" s="71" t="str">
        <x:v>Pending review</x:v>
      </x:c>
      <x:c r="N583" s="71" t="str">
        <x:v>Normal</x:v>
      </x:c>
      <x:c r="O583" s="71" t="str">
        <x:v>app/journey/new/trip-builder.tsx</x:v>
      </x:c>
      <x:c r="P583" s="71" t="str">
        <x:v>TripBuilderDocument:1887</x:v>
      </x:c>
      <x:c r="Q583" s="71" t="str">
        <x:v>ES</x:v>
      </x:c>
      <x:c r="R583" s="71" t="str">
        <x:v>Already clear and direct; suggested wording intentionally keeps the current copy.</x:v>
      </x:c>
      <x:c r="S583" s="75" t="str">
        <x:v>Not applied — review required</x:v>
      </x:c>
    </x:row>
    <x:row r="584">
      <x:c r="A584" s="71" t="str">
        <x:v>MRV-94CC01F599</x:v>
      </x:c>
      <x:c r="B584" s="71" t="str">
        <x:v>Planning</x:v>
      </x:c>
      <x:c r="C584" s="71" t="str">
        <x:v>New trip builder</x:v>
      </x:c>
      <x:c r="D584" s="71" t="str">
        <x:v>/journey/new/trip-builder</x:v>
      </x:c>
      <x:c r="E584" s="71" t="str">
        <x:v>TripBuilderDocument</x:v>
      </x:c>
      <x:c r="F584" s="71" t="str">
        <x:v>Default</x:v>
      </x:c>
      <x:c r="G584" s="71" t="str">
        <x:v>Body copy</x:v>
      </x:c>
      <x:c r="H584" s="71" t="str">
        <x:v>Keep what cannot move visible.</x:v>
      </x:c>
      <x:c r="I584" s="71" t="str">
        <x:v>Keep what cannot move visible.</x:v>
      </x:c>
      <x:c r="J584" s="73"/>
      <x:c r="K584" s="74" t="str">
        <x:f>IF(J584="",H584,IF(J584=I584,I584,J584))</x:f>
        <x:v>Keep what cannot move visible.</x:v>
      </x:c>
      <x:c r="L584" s="74" t="str">
        <x:f>IF(J584="","Keep current",IF(J584=I584,"Use suggestion","Custom"))</x:f>
        <x:v>Keep current</x:v>
      </x:c>
      <x:c r="M584" s="71" t="str">
        <x:v>Pending review</x:v>
      </x:c>
      <x:c r="N584" s="71" t="str">
        <x:v>Normal</x:v>
      </x:c>
      <x:c r="O584" s="71" t="str">
        <x:v>app/journey/new/trip-builder.tsx</x:v>
      </x:c>
      <x:c r="P584" s="71" t="str">
        <x:v>TripBuilderDocument:1887</x:v>
      </x:c>
      <x:c r="Q584" s="71" t="str">
        <x:v>EN</x:v>
      </x:c>
      <x:c r="R584" s="71" t="str">
        <x:v>Already clear and direct; suggested wording intentionally keeps the current copy.</x:v>
      </x:c>
      <x:c r="S584" s="75" t="str">
        <x:v>Not applied — review required</x:v>
      </x:c>
    </x:row>
    <x:row r="585">
      <x:c r="A585" s="71" t="str">
        <x:v>MRV-9E4D4F9C5B</x:v>
      </x:c>
      <x:c r="B585" s="71" t="str">
        <x:v>Planning</x:v>
      </x:c>
      <x:c r="C585" s="71" t="str">
        <x:v>New trip builder</x:v>
      </x:c>
      <x:c r="D585" s="71" t="str">
        <x:v>/journey/new/trip-builder</x:v>
      </x:c>
      <x:c r="E585" s="71" t="str">
        <x:v>TripBuilderDocument</x:v>
      </x:c>
      <x:c r="F585" s="71" t="str">
        <x:v>Default</x:v>
      </x:c>
      <x:c r="G585" s="71" t="str">
        <x:v>Body copy</x:v>
      </x:c>
      <x:c r="H585" s="71" t="str">
        <x:v>Añade una fecha o reserva fija y la protegeremos mientras se construye la ruta.</x:v>
      </x:c>
      <x:c r="I585" s="71" t="str">
        <x:v>Añade una fecha o reserva fija y la protegeremos mientras se construye la ruta.</x:v>
      </x:c>
      <x:c r="J585" s="73"/>
      <x:c r="K585" s="74" t="str">
        <x:f>IF(J585="",H585,IF(J585=I585,I585,J585))</x:f>
        <x:v>Añade una fecha o reserva fija y la protegeremos mientras se construye la ruta.</x:v>
      </x:c>
      <x:c r="L585" s="74" t="str">
        <x:f>IF(J585="","Keep current",IF(J585=I585,"Use suggestion","Custom"))</x:f>
        <x:v>Keep current</x:v>
      </x:c>
      <x:c r="M585" s="71" t="str">
        <x:v>Pending review</x:v>
      </x:c>
      <x:c r="N585" s="71" t="str">
        <x:v>Normal</x:v>
      </x:c>
      <x:c r="O585" s="71" t="str">
        <x:v>app/journey/new/trip-builder.tsx</x:v>
      </x:c>
      <x:c r="P585" s="71" t="str">
        <x:v>TripBuilderDocument:1887</x:v>
      </x:c>
      <x:c r="Q585" s="71" t="str">
        <x:v>ES</x:v>
      </x:c>
      <x:c r="R585" s="71" t="str">
        <x:v>Already clear and direct; suggested wording intentionally keeps the current copy.</x:v>
      </x:c>
      <x:c r="S585" s="75" t="str">
        <x:v>Not applied — review required</x:v>
      </x:c>
    </x:row>
    <x:row r="586">
      <x:c r="A586" s="71" t="str">
        <x:v>MRV-4622DFF227</x:v>
      </x:c>
      <x:c r="B586" s="71" t="str">
        <x:v>Planning</x:v>
      </x:c>
      <x:c r="C586" s="71" t="str">
        <x:v>New trip builder</x:v>
      </x:c>
      <x:c r="D586" s="71" t="str">
        <x:v>/journey/new/trip-builder</x:v>
      </x:c>
      <x:c r="E586" s="71" t="str">
        <x:v>TripBuilderDocument</x:v>
      </x:c>
      <x:c r="F586" s="71" t="str">
        <x:v>Default</x:v>
      </x:c>
      <x:c r="G586" s="71" t="str">
        <x:v>CTA / button</x:v>
      </x:c>
      <x:c r="H586" s="71" t="str">
        <x:v>Add a fixed date or booking and we’ll protect it while we build the route.</x:v>
      </x:c>
      <x:c r="I586" s="71" t="str">
        <x:v>Add a fixed date or booking and we’ll protect it while we build the route.</x:v>
      </x:c>
      <x:c r="J586" s="73"/>
      <x:c r="K586" s="74" t="str">
        <x:f>IF(J586="",H586,IF(J586=I586,I586,J586))</x:f>
        <x:v>Add a fixed date or booking and we’ll protect it while we build the route.</x:v>
      </x:c>
      <x:c r="L586" s="74" t="str">
        <x:f>IF(J586="","Keep current",IF(J586=I586,"Use suggestion","Custom"))</x:f>
        <x:v>Keep current</x:v>
      </x:c>
      <x:c r="M586" s="71" t="str">
        <x:v>Pending review</x:v>
      </x:c>
      <x:c r="N586" s="71" t="str">
        <x:v>Medium</x:v>
      </x:c>
      <x:c r="O586" s="71" t="str">
        <x:v>app/journey/new/trip-builder.tsx</x:v>
      </x:c>
      <x:c r="P586" s="71" t="str">
        <x:v>TripBuilderDocument:1887</x:v>
      </x:c>
      <x:c r="Q586" s="71" t="str">
        <x:v>EN</x:v>
      </x:c>
      <x:c r="R586" s="71" t="str">
        <x:v>Already clear and direct; suggested wording intentionally keeps the current copy.</x:v>
      </x:c>
      <x:c r="S586" s="75" t="str">
        <x:v>Not applied — review required</x:v>
      </x:c>
    </x:row>
    <x:row r="587">
      <x:c r="A587" s="71" t="str">
        <x:v>MRV-F4CC4E6B37</x:v>
      </x:c>
      <x:c r="B587" s="71" t="str">
        <x:v>Planning</x:v>
      </x:c>
      <x:c r="C587" s="71" t="str">
        <x:v>New trip builder</x:v>
      </x:c>
      <x:c r="D587" s="71" t="str">
        <x:v>/journey/new/trip-builder</x:v>
      </x:c>
      <x:c r="E587" s="71" t="str">
        <x:v>TripBuilderDocument</x:v>
      </x:c>
      <x:c r="F587" s="71" t="str">
        <x:v>Default</x:v>
      </x:c>
      <x:c r="G587" s="71" t="str">
        <x:v>Label</x:v>
      </x:c>
      <x:c r="H587" s="71" t="str">
        <x:v>DEBE MANTENERSE</x:v>
      </x:c>
      <x:c r="I587" s="71" t="str">
        <x:v>DEBE MANTENERSE</x:v>
      </x:c>
      <x:c r="J587" s="73"/>
      <x:c r="K587" s="74" t="str">
        <x:f>IF(J587="",H587,IF(J587=I587,I587,J587))</x:f>
        <x:v>DEBE MANTENERSE</x:v>
      </x:c>
      <x:c r="L587" s="74" t="str">
        <x:f>IF(J587="","Keep current",IF(J587=I587,"Use suggestion","Custom"))</x:f>
        <x:v>Keep current</x:v>
      </x:c>
      <x:c r="M587" s="71" t="str">
        <x:v>Pending review</x:v>
      </x:c>
      <x:c r="N587" s="71" t="str">
        <x:v>Normal</x:v>
      </x:c>
      <x:c r="O587" s="71" t="str">
        <x:v>app/journey/new/trip-builder.tsx</x:v>
      </x:c>
      <x:c r="P587" s="71" t="str">
        <x:v>TripBuilderDocument:1890</x:v>
      </x:c>
      <x:c r="Q587" s="71" t="str">
        <x:v>ES</x:v>
      </x:c>
      <x:c r="R587" s="71" t="str">
        <x:v>Already clear and direct; suggested wording intentionally keeps the current copy.</x:v>
      </x:c>
      <x:c r="S587" s="75" t="str">
        <x:v>Not applied — review required</x:v>
      </x:c>
    </x:row>
    <x:row r="588">
      <x:c r="A588" s="71" t="str">
        <x:v>MRV-0D6CFEA13E</x:v>
      </x:c>
      <x:c r="B588" s="71" t="str">
        <x:v>Planning</x:v>
      </x:c>
      <x:c r="C588" s="71" t="str">
        <x:v>New trip builder</x:v>
      </x:c>
      <x:c r="D588" s="71" t="str">
        <x:v>/journey/new/trip-builder</x:v>
      </x:c>
      <x:c r="E588" s="71" t="str">
        <x:v>TripBuilderDocument</x:v>
      </x:c>
      <x:c r="F588" s="71" t="str">
        <x:v>Default</x:v>
      </x:c>
      <x:c r="G588" s="71" t="str">
        <x:v>Label</x:v>
      </x:c>
      <x:c r="H588" s="71" t="str">
        <x:v>MUST KEEP</x:v>
      </x:c>
      <x:c r="I588" s="71" t="str">
        <x:v>MUST KEEP</x:v>
      </x:c>
      <x:c r="J588" s="73"/>
      <x:c r="K588" s="74" t="str">
        <x:f>IF(J588="",H588,IF(J588=I588,I588,J588))</x:f>
        <x:v>MUST KEEP</x:v>
      </x:c>
      <x:c r="L588" s="74" t="str">
        <x:f>IF(J588="","Keep current",IF(J588=I588,"Use suggestion","Custom"))</x:f>
        <x:v>Keep current</x:v>
      </x:c>
      <x:c r="M588" s="71" t="str">
        <x:v>Pending review</x:v>
      </x:c>
      <x:c r="N588" s="71" t="str">
        <x:v>Normal</x:v>
      </x:c>
      <x:c r="O588" s="71" t="str">
        <x:v>app/journey/new/trip-builder.tsx</x:v>
      </x:c>
      <x:c r="P588" s="71" t="str">
        <x:v>TripBuilderDocument:1890</x:v>
      </x:c>
      <x:c r="Q588" s="71" t="str">
        <x:v>EN</x:v>
      </x:c>
      <x:c r="R588" s="71" t="str">
        <x:v>Already clear and direct; suggested wording intentionally keeps the current copy.</x:v>
      </x:c>
      <x:c r="S588" s="75" t="str">
        <x:v>Not applied — review required</x:v>
      </x:c>
    </x:row>
    <x:row r="589">
      <x:c r="A589" s="71" t="str">
        <x:v>MRV-32D4E9C9F4</x:v>
      </x:c>
      <x:c r="B589" s="71" t="str">
        <x:v>Planning</x:v>
      </x:c>
      <x:c r="C589" s="71" t="str">
        <x:v>New trip builder</x:v>
      </x:c>
      <x:c r="D589" s="71" t="str">
        <x:v>/journey/new/trip-builder</x:v>
      </x:c>
      <x:c r="E589" s="71" t="str">
        <x:v>TripBuilderDocument</x:v>
      </x:c>
      <x:c r="F589" s="71" t="str">
        <x:v>Default</x:v>
      </x:c>
      <x:c r="G589" s="71" t="str">
        <x:v>Label</x:v>
      </x:c>
      <x:c r="H589" s="71" t="str">
        <x:v>Salida</x:v>
      </x:c>
      <x:c r="I589" s="71" t="str">
        <x:v>Salida</x:v>
      </x:c>
      <x:c r="J589" s="73"/>
      <x:c r="K589" s="74" t="str">
        <x:f>IF(J589="",H589,IF(J589=I589,I589,J589))</x:f>
        <x:v>Salida</x:v>
      </x:c>
      <x:c r="L589" s="74" t="str">
        <x:f>IF(J589="","Keep current",IF(J589=I589,"Use suggestion","Custom"))</x:f>
        <x:v>Keep current</x:v>
      </x:c>
      <x:c r="M589" s="71" t="str">
        <x:v>Pending review</x:v>
      </x:c>
      <x:c r="N589" s="71" t="str">
        <x:v>Normal</x:v>
      </x:c>
      <x:c r="O589" s="71" t="str">
        <x:v>app/journey/new/trip-builder.tsx</x:v>
      </x:c>
      <x:c r="P589" s="71" t="str">
        <x:v>TripBuilderDocument:1892</x:v>
      </x:c>
      <x:c r="Q589" s="71" t="str">
        <x:v>ES</x:v>
      </x:c>
      <x:c r="R589" s="71" t="str">
        <x:v>Already clear and direct; suggested wording intentionally keeps the current copy. Duplicate wording: appears 2 times.</x:v>
      </x:c>
      <x:c r="S589" s="75" t="str">
        <x:v>Not applied — review required</x:v>
      </x:c>
    </x:row>
    <x:row r="590">
      <x:c r="A590" s="71" t="str">
        <x:v>MRV-8938037C62</x:v>
      </x:c>
      <x:c r="B590" s="71" t="str">
        <x:v>Planning</x:v>
      </x:c>
      <x:c r="C590" s="71" t="str">
        <x:v>New trip builder</x:v>
      </x:c>
      <x:c r="D590" s="71" t="str">
        <x:v>/journey/new/trip-builder</x:v>
      </x:c>
      <x:c r="E590" s="71" t="str">
        <x:v>TripBuilderDocument</x:v>
      </x:c>
      <x:c r="F590" s="71" t="str">
        <x:v>Default</x:v>
      </x:c>
      <x:c r="G590" s="71" t="str">
        <x:v>Label</x:v>
      </x:c>
      <x:c r="H590" s="71" t="str">
        <x:v>Origin</x:v>
      </x:c>
      <x:c r="I590" s="71" t="str">
        <x:v>Origin</x:v>
      </x:c>
      <x:c r="J590" s="73"/>
      <x:c r="K590" s="74" t="str">
        <x:f>IF(J590="",H590,IF(J590=I590,I590,J590))</x:f>
        <x:v>Origin</x:v>
      </x:c>
      <x:c r="L590" s="74" t="str">
        <x:f>IF(J590="","Keep current",IF(J590=I590,"Use suggestion","Custom"))</x:f>
        <x:v>Keep current</x:v>
      </x:c>
      <x:c r="M590" s="71" t="str">
        <x:v>Pending review</x:v>
      </x:c>
      <x:c r="N590" s="71" t="str">
        <x:v>Normal</x:v>
      </x:c>
      <x:c r="O590" s="71" t="str">
        <x:v>app/journey/new/trip-builder.tsx</x:v>
      </x:c>
      <x:c r="P590" s="71" t="str">
        <x:v>TripBuilderDocument:1892</x:v>
      </x:c>
      <x:c r="Q590" s="71" t="str">
        <x:v>EN</x:v>
      </x:c>
      <x:c r="R590" s="71" t="str">
        <x:v>Already clear and direct; suggested wording intentionally keeps the current copy.</x:v>
      </x:c>
      <x:c r="S590" s="75" t="str">
        <x:v>Not applied — review required</x:v>
      </x:c>
    </x:row>
    <x:row r="591">
      <x:c r="A591" s="71" t="str">
        <x:v>MRV-5016EADDB8</x:v>
      </x:c>
      <x:c r="B591" s="71" t="str">
        <x:v>Planning</x:v>
      </x:c>
      <x:c r="C591" s="71" t="str">
        <x:v>New trip builder</x:v>
      </x:c>
      <x:c r="D591" s="71" t="str">
        <x:v>/journey/new/trip-builder</x:v>
      </x:c>
      <x:c r="E591" s="71" t="str">
        <x:v>TripBuilderDocument</x:v>
      </x:c>
      <x:c r="F591" s="71" t="str">
        <x:v>Default</x:v>
      </x:c>
      <x:c r="G591" s="71" t="str">
        <x:v>Label</x:v>
      </x:c>
      <x:c r="H591" s="71" t="str">
        <x:v>Añadir</x:v>
      </x:c>
      <x:c r="I591" s="71" t="str">
        <x:v>Añadir</x:v>
      </x:c>
      <x:c r="J591" s="73"/>
      <x:c r="K591" s="74" t="str">
        <x:f>IF(J591="",H591,IF(J591=I591,I591,J591))</x:f>
        <x:v>Añadir</x:v>
      </x:c>
      <x:c r="L591" s="74" t="str">
        <x:f>IF(J591="","Keep current",IF(J591=I591,"Use suggestion","Custom"))</x:f>
        <x:v>Keep current</x:v>
      </x:c>
      <x:c r="M591" s="71" t="str">
        <x:v>Pending review</x:v>
      </x:c>
      <x:c r="N591" s="71" t="str">
        <x:v>Normal</x:v>
      </x:c>
      <x:c r="O591" s="71" t="str">
        <x:v>app/journey/new/trip-builder.tsx</x:v>
      </x:c>
      <x:c r="P591" s="71" t="str">
        <x:v>TripBuilderDocument:1892</x:v>
      </x:c>
      <x:c r="Q591" s="71" t="str">
        <x:v>ES</x:v>
      </x:c>
      <x:c r="R591" s="71" t="str">
        <x:v>Already clear and direct; suggested wording intentionally keeps the current copy. Duplicate wording: appears 3 times.</x:v>
      </x:c>
      <x:c r="S591" s="75" t="str">
        <x:v>Not applied — review required</x:v>
      </x:c>
    </x:row>
    <x:row r="592">
      <x:c r="A592" s="71" t="str">
        <x:v>MRV-443E2C6453</x:v>
      </x:c>
      <x:c r="B592" s="71" t="str">
        <x:v>Planning</x:v>
      </x:c>
      <x:c r="C592" s="71" t="str">
        <x:v>New trip builder</x:v>
      </x:c>
      <x:c r="D592" s="71" t="str">
        <x:v>/journey/new/trip-builder</x:v>
      </x:c>
      <x:c r="E592" s="71" t="str">
        <x:v>TripBuilderDocument</x:v>
      </x:c>
      <x:c r="F592" s="71" t="str">
        <x:v>Default</x:v>
      </x:c>
      <x:c r="G592" s="71" t="str">
        <x:v>CTA / button</x:v>
      </x:c>
      <x:c r="H592" s="71" t="str">
        <x:v>Add</x:v>
      </x:c>
      <x:c r="I592" s="71" t="str">
        <x:v>Add</x:v>
      </x:c>
      <x:c r="J592" s="73"/>
      <x:c r="K592" s="74" t="str">
        <x:f>IF(J592="",H592,IF(J592=I592,I592,J592))</x:f>
        <x:v>Add</x:v>
      </x:c>
      <x:c r="L592" s="74" t="str">
        <x:f>IF(J592="","Keep current",IF(J592=I592,"Use suggestion","Custom"))</x:f>
        <x:v>Keep current</x:v>
      </x:c>
      <x:c r="M592" s="71" t="str">
        <x:v>Pending review</x:v>
      </x:c>
      <x:c r="N592" s="71" t="str">
        <x:v>Medium</x:v>
      </x:c>
      <x:c r="O592" s="71" t="str">
        <x:v>app/journey/new/trip-builder.tsx</x:v>
      </x:c>
      <x:c r="P592" s="71" t="str">
        <x:v>TripBuilderDocument:1892</x:v>
      </x:c>
      <x:c r="Q592" s="71" t="str">
        <x:v>EN</x:v>
      </x:c>
      <x:c r="R592" s="71" t="str">
        <x:v>Already clear and direct; suggested wording intentionally keeps the current copy. Duplicate wording: appears 3 times.</x:v>
      </x:c>
      <x:c r="S592" s="75" t="str">
        <x:v>Not applied — review required</x:v>
      </x:c>
    </x:row>
    <x:row r="593">
      <x:c r="A593" s="71" t="str">
        <x:v>MRV-CCAF474F04</x:v>
      </x:c>
      <x:c r="B593" s="71" t="str">
        <x:v>Planning</x:v>
      </x:c>
      <x:c r="C593" s="71" t="str">
        <x:v>New trip builder</x:v>
      </x:c>
      <x:c r="D593" s="71" t="str">
        <x:v>/journey/new/trip-builder</x:v>
      </x:c>
      <x:c r="E593" s="71" t="str">
        <x:v>TripBuilderDocument</x:v>
      </x:c>
      <x:c r="F593" s="71" t="str">
        <x:v>Default</x:v>
      </x:c>
      <x:c r="G593" s="71" t="str">
        <x:v>Label</x:v>
      </x:c>
      <x:c r="H593" s="71" t="str">
        <x:v>Ruta</x:v>
      </x:c>
      <x:c r="I593" s="71" t="str">
        <x:v>Ruta</x:v>
      </x:c>
      <x:c r="J593" s="73"/>
      <x:c r="K593" s="74" t="str">
        <x:f>IF(J593="",H593,IF(J593=I593,I593,J593))</x:f>
        <x:v>Ruta</x:v>
      </x:c>
      <x:c r="L593" s="74" t="str">
        <x:f>IF(J593="","Keep current",IF(J593=I593,"Use suggestion","Custom"))</x:f>
        <x:v>Keep current</x:v>
      </x:c>
      <x:c r="M593" s="71" t="str">
        <x:v>Pending review</x:v>
      </x:c>
      <x:c r="N593" s="71" t="str">
        <x:v>Normal</x:v>
      </x:c>
      <x:c r="O593" s="71" t="str">
        <x:v>app/journey/new/trip-builder.tsx</x:v>
      </x:c>
      <x:c r="P593" s="71" t="str">
        <x:v>TripBuilderDocument:1893</x:v>
      </x:c>
      <x:c r="Q593" s="71" t="str">
        <x:v>ES</x:v>
      </x:c>
      <x:c r="R593" s="71" t="str">
        <x:v>Already clear and direct; suggested wording intentionally keeps the current copy.</x:v>
      </x:c>
      <x:c r="S593" s="75" t="str">
        <x:v>Not applied — review required</x:v>
      </x:c>
    </x:row>
    <x:row r="594">
      <x:c r="A594" s="71" t="str">
        <x:v>MRV-99703D8627</x:v>
      </x:c>
      <x:c r="B594" s="71" t="str">
        <x:v>Planning</x:v>
      </x:c>
      <x:c r="C594" s="71" t="str">
        <x:v>New trip builder</x:v>
      </x:c>
      <x:c r="D594" s="71" t="str">
        <x:v>/journey/new/trip-builder</x:v>
      </x:c>
      <x:c r="E594" s="71" t="str">
        <x:v>TripBuilderDocument</x:v>
      </x:c>
      <x:c r="F594" s="71" t="str">
        <x:v>Default</x:v>
      </x:c>
      <x:c r="G594" s="71" t="str">
        <x:v>Label</x:v>
      </x:c>
      <x:c r="H594" s="71" t="str">
        <x:v>Route</x:v>
      </x:c>
      <x:c r="I594" s="71" t="str">
        <x:v>Route</x:v>
      </x:c>
      <x:c r="J594" s="73"/>
      <x:c r="K594" s="74" t="str">
        <x:f>IF(J594="",H594,IF(J594=I594,I594,J594))</x:f>
        <x:v>Route</x:v>
      </x:c>
      <x:c r="L594" s="74" t="str">
        <x:f>IF(J594="","Keep current",IF(J594=I594,"Use suggestion","Custom"))</x:f>
        <x:v>Keep current</x:v>
      </x:c>
      <x:c r="M594" s="71" t="str">
        <x:v>Pending review</x:v>
      </x:c>
      <x:c r="N594" s="71" t="str">
        <x:v>Normal</x:v>
      </x:c>
      <x:c r="O594" s="71" t="str">
        <x:v>app/journey/new/trip-builder.tsx</x:v>
      </x:c>
      <x:c r="P594" s="71" t="str">
        <x:v>TripBuilderDocument:1893</x:v>
      </x:c>
      <x:c r="Q594" s="71" t="str">
        <x:v>EN</x:v>
      </x:c>
      <x:c r="R594" s="71" t="str">
        <x:v>Already clear and direct; suggested wording intentionally keeps the current copy. Duplicate wording: appears 3 times.</x:v>
      </x:c>
      <x:c r="S594" s="75" t="str">
        <x:v>Not applied — review required</x:v>
      </x:c>
    </x:row>
    <x:row r="595">
      <x:c r="A595" s="71" t="str">
        <x:v>MRV-5AC63A2951</x:v>
      </x:c>
      <x:c r="B595" s="71" t="str">
        <x:v>Planning</x:v>
      </x:c>
      <x:c r="C595" s="71" t="str">
        <x:v>New trip builder</x:v>
      </x:c>
      <x:c r="D595" s="71" t="str">
        <x:v>/journey/new/trip-builder</x:v>
      </x:c>
      <x:c r="E595" s="71" t="str">
        <x:v>TripBuilderDocument</x:v>
      </x:c>
      <x:c r="F595" s="71" t="str">
        <x:v>Default</x:v>
      </x:c>
      <x:c r="G595" s="71" t="str">
        <x:v>Body copy</x:v>
      </x:c>
      <x:c r="H595" s="71" t="str">
        <x:v>{stops.length} {language === "es" ? "paradas" : "stops"}</x:v>
      </x:c>
      <x:c r="I595" s="71" t="str">
        <x:v>{stops.length} {language === "es" ? "paradas" : "stops"}</x:v>
      </x:c>
      <x:c r="J595" s="73"/>
      <x:c r="K595" s="74" t="str">
        <x:f>IF(J595="",H595,IF(J595=I595,I595,J595))</x:f>
        <x:v>{stops.length} {language === "es" ? "paradas" : "stops"}</x:v>
      </x:c>
      <x:c r="L595" s="74" t="str">
        <x:f>IF(J595="","Keep current",IF(J595=I595,"Use suggestion","Custom"))</x:f>
        <x:v>Keep current</x:v>
      </x:c>
      <x:c r="M595" s="71" t="str">
        <x:v>Pending review</x:v>
      </x:c>
      <x:c r="N595" s="71" t="str">
        <x:v>Normal</x:v>
      </x:c>
      <x:c r="O595" s="71" t="str">
        <x:v>app/journey/new/trip-builder.tsx</x:v>
      </x:c>
      <x:c r="P595" s="71" t="str">
        <x:v>TripBuilderDocument:1893</x:v>
      </x:c>
      <x:c r="Q595" s="71" t="str">
        <x:v>EN (default / shared)</x:v>
      </x:c>
      <x:c r="R595"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595" s="75" t="str">
        <x:v>Not applied — review required</x:v>
      </x:c>
    </x:row>
    <x:row r="596">
      <x:c r="A596" s="71" t="str">
        <x:v>MRV-B74EDC095C</x:v>
      </x:c>
      <x:c r="B596" s="71" t="str">
        <x:v>Planning</x:v>
      </x:c>
      <x:c r="C596" s="71" t="str">
        <x:v>New trip builder</x:v>
      </x:c>
      <x:c r="D596" s="71" t="str">
        <x:v>/journey/new/trip-builder</x:v>
      </x:c>
      <x:c r="E596" s="71" t="str">
        <x:v>TripBuilderDocument</x:v>
      </x:c>
      <x:c r="F596" s="71" t="str">
        <x:v>Default</x:v>
      </x:c>
      <x:c r="G596" s="71" t="str">
        <x:v>Label</x:v>
      </x:c>
      <x:c r="H596" s="71" t="str">
        <x:v>Añadir</x:v>
      </x:c>
      <x:c r="I596" s="71" t="str">
        <x:v>Añadir</x:v>
      </x:c>
      <x:c r="J596" s="73"/>
      <x:c r="K596" s="74" t="str">
        <x:f>IF(J596="",H596,IF(J596=I596,I596,J596))</x:f>
        <x:v>Añadir</x:v>
      </x:c>
      <x:c r="L596" s="74" t="str">
        <x:f>IF(J596="","Keep current",IF(J596=I596,"Use suggestion","Custom"))</x:f>
        <x:v>Keep current</x:v>
      </x:c>
      <x:c r="M596" s="71" t="str">
        <x:v>Pending review</x:v>
      </x:c>
      <x:c r="N596" s="71" t="str">
        <x:v>Normal</x:v>
      </x:c>
      <x:c r="O596" s="71" t="str">
        <x:v>app/journey/new/trip-builder.tsx</x:v>
      </x:c>
      <x:c r="P596" s="71" t="str">
        <x:v>TripBuilderDocument:1893</x:v>
      </x:c>
      <x:c r="Q596" s="71" t="str">
        <x:v>ES</x:v>
      </x:c>
      <x:c r="R596" s="71" t="str">
        <x:v>Already clear and direct; suggested wording intentionally keeps the current copy. Duplicate wording: appears 3 times.</x:v>
      </x:c>
      <x:c r="S596" s="75" t="str">
        <x:v>Not applied — review required</x:v>
      </x:c>
    </x:row>
    <x:row r="597">
      <x:c r="A597" s="71" t="str">
        <x:v>MRV-34EAF2EC59</x:v>
      </x:c>
      <x:c r="B597" s="71" t="str">
        <x:v>Planning</x:v>
      </x:c>
      <x:c r="C597" s="71" t="str">
        <x:v>New trip builder</x:v>
      </x:c>
      <x:c r="D597" s="71" t="str">
        <x:v>/journey/new/trip-builder</x:v>
      </x:c>
      <x:c r="E597" s="71" t="str">
        <x:v>TripBuilderDocument</x:v>
      </x:c>
      <x:c r="F597" s="71" t="str">
        <x:v>Default</x:v>
      </x:c>
      <x:c r="G597" s="71" t="str">
        <x:v>CTA / button</x:v>
      </x:c>
      <x:c r="H597" s="71" t="str">
        <x:v>Add</x:v>
      </x:c>
      <x:c r="I597" s="71" t="str">
        <x:v>Add</x:v>
      </x:c>
      <x:c r="J597" s="73"/>
      <x:c r="K597" s="74" t="str">
        <x:f>IF(J597="",H597,IF(J597=I597,I597,J597))</x:f>
        <x:v>Add</x:v>
      </x:c>
      <x:c r="L597" s="74" t="str">
        <x:f>IF(J597="","Keep current",IF(J597=I597,"Use suggestion","Custom"))</x:f>
        <x:v>Keep current</x:v>
      </x:c>
      <x:c r="M597" s="71" t="str">
        <x:v>Pending review</x:v>
      </x:c>
      <x:c r="N597" s="71" t="str">
        <x:v>Medium</x:v>
      </x:c>
      <x:c r="O597" s="71" t="str">
        <x:v>app/journey/new/trip-builder.tsx</x:v>
      </x:c>
      <x:c r="P597" s="71" t="str">
        <x:v>TripBuilderDocument:1893</x:v>
      </x:c>
      <x:c r="Q597" s="71" t="str">
        <x:v>EN</x:v>
      </x:c>
      <x:c r="R597" s="71" t="str">
        <x:v>Already clear and direct; suggested wording intentionally keeps the current copy. Duplicate wording: appears 3 times.</x:v>
      </x:c>
      <x:c r="S597" s="75" t="str">
        <x:v>Not applied — review required</x:v>
      </x:c>
    </x:row>
    <x:row r="598">
      <x:c r="A598" s="71" t="str">
        <x:v>MRV-DB40BEA510</x:v>
      </x:c>
      <x:c r="B598" s="71" t="str">
        <x:v>Planning</x:v>
      </x:c>
      <x:c r="C598" s="71" t="str">
        <x:v>New trip builder</x:v>
      </x:c>
      <x:c r="D598" s="71" t="str">
        <x:v>/journey/new/trip-builder</x:v>
      </x:c>
      <x:c r="E598" s="71" t="str">
        <x:v>TripBuilderDocument</x:v>
      </x:c>
      <x:c r="F598" s="71" t="str">
        <x:v>Default</x:v>
      </x:c>
      <x:c r="G598" s="71" t="str">
        <x:v>Label</x:v>
      </x:c>
      <x:c r="H598" s="71" t="str">
        <x:v>Fechas</x:v>
      </x:c>
      <x:c r="I598" s="71" t="str">
        <x:v>Fechas</x:v>
      </x:c>
      <x:c r="J598" s="73"/>
      <x:c r="K598" s="74" t="str">
        <x:f>IF(J598="",H598,IF(J598=I598,I598,J598))</x:f>
        <x:v>Fechas</x:v>
      </x:c>
      <x:c r="L598" s="74" t="str">
        <x:f>IF(J598="","Keep current",IF(J598=I598,"Use suggestion","Custom"))</x:f>
        <x:v>Keep current</x:v>
      </x:c>
      <x:c r="M598" s="71" t="str">
        <x:v>Pending review</x:v>
      </x:c>
      <x:c r="N598" s="71" t="str">
        <x:v>Normal</x:v>
      </x:c>
      <x:c r="O598" s="71" t="str">
        <x:v>app/journey/new/trip-builder.tsx</x:v>
      </x:c>
      <x:c r="P598" s="71" t="str">
        <x:v>TripBuilderDocument:1894</x:v>
      </x:c>
      <x:c r="Q598" s="71" t="str">
        <x:v>ES</x:v>
      </x:c>
      <x:c r="R598" s="71" t="str">
        <x:v>Already clear and direct; suggested wording intentionally keeps the current copy.</x:v>
      </x:c>
      <x:c r="S598" s="75" t="str">
        <x:v>Not applied — review required</x:v>
      </x:c>
    </x:row>
    <x:row r="599">
      <x:c r="A599" s="71" t="str">
        <x:v>MRV-719CA8C7A7</x:v>
      </x:c>
      <x:c r="B599" s="71" t="str">
        <x:v>Planning</x:v>
      </x:c>
      <x:c r="C599" s="71" t="str">
        <x:v>New trip builder</x:v>
      </x:c>
      <x:c r="D599" s="71" t="str">
        <x:v>/journey/new/trip-builder</x:v>
      </x:c>
      <x:c r="E599" s="71" t="str">
        <x:v>TripBuilderDocument</x:v>
      </x:c>
      <x:c r="F599" s="71" t="str">
        <x:v>Default</x:v>
      </x:c>
      <x:c r="G599" s="71" t="str">
        <x:v>Label</x:v>
      </x:c>
      <x:c r="H599" s="71" t="str">
        <x:v>Timing</x:v>
      </x:c>
      <x:c r="I599" s="71" t="str">
        <x:v>Timing</x:v>
      </x:c>
      <x:c r="J599" s="73"/>
      <x:c r="K599" s="74" t="str">
        <x:f>IF(J599="",H599,IF(J599=I599,I599,J599))</x:f>
        <x:v>Timing</x:v>
      </x:c>
      <x:c r="L599" s="74" t="str">
        <x:f>IF(J599="","Keep current",IF(J599=I599,"Use suggestion","Custom"))</x:f>
        <x:v>Keep current</x:v>
      </x:c>
      <x:c r="M599" s="71" t="str">
        <x:v>Pending review</x:v>
      </x:c>
      <x:c r="N599" s="71" t="str">
        <x:v>Normal</x:v>
      </x:c>
      <x:c r="O599" s="71" t="str">
        <x:v>app/journey/new/trip-builder.tsx</x:v>
      </x:c>
      <x:c r="P599" s="71" t="str">
        <x:v>TripBuilderDocument:1894</x:v>
      </x:c>
      <x:c r="Q599" s="71" t="str">
        <x:v>EN</x:v>
      </x:c>
      <x:c r="R599" s="71" t="str">
        <x:v>Already clear and direct; suggested wording intentionally keeps the current copy.</x:v>
      </x:c>
      <x:c r="S599" s="75" t="str">
        <x:v>Not applied — review required</x:v>
      </x:c>
    </x:row>
    <x:row r="600">
      <x:c r="A600" s="71" t="str">
        <x:v>MRV-4C1DFBC319</x:v>
      </x:c>
      <x:c r="B600" s="71" t="str">
        <x:v>Planning</x:v>
      </x:c>
      <x:c r="C600" s="71" t="str">
        <x:v>New trip builder</x:v>
      </x:c>
      <x:c r="D600" s="71" t="str">
        <x:v>/journey/new/trip-builder</x:v>
      </x:c>
      <x:c r="E600" s="71" t="str">
        <x:v>TripBuilderDocument</x:v>
      </x:c>
      <x:c r="F600" s="71" t="str">
        <x:v>Default</x:v>
      </x:c>
      <x:c r="G600" s="71" t="str">
        <x:v>Label</x:v>
      </x:c>
      <x:c r="H600" s="71" t="str">
        <x:v>Fijas</x:v>
      </x:c>
      <x:c r="I600" s="71" t="str">
        <x:v>Fijas</x:v>
      </x:c>
      <x:c r="J600" s="73"/>
      <x:c r="K600" s="74" t="str">
        <x:f>IF(J600="",H600,IF(J600=I600,I600,J600))</x:f>
        <x:v>Fijas</x:v>
      </x:c>
      <x:c r="L600" s="74" t="str">
        <x:f>IF(J600="","Keep current",IF(J600=I600,"Use suggestion","Custom"))</x:f>
        <x:v>Keep current</x:v>
      </x:c>
      <x:c r="M600" s="71" t="str">
        <x:v>Pending review</x:v>
      </x:c>
      <x:c r="N600" s="71" t="str">
        <x:v>Normal</x:v>
      </x:c>
      <x:c r="O600" s="71" t="str">
        <x:v>app/journey/new/trip-builder.tsx</x:v>
      </x:c>
      <x:c r="P600" s="71" t="str">
        <x:v>TripBuilderDocument:1894</x:v>
      </x:c>
      <x:c r="Q600" s="71" t="str">
        <x:v>ES</x:v>
      </x:c>
      <x:c r="R600" s="71" t="str">
        <x:v>Already clear and direct; suggested wording intentionally keeps the current copy.</x:v>
      </x:c>
      <x:c r="S600" s="75" t="str">
        <x:v>Not applied — review required</x:v>
      </x:c>
    </x:row>
    <x:row r="601">
      <x:c r="A601" s="71" t="str">
        <x:v>MRV-FCEE462D04</x:v>
      </x:c>
      <x:c r="B601" s="71" t="str">
        <x:v>Planning</x:v>
      </x:c>
      <x:c r="C601" s="71" t="str">
        <x:v>New trip builder</x:v>
      </x:c>
      <x:c r="D601" s="71" t="str">
        <x:v>/journey/new/trip-builder</x:v>
      </x:c>
      <x:c r="E601" s="71" t="str">
        <x:v>TripBuilderDocument</x:v>
      </x:c>
      <x:c r="F601" s="71" t="str">
        <x:v>Default</x:v>
      </x:c>
      <x:c r="G601" s="71" t="str">
        <x:v>Label</x:v>
      </x:c>
      <x:c r="H601" s="71" t="str">
        <x:v>Fixed</x:v>
      </x:c>
      <x:c r="I601" s="71" t="str">
        <x:v>Fixed</x:v>
      </x:c>
      <x:c r="J601" s="73"/>
      <x:c r="K601" s="74" t="str">
        <x:f>IF(J601="",H601,IF(J601=I601,I601,J601))</x:f>
        <x:v>Fixed</x:v>
      </x:c>
      <x:c r="L601" s="74" t="str">
        <x:f>IF(J601="","Keep current",IF(J601=I601,"Use suggestion","Custom"))</x:f>
        <x:v>Keep current</x:v>
      </x:c>
      <x:c r="M601" s="71" t="str">
        <x:v>Pending review</x:v>
      </x:c>
      <x:c r="N601" s="71" t="str">
        <x:v>Normal</x:v>
      </x:c>
      <x:c r="O601" s="71" t="str">
        <x:v>app/journey/new/trip-builder.tsx</x:v>
      </x:c>
      <x:c r="P601" s="71" t="str">
        <x:v>TripBuilderDocument:1894</x:v>
      </x:c>
      <x:c r="Q601" s="71" t="str">
        <x:v>EN</x:v>
      </x:c>
      <x:c r="R601" s="71" t="str">
        <x:v>Already clear and direct; suggested wording intentionally keeps the current copy.</x:v>
      </x:c>
      <x:c r="S601" s="75" t="str">
        <x:v>Not applied — review required</x:v>
      </x:c>
    </x:row>
    <x:row r="602">
      <x:c r="A602" s="71" t="str">
        <x:v>MRV-B28202D913</x:v>
      </x:c>
      <x:c r="B602" s="71" t="str">
        <x:v>Planning</x:v>
      </x:c>
      <x:c r="C602" s="71" t="str">
        <x:v>New trip builder</x:v>
      </x:c>
      <x:c r="D602" s="71" t="str">
        <x:v>/journey/new/trip-builder</x:v>
      </x:c>
      <x:c r="E602" s="71" t="str">
        <x:v>TripBuilderDocument</x:v>
      </x:c>
      <x:c r="F602" s="71" t="str">
        <x:v>Default</x:v>
      </x:c>
      <x:c r="G602" s="71" t="str">
        <x:v>Label</x:v>
      </x:c>
      <x:c r="H602" s="71" t="str">
        <x:v>Flexible</x:v>
      </x:c>
      <x:c r="I602" s="71" t="str">
        <x:v>Flexible</x:v>
      </x:c>
      <x:c r="J602" s="73"/>
      <x:c r="K602" s="74" t="str">
        <x:f>IF(J602="",H602,IF(J602=I602,I602,J602))</x:f>
        <x:v>Flexible</x:v>
      </x:c>
      <x:c r="L602" s="74" t="str">
        <x:f>IF(J602="","Keep current",IF(J602=I602,"Use suggestion","Custom"))</x:f>
        <x:v>Keep current</x:v>
      </x:c>
      <x:c r="M602" s="71" t="str">
        <x:v>Pending review</x:v>
      </x:c>
      <x:c r="N602" s="71" t="str">
        <x:v>Normal</x:v>
      </x:c>
      <x:c r="O602" s="71" t="str">
        <x:v>app/journey/new/trip-builder.tsx</x:v>
      </x:c>
      <x:c r="P602" s="71" t="str">
        <x:v>TripBuilderDocument:1894</x:v>
      </x:c>
      <x:c r="Q602" s="71" t="str">
        <x:v>ES</x:v>
      </x:c>
      <x:c r="R602" s="71" t="str">
        <x:v>Already clear and direct; suggested wording intentionally keeps the current copy. Duplicate wording: appears 2 times.</x:v>
      </x:c>
      <x:c r="S602" s="75" t="str">
        <x:v>Not applied — review required</x:v>
      </x:c>
    </x:row>
    <x:row r="603">
      <x:c r="A603" s="71" t="str">
        <x:v>MRV-4896CC017E</x:v>
      </x:c>
      <x:c r="B603" s="71" t="str">
        <x:v>Planning</x:v>
      </x:c>
      <x:c r="C603" s="71" t="str">
        <x:v>New trip builder</x:v>
      </x:c>
      <x:c r="D603" s="71" t="str">
        <x:v>/journey/new/trip-builder</x:v>
      </x:c>
      <x:c r="E603" s="71" t="str">
        <x:v>TripBuilderDocument</x:v>
      </x:c>
      <x:c r="F603" s="71" t="str">
        <x:v>Default</x:v>
      </x:c>
      <x:c r="G603" s="71" t="str">
        <x:v>Label</x:v>
      </x:c>
      <x:c r="H603" s="71" t="str">
        <x:v>Flexible</x:v>
      </x:c>
      <x:c r="I603" s="71" t="str">
        <x:v>Flexible</x:v>
      </x:c>
      <x:c r="J603" s="73"/>
      <x:c r="K603" s="74" t="str">
        <x:f>IF(J603="",H603,IF(J603=I603,I603,J603))</x:f>
        <x:v>Flexible</x:v>
      </x:c>
      <x:c r="L603" s="74" t="str">
        <x:f>IF(J603="","Keep current",IF(J603=I603,"Use suggestion","Custom"))</x:f>
        <x:v>Keep current</x:v>
      </x:c>
      <x:c r="M603" s="71" t="str">
        <x:v>Pending review</x:v>
      </x:c>
      <x:c r="N603" s="71" t="str">
        <x:v>Normal</x:v>
      </x:c>
      <x:c r="O603" s="71" t="str">
        <x:v>app/journey/new/trip-builder.tsx</x:v>
      </x:c>
      <x:c r="P603" s="71" t="str">
        <x:v>TripBuilderDocument:1894</x:v>
      </x:c>
      <x:c r="Q603" s="71" t="str">
        <x:v>EN</x:v>
      </x:c>
      <x:c r="R603" s="71" t="str">
        <x:v>Already clear and direct; suggested wording intentionally keeps the current copy. Duplicate wording: appears 2 times.</x:v>
      </x:c>
      <x:c r="S603" s="75" t="str">
        <x:v>Not applied — review required</x:v>
      </x:c>
    </x:row>
    <x:row r="604">
      <x:c r="A604" s="71" t="str">
        <x:v>MRV-CFE6A1D40F</x:v>
      </x:c>
      <x:c r="B604" s="71" t="str">
        <x:v>Planning</x:v>
      </x:c>
      <x:c r="C604" s="71" t="str">
        <x:v>New trip builder</x:v>
      </x:c>
      <x:c r="D604" s="71" t="str">
        <x:v>/journey/new/trip-builder</x:v>
      </x:c>
      <x:c r="E604" s="71" t="str">
        <x:v>TripBuilderDocument</x:v>
      </x:c>
      <x:c r="F604" s="71" t="str">
        <x:v>Default</x:v>
      </x:c>
      <x:c r="G604" s="71" t="str">
        <x:v>Label</x:v>
      </x:c>
      <x:c r="H604" s="71" t="str">
        <x:v>PARADAS IMPRESCINDIBLES</x:v>
      </x:c>
      <x:c r="I604" s="71" t="str">
        <x:v>PARADAS IMPRESCINDIBLES</x:v>
      </x:c>
      <x:c r="J604" s="73"/>
      <x:c r="K604" s="74" t="str">
        <x:f>IF(J604="",H604,IF(J604=I604,I604,J604))</x:f>
        <x:v>PARADAS IMPRESCINDIBLES</x:v>
      </x:c>
      <x:c r="L604" s="74" t="str">
        <x:f>IF(J604="","Keep current",IF(J604=I604,"Use suggestion","Custom"))</x:f>
        <x:v>Keep current</x:v>
      </x:c>
      <x:c r="M604" s="71" t="str">
        <x:v>Pending review</x:v>
      </x:c>
      <x:c r="N604" s="71" t="str">
        <x:v>Normal</x:v>
      </x:c>
      <x:c r="O604" s="71" t="str">
        <x:v>app/journey/new/trip-builder.tsx</x:v>
      </x:c>
      <x:c r="P604" s="71" t="str">
        <x:v>TripBuilderDocument:1896</x:v>
      </x:c>
      <x:c r="Q604" s="71" t="str">
        <x:v>ES</x:v>
      </x:c>
      <x:c r="R604" s="71" t="str">
        <x:v>Already clear and direct; suggested wording intentionally keeps the current copy.</x:v>
      </x:c>
      <x:c r="S604" s="75" t="str">
        <x:v>Not applied — review required</x:v>
      </x:c>
    </x:row>
    <x:row r="605">
      <x:c r="A605" s="71" t="str">
        <x:v>MRV-CCFD86AC25</x:v>
      </x:c>
      <x:c r="B605" s="71" t="str">
        <x:v>Planning</x:v>
      </x:c>
      <x:c r="C605" s="71" t="str">
        <x:v>New trip builder</x:v>
      </x:c>
      <x:c r="D605" s="71" t="str">
        <x:v>/journey/new/trip-builder</x:v>
      </x:c>
      <x:c r="E605" s="71" t="str">
        <x:v>TripBuilderDocument</x:v>
      </x:c>
      <x:c r="F605" s="71" t="str">
        <x:v>Default</x:v>
      </x:c>
      <x:c r="G605" s="71" t="str">
        <x:v>Label</x:v>
      </x:c>
      <x:c r="H605" s="71" t="str">
        <x:v>MUST-SEE STOPS</x:v>
      </x:c>
      <x:c r="I605" s="71" t="str">
        <x:v>MUST-SEE STOPS</x:v>
      </x:c>
      <x:c r="J605" s="73"/>
      <x:c r="K605" s="74" t="str">
        <x:f>IF(J605="",H605,IF(J605=I605,I605,J605))</x:f>
        <x:v>MUST-SEE STOPS</x:v>
      </x:c>
      <x:c r="L605" s="74" t="str">
        <x:f>IF(J605="","Keep current",IF(J605=I605,"Use suggestion","Custom"))</x:f>
        <x:v>Keep current</x:v>
      </x:c>
      <x:c r="M605" s="71" t="str">
        <x:v>Pending review</x:v>
      </x:c>
      <x:c r="N605" s="71" t="str">
        <x:v>Normal</x:v>
      </x:c>
      <x:c r="O605" s="71" t="str">
        <x:v>app/journey/new/trip-builder.tsx</x:v>
      </x:c>
      <x:c r="P605" s="71" t="str">
        <x:v>TripBuilderDocument:1896</x:v>
      </x:c>
      <x:c r="Q605" s="71" t="str">
        <x:v>EN</x:v>
      </x:c>
      <x:c r="R605" s="71" t="str">
        <x:v>Already clear and direct; suggested wording intentionally keeps the current copy. Terminology watch: ‘trip’ and ‘journey’ both describe the same plan. Terminology watch: ‘stops’, ‘destinations’ and ‘places’ overlap.</x:v>
      </x:c>
      <x:c r="S605" s="75" t="str">
        <x:v>Not applied — review required</x:v>
      </x:c>
    </x:row>
    <x:row r="606">
      <x:c r="A606" s="71" t="str">
        <x:v>MRV-7F9CEFD937</x:v>
      </x:c>
      <x:c r="B606" s="71" t="str">
        <x:v>Planning</x:v>
      </x:c>
      <x:c r="C606" s="71" t="str">
        <x:v>New trip builder</x:v>
      </x:c>
      <x:c r="D606" s="71" t="str">
        <x:v>/journey/new/trip-builder</x:v>
      </x:c>
      <x:c r="E606" s="71" t="str">
        <x:v>TripBuilderDocument</x:v>
      </x:c>
      <x:c r="F606" s="71" t="str">
        <x:v>Default</x:v>
      </x:c>
      <x:c r="G606" s="71" t="str">
        <x:v>Body copy</x:v>
      </x:c>
      <x:c r="H606" s="71" t="str">
        <x:v>· {language === "es" ? "opcional" : "optional"}</x:v>
      </x:c>
      <x:c r="I606" s="71" t="str">
        <x:v>· {language === "es" ? "opcional" : "optional"}</x:v>
      </x:c>
      <x:c r="J606" s="73"/>
      <x:c r="K606" s="74" t="str">
        <x:f>IF(J606="",H606,IF(J606=I606,I606,J606))</x:f>
        <x:v>· {language === "es" ? "opcional" : "optional"}</x:v>
      </x:c>
      <x:c r="L606" s="74" t="str">
        <x:f>IF(J606="","Keep current",IF(J606=I606,"Use suggestion","Custom"))</x:f>
        <x:v>Keep current</x:v>
      </x:c>
      <x:c r="M606" s="71" t="str">
        <x:v>Pending review</x:v>
      </x:c>
      <x:c r="N606" s="71" t="str">
        <x:v>Normal</x:v>
      </x:c>
      <x:c r="O606" s="71" t="str">
        <x:v>app/journey/new/trip-builder.tsx</x:v>
      </x:c>
      <x:c r="P606" s="71" t="str">
        <x:v>TripBuilderDocument:1898</x:v>
      </x:c>
      <x:c r="Q606" s="71" t="str">
        <x:v>EN (default / shared)</x:v>
      </x:c>
      <x:c r="R606" s="71" t="str">
        <x:v>Already clear and direct; suggested wording intentionally keeps the current copy. Dynamic traveller or trip value is represented as a token; user-generated values are excluded.</x:v>
      </x:c>
      <x:c r="S606" s="75" t="str">
        <x:v>Not applied — review required</x:v>
      </x:c>
    </x:row>
    <x:row r="607">
      <x:c r="A607" s="71" t="str">
        <x:v>MRV-37158E4E40</x:v>
      </x:c>
      <x:c r="B607" s="71" t="str">
        <x:v>Planning</x:v>
      </x:c>
      <x:c r="C607" s="71" t="str">
        <x:v>New trip builder</x:v>
      </x:c>
      <x:c r="D607" s="71" t="str">
        <x:v>/journey/new/trip-builder</x:v>
      </x:c>
      <x:c r="E607" s="71" t="str">
        <x:v>TripBuilderDocument</x:v>
      </x:c>
      <x:c r="F607" s="71" t="str">
        <x:v>Accessibility / input support</x:v>
      </x:c>
      <x:c r="G607" s="71" t="str">
        <x:v>Accessibility label</x:v>
      </x:c>
      <x:c r="H607" s="71" t="str">
        <x:v>Flexibilidad de fechas</x:v>
      </x:c>
      <x:c r="I607" s="71" t="str">
        <x:v>Flexibilidad de fechas</x:v>
      </x:c>
      <x:c r="J607" s="73"/>
      <x:c r="K607" s="74" t="str">
        <x:f>IF(J607="",H607,IF(J607=I607,I607,J607))</x:f>
        <x:v>Flexibilidad de fechas</x:v>
      </x:c>
      <x:c r="L607" s="74" t="str">
        <x:f>IF(J607="","Keep current",IF(J607=I607,"Use suggestion","Custom"))</x:f>
        <x:v>Keep current</x:v>
      </x:c>
      <x:c r="M607" s="71" t="str">
        <x:v>Pending review</x:v>
      </x:c>
      <x:c r="N607" s="71" t="str">
        <x:v>Medium</x:v>
      </x:c>
      <x:c r="O607" s="71" t="str">
        <x:v>app/journey/new/trip-builder.tsx</x:v>
      </x:c>
      <x:c r="P607" s="71" t="str">
        <x:v>TripBuilderDocument:1900</x:v>
      </x:c>
      <x:c r="Q607" s="71" t="str">
        <x:v>ES</x:v>
      </x:c>
      <x:c r="R607" s="71" t="str">
        <x:v>Already clear and direct; suggested wording intentionally keeps the current copy.</x:v>
      </x:c>
      <x:c r="S607" s="75" t="str">
        <x:v>Not applied — review required</x:v>
      </x:c>
    </x:row>
    <x:row r="608">
      <x:c r="A608" s="71" t="str">
        <x:v>MRV-1D02663000</x:v>
      </x:c>
      <x:c r="B608" s="71" t="str">
        <x:v>Planning</x:v>
      </x:c>
      <x:c r="C608" s="71" t="str">
        <x:v>New trip builder</x:v>
      </x:c>
      <x:c r="D608" s="71" t="str">
        <x:v>/journey/new/trip-builder</x:v>
      </x:c>
      <x:c r="E608" s="71" t="str">
        <x:v>TripBuilderDocument</x:v>
      </x:c>
      <x:c r="F608" s="71" t="str">
        <x:v>Accessibility / input support</x:v>
      </x:c>
      <x:c r="G608" s="71" t="str">
        <x:v>Accessibility label</x:v>
      </x:c>
      <x:c r="H608" s="71" t="str">
        <x:v>Date flexibility</x:v>
      </x:c>
      <x:c r="I608" s="71" t="str">
        <x:v>Date flexibility</x:v>
      </x:c>
      <x:c r="J608" s="73"/>
      <x:c r="K608" s="74" t="str">
        <x:f>IF(J608="",H608,IF(J608=I608,I608,J608))</x:f>
        <x:v>Date flexibility</x:v>
      </x:c>
      <x:c r="L608" s="74" t="str">
        <x:f>IF(J608="","Keep current",IF(J608=I608,"Use suggestion","Custom"))</x:f>
        <x:v>Keep current</x:v>
      </x:c>
      <x:c r="M608" s="71" t="str">
        <x:v>Pending review</x:v>
      </x:c>
      <x:c r="N608" s="71" t="str">
        <x:v>Medium</x:v>
      </x:c>
      <x:c r="O608" s="71" t="str">
        <x:v>app/journey/new/trip-builder.tsx</x:v>
      </x:c>
      <x:c r="P608" s="71" t="str">
        <x:v>TripBuilderDocument:1900</x:v>
      </x:c>
      <x:c r="Q608" s="71" t="str">
        <x:v>EN</x:v>
      </x:c>
      <x:c r="R608" s="71" t="str">
        <x:v>Already clear and direct; suggested wording intentionally keeps the current copy.</x:v>
      </x:c>
      <x:c r="S608" s="75" t="str">
        <x:v>Not applied — review required</x:v>
      </x:c>
    </x:row>
    <x:row r="609">
      <x:c r="A609" s="71" t="str">
        <x:v>MRV-557F4D8540</x:v>
      </x:c>
      <x:c r="B609" s="71" t="str">
        <x:v>Planning</x:v>
      </x:c>
      <x:c r="C609" s="71" t="str">
        <x:v>New trip builder</x:v>
      </x:c>
      <x:c r="D609" s="71" t="str">
        <x:v>/journey/new/trip-builder</x:v>
      </x:c>
      <x:c r="E609" s="71" t="str">
        <x:v>TripBuilderDocument</x:v>
      </x:c>
      <x:c r="F609" s="71" t="str">
        <x:v>Default</x:v>
      </x:c>
      <x:c r="G609" s="71" t="str">
        <x:v>Label</x:v>
      </x:c>
      <x:c r="H609" s="71" t="str">
        <x:v>Fechas fijas</x:v>
      </x:c>
      <x:c r="I609" s="71" t="str">
        <x:v>Fechas fijas</x:v>
      </x:c>
      <x:c r="J609" s="73"/>
      <x:c r="K609" s="74" t="str">
        <x:f>IF(J609="",H609,IF(J609=I609,I609,J609))</x:f>
        <x:v>Fechas fijas</x:v>
      </x:c>
      <x:c r="L609" s="74" t="str">
        <x:f>IF(J609="","Keep current",IF(J609=I609,"Use suggestion","Custom"))</x:f>
        <x:v>Keep current</x:v>
      </x:c>
      <x:c r="M609" s="71" t="str">
        <x:v>Pending review</x:v>
      </x:c>
      <x:c r="N609" s="71" t="str">
        <x:v>Normal</x:v>
      </x:c>
      <x:c r="O609" s="71" t="str">
        <x:v>app/journey/new/trip-builder.tsx</x:v>
      </x:c>
      <x:c r="P609" s="71" t="str">
        <x:v>TripBuilderDocument:1901</x:v>
      </x:c>
      <x:c r="Q609" s="71" t="str">
        <x:v>ES</x:v>
      </x:c>
      <x:c r="R609" s="71" t="str">
        <x:v>Already clear and direct; suggested wording intentionally keeps the current copy. Duplicate wording: appears 2 times.</x:v>
      </x:c>
      <x:c r="S609" s="75" t="str">
        <x:v>Not applied — review required</x:v>
      </x:c>
    </x:row>
    <x:row r="610">
      <x:c r="A610" s="71" t="str">
        <x:v>MRV-EACB79744F</x:v>
      </x:c>
      <x:c r="B610" s="71" t="str">
        <x:v>Planning</x:v>
      </x:c>
      <x:c r="C610" s="71" t="str">
        <x:v>New trip builder</x:v>
      </x:c>
      <x:c r="D610" s="71" t="str">
        <x:v>/journey/new/trip-builder</x:v>
      </x:c>
      <x:c r="E610" s="71" t="str">
        <x:v>TripBuilderDocument</x:v>
      </x:c>
      <x:c r="F610" s="71" t="str">
        <x:v>Default</x:v>
      </x:c>
      <x:c r="G610" s="71" t="str">
        <x:v>Label</x:v>
      </x:c>
      <x:c r="H610" s="71" t="str">
        <x:v>Dates fixed</x:v>
      </x:c>
      <x:c r="I610" s="71" t="str">
        <x:v>Dates fixed</x:v>
      </x:c>
      <x:c r="J610" s="73"/>
      <x:c r="K610" s="74" t="str">
        <x:f>IF(J610="",H610,IF(J610=I610,I610,J610))</x:f>
        <x:v>Dates fixed</x:v>
      </x:c>
      <x:c r="L610" s="74" t="str">
        <x:f>IF(J610="","Keep current",IF(J610=I610,"Use suggestion","Custom"))</x:f>
        <x:v>Keep current</x:v>
      </x:c>
      <x:c r="M610" s="71" t="str">
        <x:v>Pending review</x:v>
      </x:c>
      <x:c r="N610" s="71" t="str">
        <x:v>Normal</x:v>
      </x:c>
      <x:c r="O610" s="71" t="str">
        <x:v>app/journey/new/trip-builder.tsx</x:v>
      </x:c>
      <x:c r="P610" s="71" t="str">
        <x:v>TripBuilderDocument:1901</x:v>
      </x:c>
      <x:c r="Q610" s="71" t="str">
        <x:v>EN</x:v>
      </x:c>
      <x:c r="R610" s="71" t="str">
        <x:v>Already clear and direct; suggested wording intentionally keeps the current copy.</x:v>
      </x:c>
      <x:c r="S610" s="75" t="str">
        <x:v>Not applied — review required</x:v>
      </x:c>
    </x:row>
    <x:row r="611">
      <x:c r="A611" s="71" t="str">
        <x:v>MRV-4AA1F5338C</x:v>
      </x:c>
      <x:c r="B611" s="71" t="str">
        <x:v>Planning</x:v>
      </x:c>
      <x:c r="C611" s="71" t="str">
        <x:v>New trip builder</x:v>
      </x:c>
      <x:c r="D611" s="71" t="str">
        <x:v>/journey/new/trip-builder</x:v>
      </x:c>
      <x:c r="E611" s="71" t="str">
        <x:v>TripBuilderDocument</x:v>
      </x:c>
      <x:c r="F611" s="71" t="str">
        <x:v>Default</x:v>
      </x:c>
      <x:c r="G611" s="71" t="str">
        <x:v>Label</x:v>
      </x:c>
      <x:c r="H611" s="71" t="str">
        <x:v>Duración flexible</x:v>
      </x:c>
      <x:c r="I611" s="71" t="str">
        <x:v>Duración flexible</x:v>
      </x:c>
      <x:c r="J611" s="73"/>
      <x:c r="K611" s="74" t="str">
        <x:f>IF(J611="",H611,IF(J611=I611,I611,J611))</x:f>
        <x:v>Duración flexible</x:v>
      </x:c>
      <x:c r="L611" s="74" t="str">
        <x:f>IF(J611="","Keep current",IF(J611=I611,"Use suggestion","Custom"))</x:f>
        <x:v>Keep current</x:v>
      </x:c>
      <x:c r="M611" s="71" t="str">
        <x:v>Pending review</x:v>
      </x:c>
      <x:c r="N611" s="71" t="str">
        <x:v>Normal</x:v>
      </x:c>
      <x:c r="O611" s="71" t="str">
        <x:v>app/journey/new/trip-builder.tsx</x:v>
      </x:c>
      <x:c r="P611" s="71" t="str">
        <x:v>TripBuilderDocument:1902</x:v>
      </x:c>
      <x:c r="Q611" s="71" t="str">
        <x:v>ES</x:v>
      </x:c>
      <x:c r="R611" s="71" t="str">
        <x:v>Already clear and direct; suggested wording intentionally keeps the current copy.</x:v>
      </x:c>
      <x:c r="S611" s="75" t="str">
        <x:v>Not applied — review required</x:v>
      </x:c>
    </x:row>
    <x:row r="612">
      <x:c r="A612" s="71" t="str">
        <x:v>MRV-A842999C29</x:v>
      </x:c>
      <x:c r="B612" s="71" t="str">
        <x:v>Planning</x:v>
      </x:c>
      <x:c r="C612" s="71" t="str">
        <x:v>New trip builder</x:v>
      </x:c>
      <x:c r="D612" s="71" t="str">
        <x:v>/journey/new/trip-builder</x:v>
      </x:c>
      <x:c r="E612" s="71" t="str">
        <x:v>TripBuilderDocument</x:v>
      </x:c>
      <x:c r="F612" s="71" t="str">
        <x:v>Default</x:v>
      </x:c>
      <x:c r="G612" s="71" t="str">
        <x:v>Label</x:v>
      </x:c>
      <x:c r="H612" s="71" t="str">
        <x:v>Flexible duration</x:v>
      </x:c>
      <x:c r="I612" s="71" t="str">
        <x:v>Flexible duration</x:v>
      </x:c>
      <x:c r="J612" s="73"/>
      <x:c r="K612" s="74" t="str">
        <x:f>IF(J612="",H612,IF(J612=I612,I612,J612))</x:f>
        <x:v>Flexible duration</x:v>
      </x:c>
      <x:c r="L612" s="74" t="str">
        <x:f>IF(J612="","Keep current",IF(J612=I612,"Use suggestion","Custom"))</x:f>
        <x:v>Keep current</x:v>
      </x:c>
      <x:c r="M612" s="71" t="str">
        <x:v>Pending review</x:v>
      </x:c>
      <x:c r="N612" s="71" t="str">
        <x:v>Normal</x:v>
      </x:c>
      <x:c r="O612" s="71" t="str">
        <x:v>app/journey/new/trip-builder.tsx</x:v>
      </x:c>
      <x:c r="P612" s="71" t="str">
        <x:v>TripBuilderDocument:1902</x:v>
      </x:c>
      <x:c r="Q612" s="71" t="str">
        <x:v>EN</x:v>
      </x:c>
      <x:c r="R612" s="71" t="str">
        <x:v>Already clear and direct; suggested wording intentionally keeps the current copy.</x:v>
      </x:c>
      <x:c r="S612" s="75" t="str">
        <x:v>Not applied — review required</x:v>
      </x:c>
    </x:row>
    <x:row r="613">
      <x:c r="A613" s="71" t="str">
        <x:v>MRV-0A03726727</x:v>
      </x:c>
      <x:c r="B613" s="71" t="str">
        <x:v>Planning</x:v>
      </x:c>
      <x:c r="C613" s="71" t="str">
        <x:v>New trip builder</x:v>
      </x:c>
      <x:c r="D613" s="71" t="str">
        <x:v>/journey/new/trip-builder</x:v>
      </x:c>
      <x:c r="E613" s="71" t="str">
        <x:v>TripBuilderDocument</x:v>
      </x:c>
      <x:c r="F613" s="71" t="str">
        <x:v>Default</x:v>
      </x:c>
      <x:c r="G613" s="71" t="str">
        <x:v>Label</x:v>
      </x:c>
      <x:c r="H613" s="71" t="str">
        <x:v>FECHA O RESERVA FIJA</x:v>
      </x:c>
      <x:c r="I613" s="71" t="str">
        <x:v>FECHA O RESERVA FIJA</x:v>
      </x:c>
      <x:c r="J613" s="73"/>
      <x:c r="K613" s="74" t="str">
        <x:f>IF(J613="",H613,IF(J613=I613,I613,J613))</x:f>
        <x:v>FECHA O RESERVA FIJA</x:v>
      </x:c>
      <x:c r="L613" s="74" t="str">
        <x:f>IF(J613="","Keep current",IF(J613=I613,"Use suggestion","Custom"))</x:f>
        <x:v>Keep current</x:v>
      </x:c>
      <x:c r="M613" s="71" t="str">
        <x:v>Pending review</x:v>
      </x:c>
      <x:c r="N613" s="71" t="str">
        <x:v>Normal</x:v>
      </x:c>
      <x:c r="O613" s="71" t="str">
        <x:v>app/journey/new/trip-builder.tsx</x:v>
      </x:c>
      <x:c r="P613" s="71" t="str">
        <x:v>TripBuilderDocument:1905</x:v>
      </x:c>
      <x:c r="Q613" s="71" t="str">
        <x:v>ES</x:v>
      </x:c>
      <x:c r="R613" s="71" t="str">
        <x:v>Already clear and direct; suggested wording intentionally keeps the current copy.</x:v>
      </x:c>
      <x:c r="S613" s="75" t="str">
        <x:v>Not applied — review required</x:v>
      </x:c>
    </x:row>
    <x:row r="614">
      <x:c r="A614" s="71" t="str">
        <x:v>MRV-42B9B78459</x:v>
      </x:c>
      <x:c r="B614" s="71" t="str">
        <x:v>Planning</x:v>
      </x:c>
      <x:c r="C614" s="71" t="str">
        <x:v>New trip builder</x:v>
      </x:c>
      <x:c r="D614" s="71" t="str">
        <x:v>/journey/new/trip-builder</x:v>
      </x:c>
      <x:c r="E614" s="71" t="str">
        <x:v>TripBuilderDocument</x:v>
      </x:c>
      <x:c r="F614" s="71" t="str">
        <x:v>Default</x:v>
      </x:c>
      <x:c r="G614" s="71" t="str">
        <x:v>Label</x:v>
      </x:c>
      <x:c r="H614" s="71" t="str">
        <x:v>FIXED DATE OR BOOKING</x:v>
      </x:c>
      <x:c r="I614" s="71" t="str">
        <x:v>FIXED DATE OR BOOKING</x:v>
      </x:c>
      <x:c r="J614" s="73"/>
      <x:c r="K614" s="74" t="str">
        <x:f>IF(J614="",H614,IF(J614=I614,I614,J614))</x:f>
        <x:v>FIXED DATE OR BOOKING</x:v>
      </x:c>
      <x:c r="L614" s="74" t="str">
        <x:f>IF(J614="","Keep current",IF(J614=I614,"Use suggestion","Custom"))</x:f>
        <x:v>Keep current</x:v>
      </x:c>
      <x:c r="M614" s="71" t="str">
        <x:v>Pending review</x:v>
      </x:c>
      <x:c r="N614" s="71" t="str">
        <x:v>Normal</x:v>
      </x:c>
      <x:c r="O614" s="71" t="str">
        <x:v>app/journey/new/trip-builder.tsx</x:v>
      </x:c>
      <x:c r="P614" s="71" t="str">
        <x:v>TripBuilderDocument:1905</x:v>
      </x:c>
      <x:c r="Q614" s="71" t="str">
        <x:v>EN</x:v>
      </x:c>
      <x:c r="R614" s="71" t="str">
        <x:v>Already clear and direct; suggested wording intentionally keeps the current copy.</x:v>
      </x:c>
      <x:c r="S614" s="75" t="str">
        <x:v>Not applied — review required</x:v>
      </x:c>
    </x:row>
    <x:row r="615">
      <x:c r="A615" s="71" t="str">
        <x:v>MRV-E608024868</x:v>
      </x:c>
      <x:c r="B615" s="71" t="str">
        <x:v>Planning</x:v>
      </x:c>
      <x:c r="C615" s="71" t="str">
        <x:v>New trip builder</x:v>
      </x:c>
      <x:c r="D615" s="71" t="str">
        <x:v>/journey/new/trip-builder</x:v>
      </x:c>
      <x:c r="E615" s="71" t="str">
        <x:v>TripBuilderDocument</x:v>
      </x:c>
      <x:c r="F615" s="71" t="str">
        <x:v>Accessibility / input support</x:v>
      </x:c>
      <x:c r="G615" s="71" t="str">
        <x:v>Placeholder</x:v>
      </x:c>
      <x:c r="H615" s="71" t="str">
        <x:v>Ej. boda en Kioto</x:v>
      </x:c>
      <x:c r="I615" s="71" t="str">
        <x:v>Ej. boda en Kioto</x:v>
      </x:c>
      <x:c r="J615" s="73"/>
      <x:c r="K615" s="74" t="str">
        <x:f>IF(J615="",H615,IF(J615=I615,I615,J615))</x:f>
        <x:v>Ej. boda en Kioto</x:v>
      </x:c>
      <x:c r="L615" s="74" t="str">
        <x:f>IF(J615="","Keep current",IF(J615=I615,"Use suggestion","Custom"))</x:f>
        <x:v>Keep current</x:v>
      </x:c>
      <x:c r="M615" s="71" t="str">
        <x:v>Pending review</x:v>
      </x:c>
      <x:c r="N615" s="71" t="str">
        <x:v>Medium</x:v>
      </x:c>
      <x:c r="O615" s="71" t="str">
        <x:v>app/journey/new/trip-builder.tsx</x:v>
      </x:c>
      <x:c r="P615" s="71" t="str">
        <x:v>TripBuilderDocument:1905</x:v>
      </x:c>
      <x:c r="Q615" s="71" t="str">
        <x:v>ES</x:v>
      </x:c>
      <x:c r="R615" s="71" t="str">
        <x:v>Already clear and direct; suggested wording intentionally keeps the current copy.</x:v>
      </x:c>
      <x:c r="S615" s="75" t="str">
        <x:v>Not applied — review required</x:v>
      </x:c>
    </x:row>
    <x:row r="616">
      <x:c r="A616" s="71" t="str">
        <x:v>MRV-FB47B96B81</x:v>
      </x:c>
      <x:c r="B616" s="71" t="str">
        <x:v>Planning</x:v>
      </x:c>
      <x:c r="C616" s="71" t="str">
        <x:v>New trip builder</x:v>
      </x:c>
      <x:c r="D616" s="71" t="str">
        <x:v>/journey/new/trip-builder</x:v>
      </x:c>
      <x:c r="E616" s="71" t="str">
        <x:v>TripBuilderDocument</x:v>
      </x:c>
      <x:c r="F616" s="71" t="str">
        <x:v>Accessibility / input support</x:v>
      </x:c>
      <x:c r="G616" s="71" t="str">
        <x:v>Placeholder</x:v>
      </x:c>
      <x:c r="H616" s="71" t="str">
        <x:v>e.g. wedding in Kyoto</x:v>
      </x:c>
      <x:c r="I616" s="71" t="str">
        <x:v>e.g. wedding in Kyoto</x:v>
      </x:c>
      <x:c r="J616" s="73"/>
      <x:c r="K616" s="74" t="str">
        <x:f>IF(J616="",H616,IF(J616=I616,I616,J616))</x:f>
        <x:v>e.g. wedding in Kyoto</x:v>
      </x:c>
      <x:c r="L616" s="74" t="str">
        <x:f>IF(J616="","Keep current",IF(J616=I616,"Use suggestion","Custom"))</x:f>
        <x:v>Keep current</x:v>
      </x:c>
      <x:c r="M616" s="71" t="str">
        <x:v>Pending review</x:v>
      </x:c>
      <x:c r="N616" s="71" t="str">
        <x:v>Medium</x:v>
      </x:c>
      <x:c r="O616" s="71" t="str">
        <x:v>app/journey/new/trip-builder.tsx</x:v>
      </x:c>
      <x:c r="P616" s="71" t="str">
        <x:v>TripBuilderDocument:1905</x:v>
      </x:c>
      <x:c r="Q616" s="71" t="str">
        <x:v>EN</x:v>
      </x:c>
      <x:c r="R616" s="71" t="str">
        <x:v>Already clear and direct; suggested wording intentionally keeps the current copy.</x:v>
      </x:c>
      <x:c r="S616" s="75" t="str">
        <x:v>Not applied — review required</x:v>
      </x:c>
    </x:row>
    <x:row r="617">
      <x:c r="A617" s="71" t="str">
        <x:v>MRV-7BB9E136C7</x:v>
      </x:c>
      <x:c r="B617" s="71" t="str">
        <x:v>Planning</x:v>
      </x:c>
      <x:c r="C617" s="71" t="str">
        <x:v>New trip builder</x:v>
      </x:c>
      <x:c r="D617" s="71" t="str">
        <x:v>/journey/new/trip-builder</x:v>
      </x:c>
      <x:c r="E617" s="71" t="str">
        <x:v>TripBuilderDocument</x:v>
      </x:c>
      <x:c r="F617" s="71" t="str">
        <x:v>Accessibility / input support</x:v>
      </x:c>
      <x:c r="G617" s="71" t="str">
        <x:v>Accessibility label</x:v>
      </x:c>
      <x:c r="H617" s="71" t="str">
        <x:v>Fecha fija</x:v>
      </x:c>
      <x:c r="I617" s="71" t="str">
        <x:v>Fecha fija</x:v>
      </x:c>
      <x:c r="J617" s="73"/>
      <x:c r="K617" s="74" t="str">
        <x:f>IF(J617="",H617,IF(J617=I617,I617,J617))</x:f>
        <x:v>Fecha fija</x:v>
      </x:c>
      <x:c r="L617" s="74" t="str">
        <x:f>IF(J617="","Keep current",IF(J617=I617,"Use suggestion","Custom"))</x:f>
        <x:v>Keep current</x:v>
      </x:c>
      <x:c r="M617" s="71" t="str">
        <x:v>Pending review</x:v>
      </x:c>
      <x:c r="N617" s="71" t="str">
        <x:v>Medium</x:v>
      </x:c>
      <x:c r="O617" s="71" t="str">
        <x:v>app/journey/new/trip-builder.tsx</x:v>
      </x:c>
      <x:c r="P617" s="71" t="str">
        <x:v>TripBuilderDocument:1906</x:v>
      </x:c>
      <x:c r="Q617" s="71" t="str">
        <x:v>ES</x:v>
      </x:c>
      <x:c r="R617" s="71" t="str">
        <x:v>Already clear and direct; suggested wording intentionally keeps the current copy.</x:v>
      </x:c>
      <x:c r="S617" s="75" t="str">
        <x:v>Not applied — review required</x:v>
      </x:c>
    </x:row>
    <x:row r="618">
      <x:c r="A618" s="71" t="str">
        <x:v>MRV-3BCC020851</x:v>
      </x:c>
      <x:c r="B618" s="71" t="str">
        <x:v>Planning</x:v>
      </x:c>
      <x:c r="C618" s="71" t="str">
        <x:v>New trip builder</x:v>
      </x:c>
      <x:c r="D618" s="71" t="str">
        <x:v>/journey/new/trip-builder</x:v>
      </x:c>
      <x:c r="E618" s="71" t="str">
        <x:v>TripBuilderDocument</x:v>
      </x:c>
      <x:c r="F618" s="71" t="str">
        <x:v>Accessibility / input support</x:v>
      </x:c>
      <x:c r="G618" s="71" t="str">
        <x:v>Accessibility label</x:v>
      </x:c>
      <x:c r="H618" s="71" t="str">
        <x:v>Fixed date</x:v>
      </x:c>
      <x:c r="I618" s="71" t="str">
        <x:v>Fixed date</x:v>
      </x:c>
      <x:c r="J618" s="73"/>
      <x:c r="K618" s="74" t="str">
        <x:f>IF(J618="",H618,IF(J618=I618,I618,J618))</x:f>
        <x:v>Fixed date</x:v>
      </x:c>
      <x:c r="L618" s="74" t="str">
        <x:f>IF(J618="","Keep current",IF(J618=I618,"Use suggestion","Custom"))</x:f>
        <x:v>Keep current</x:v>
      </x:c>
      <x:c r="M618" s="71" t="str">
        <x:v>Pending review</x:v>
      </x:c>
      <x:c r="N618" s="71" t="str">
        <x:v>Medium</x:v>
      </x:c>
      <x:c r="O618" s="71" t="str">
        <x:v>app/journey/new/trip-builder.tsx</x:v>
      </x:c>
      <x:c r="P618" s="71" t="str">
        <x:v>TripBuilderDocument:1906</x:v>
      </x:c>
      <x:c r="Q618" s="71" t="str">
        <x:v>EN</x:v>
      </x:c>
      <x:c r="R618" s="71" t="str">
        <x:v>Already clear and direct; suggested wording intentionally keeps the current copy.</x:v>
      </x:c>
      <x:c r="S618" s="75" t="str">
        <x:v>Not applied — review required</x:v>
      </x:c>
    </x:row>
    <x:row r="619">
      <x:c r="A619" s="71" t="str">
        <x:v>MRV-01FAEE6E98</x:v>
      </x:c>
      <x:c r="B619" s="71" t="str">
        <x:v>Planning</x:v>
      </x:c>
      <x:c r="C619" s="71" t="str">
        <x:v>New trip builder</x:v>
      </x:c>
      <x:c r="D619" s="71" t="str">
        <x:v>/journey/new/trip-builder</x:v>
      </x:c>
      <x:c r="E619" s="71" t="str">
        <x:v>TripBuilderDocument</x:v>
      </x:c>
      <x:c r="F619" s="71" t="str">
        <x:v>Default</x:v>
      </x:c>
      <x:c r="G619" s="71" t="str">
        <x:v>Label</x:v>
      </x:c>
      <x:c r="H619" s="71" t="str">
        <x:v>Añadir</x:v>
      </x:c>
      <x:c r="I619" s="71" t="str">
        <x:v>Añadir</x:v>
      </x:c>
      <x:c r="J619" s="73"/>
      <x:c r="K619" s="74" t="str">
        <x:f>IF(J619="",H619,IF(J619=I619,I619,J619))</x:f>
        <x:v>Añadir</x:v>
      </x:c>
      <x:c r="L619" s="74" t="str">
        <x:f>IF(J619="","Keep current",IF(J619=I619,"Use suggestion","Custom"))</x:f>
        <x:v>Keep current</x:v>
      </x:c>
      <x:c r="M619" s="71" t="str">
        <x:v>Pending review</x:v>
      </x:c>
      <x:c r="N619" s="71" t="str">
        <x:v>Normal</x:v>
      </x:c>
      <x:c r="O619" s="71" t="str">
        <x:v>app/journey/new/trip-builder.tsx</x:v>
      </x:c>
      <x:c r="P619" s="71" t="str">
        <x:v>TripBuilderDocument:1907</x:v>
      </x:c>
      <x:c r="Q619" s="71" t="str">
        <x:v>ES</x:v>
      </x:c>
      <x:c r="R619" s="71" t="str">
        <x:v>Already clear and direct; suggested wording intentionally keeps the current copy. Duplicate wording: appears 3 times.</x:v>
      </x:c>
      <x:c r="S619" s="75" t="str">
        <x:v>Not applied — review required</x:v>
      </x:c>
    </x:row>
    <x:row r="620">
      <x:c r="A620" s="71" t="str">
        <x:v>MRV-84166DB1DD</x:v>
      </x:c>
      <x:c r="B620" s="71" t="str">
        <x:v>Planning</x:v>
      </x:c>
      <x:c r="C620" s="71" t="str">
        <x:v>New trip builder</x:v>
      </x:c>
      <x:c r="D620" s="71" t="str">
        <x:v>/journey/new/trip-builder</x:v>
      </x:c>
      <x:c r="E620" s="71" t="str">
        <x:v>TripBuilderDocument</x:v>
      </x:c>
      <x:c r="F620" s="71" t="str">
        <x:v>Default</x:v>
      </x:c>
      <x:c r="G620" s="71" t="str">
        <x:v>CTA / button</x:v>
      </x:c>
      <x:c r="H620" s="71" t="str">
        <x:v>Add</x:v>
      </x:c>
      <x:c r="I620" s="71" t="str">
        <x:v>Add</x:v>
      </x:c>
      <x:c r="J620" s="73"/>
      <x:c r="K620" s="74" t="str">
        <x:f>IF(J620="",H620,IF(J620=I620,I620,J620))</x:f>
        <x:v>Add</x:v>
      </x:c>
      <x:c r="L620" s="74" t="str">
        <x:f>IF(J620="","Keep current",IF(J620=I620,"Use suggestion","Custom"))</x:f>
        <x:v>Keep current</x:v>
      </x:c>
      <x:c r="M620" s="71" t="str">
        <x:v>Pending review</x:v>
      </x:c>
      <x:c r="N620" s="71" t="str">
        <x:v>Medium</x:v>
      </x:c>
      <x:c r="O620" s="71" t="str">
        <x:v>app/journey/new/trip-builder.tsx</x:v>
      </x:c>
      <x:c r="P620" s="71" t="str">
        <x:v>TripBuilderDocument:1907</x:v>
      </x:c>
      <x:c r="Q620" s="71" t="str">
        <x:v>EN</x:v>
      </x:c>
      <x:c r="R620" s="71" t="str">
        <x:v>Already clear and direct; suggested wording intentionally keeps the current copy. Duplicate wording: appears 3 times.</x:v>
      </x:c>
      <x:c r="S620" s="75" t="str">
        <x:v>Not applied — review required</x:v>
      </x:c>
    </x:row>
    <x:row r="621">
      <x:c r="A621" s="71" t="str">
        <x:v>MRV-41EF062943</x:v>
      </x:c>
      <x:c r="B621" s="71" t="str">
        <x:v>Planning</x:v>
      </x:c>
      <x:c r="C621" s="71" t="str">
        <x:v>New trip builder</x:v>
      </x:c>
      <x:c r="D621" s="71" t="str">
        <x:v>/journey/new/trip-builder</x:v>
      </x:c>
      <x:c r="E621" s="71" t="str">
        <x:v>TripBuilderDocument</x:v>
      </x:c>
      <x:c r="F621" s="71" t="str">
        <x:v>Default</x:v>
      </x:c>
      <x:c r="G621" s="71" t="str">
        <x:v>Label</x:v>
      </x:c>
      <x:c r="H621" s="71" t="str">
        <x:v>Evitar coche</x:v>
      </x:c>
      <x:c r="I621" s="71" t="str">
        <x:v>Evitar coche</x:v>
      </x:c>
      <x:c r="J621" s="73"/>
      <x:c r="K621" s="74" t="str">
        <x:f>IF(J621="",H621,IF(J621=I621,I621,J621))</x:f>
        <x:v>Evitar coche</x:v>
      </x:c>
      <x:c r="L621" s="74" t="str">
        <x:f>IF(J621="","Keep current",IF(J621=I621,"Use suggestion","Custom"))</x:f>
        <x:v>Keep current</x:v>
      </x:c>
      <x:c r="M621" s="71" t="str">
        <x:v>Pending review</x:v>
      </x:c>
      <x:c r="N621" s="71" t="str">
        <x:v>Normal</x:v>
      </x:c>
      <x:c r="O621" s="71" t="str">
        <x:v>app/journey/new/trip-builder.tsx</x:v>
      </x:c>
      <x:c r="P621" s="71" t="str">
        <x:v>TripBuilderDocument:1917</x:v>
      </x:c>
      <x:c r="Q621" s="71" t="str">
        <x:v>ES</x:v>
      </x:c>
      <x:c r="R621" s="71" t="str">
        <x:v>Already clear and direct; suggested wording intentionally keeps the current copy. Duplicate wording: appears 2 times.</x:v>
      </x:c>
      <x:c r="S621" s="75" t="str">
        <x:v>Not applied — review required</x:v>
      </x:c>
    </x:row>
    <x:row r="622">
      <x:c r="A622" s="71" t="str">
        <x:v>MRV-E640FBD319</x:v>
      </x:c>
      <x:c r="B622" s="71" t="str">
        <x:v>Planning</x:v>
      </x:c>
      <x:c r="C622" s="71" t="str">
        <x:v>New trip builder</x:v>
      </x:c>
      <x:c r="D622" s="71" t="str">
        <x:v>/journey/new/trip-builder</x:v>
      </x:c>
      <x:c r="E622" s="71" t="str">
        <x:v>TripBuilderDocument</x:v>
      </x:c>
      <x:c r="F622" s="71" t="str">
        <x:v>Default</x:v>
      </x:c>
      <x:c r="G622" s="71" t="str">
        <x:v>Label</x:v>
      </x:c>
      <x:c r="H622" s="71" t="str">
        <x:v>Avoid driving</x:v>
      </x:c>
      <x:c r="I622" s="71" t="str">
        <x:v>Avoid driving</x:v>
      </x:c>
      <x:c r="J622" s="73"/>
      <x:c r="K622" s="74" t="str">
        <x:f>IF(J622="",H622,IF(J622=I622,I622,J622))</x:f>
        <x:v>Avoid driving</x:v>
      </x:c>
      <x:c r="L622" s="74" t="str">
        <x:f>IF(J622="","Keep current",IF(J622=I622,"Use suggestion","Custom"))</x:f>
        <x:v>Keep current</x:v>
      </x:c>
      <x:c r="M622" s="71" t="str">
        <x:v>Pending review</x:v>
      </x:c>
      <x:c r="N622" s="71" t="str">
        <x:v>Normal</x:v>
      </x:c>
      <x:c r="O622" s="71" t="str">
        <x:v>app/journey/new/trip-builder.tsx</x:v>
      </x:c>
      <x:c r="P622" s="71" t="str">
        <x:v>TripBuilderDocument:1917</x:v>
      </x:c>
      <x:c r="Q622" s="71" t="str">
        <x:v>EN</x:v>
      </x:c>
      <x:c r="R622" s="71" t="str">
        <x:v>Already clear and direct; suggested wording intentionally keeps the current copy. Duplicate wording: appears 2 times.</x:v>
      </x:c>
      <x:c r="S622" s="75" t="str">
        <x:v>Not applied — review required</x:v>
      </x:c>
    </x:row>
    <x:row r="623">
      <x:c r="A623" s="71" t="str">
        <x:v>MRV-715135A4BA</x:v>
      </x:c>
      <x:c r="B623" s="71" t="str">
        <x:v>Planning</x:v>
      </x:c>
      <x:c r="C623" s="71" t="str">
        <x:v>New trip builder</x:v>
      </x:c>
      <x:c r="D623" s="71" t="str">
        <x:v>/journey/new/trip-builder</x:v>
      </x:c>
      <x:c r="E623" s="71" t="str">
        <x:v>TripBuilderDocument</x:v>
      </x:c>
      <x:c r="F623" s="71" t="str">
        <x:v>Default</x:v>
      </x:c>
      <x:c r="G623" s="71" t="str">
        <x:v>Label</x:v>
      </x:c>
      <x:c r="H623" s="71" t="str">
        <x:v>Food</x:v>
      </x:c>
      <x:c r="I623" s="71" t="str">
        <x:v>Food</x:v>
      </x:c>
      <x:c r="J623" s="73"/>
      <x:c r="K623" s="74" t="str">
        <x:f>IF(J623="",H623,IF(J623=I623,I623,J623))</x:f>
        <x:v>Food</x:v>
      </x:c>
      <x:c r="L623" s="74" t="str">
        <x:f>IF(J623="","Keep current",IF(J623=I623,"Use suggestion","Custom"))</x:f>
        <x:v>Keep current</x:v>
      </x:c>
      <x:c r="M623" s="71" t="str">
        <x:v>Pending review</x:v>
      </x:c>
      <x:c r="N623" s="71" t="str">
        <x:v>Normal</x:v>
      </x:c>
      <x:c r="O623" s="71" t="str">
        <x:v>app/journey/new/trip-builder.tsx</x:v>
      </x:c>
      <x:c r="P623" s="71" t="str">
        <x:v>TripBuilderDocument:1920</x:v>
      </x:c>
      <x:c r="Q623" s="71" t="str">
        <x:v>EN (default / shared)</x:v>
      </x:c>
      <x:c r="R623" s="71" t="str">
        <x:v>Already clear and direct; suggested wording intentionally keeps the current copy. Duplicate wording: appears 5 times.</x:v>
      </x:c>
      <x:c r="S623" s="75" t="str">
        <x:v>Not applied — review required</x:v>
      </x:c>
    </x:row>
    <x:row r="624">
      <x:c r="A624" s="71" t="str">
        <x:v>MRV-6EC45A66D9</x:v>
      </x:c>
      <x:c r="B624" s="71" t="str">
        <x:v>Planning</x:v>
      </x:c>
      <x:c r="C624" s="71" t="str">
        <x:v>New trip builder</x:v>
      </x:c>
      <x:c r="D624" s="71" t="str">
        <x:v>/journey/new/trip-builder</x:v>
      </x:c>
      <x:c r="E624" s="71" t="str">
        <x:v>TripBuilderDocument</x:v>
      </x:c>
      <x:c r="F624" s="71" t="str">
        <x:v>Default</x:v>
      </x:c>
      <x:c r="G624" s="71" t="str">
        <x:v>Label</x:v>
      </x:c>
      <x:c r="H624" s="71" t="str">
        <x:v>Culture</x:v>
      </x:c>
      <x:c r="I624" s="71" t="str">
        <x:v>Culture</x:v>
      </x:c>
      <x:c r="J624" s="73"/>
      <x:c r="K624" s="74" t="str">
        <x:f>IF(J624="",H624,IF(J624=I624,I624,J624))</x:f>
        <x:v>Culture</x:v>
      </x:c>
      <x:c r="L624" s="74" t="str">
        <x:f>IF(J624="","Keep current",IF(J624=I624,"Use suggestion","Custom"))</x:f>
        <x:v>Keep current</x:v>
      </x:c>
      <x:c r="M624" s="71" t="str">
        <x:v>Pending review</x:v>
      </x:c>
      <x:c r="N624" s="71" t="str">
        <x:v>Normal</x:v>
      </x:c>
      <x:c r="O624" s="71" t="str">
        <x:v>app/journey/new/trip-builder.tsx</x:v>
      </x:c>
      <x:c r="P624" s="71" t="str">
        <x:v>TripBuilderDocument:1920</x:v>
      </x:c>
      <x:c r="Q624" s="71" t="str">
        <x:v>EN (default / shared)</x:v>
      </x:c>
      <x:c r="R624" s="71" t="str">
        <x:v>Already clear and direct; suggested wording intentionally keeps the current copy. Duplicate wording: appears 3 times.</x:v>
      </x:c>
      <x:c r="S624" s="75" t="str">
        <x:v>Not applied — review required</x:v>
      </x:c>
    </x:row>
    <x:row r="625">
      <x:c r="A625" s="71" t="str">
        <x:v>MRV-4A1950F369</x:v>
      </x:c>
      <x:c r="B625" s="71" t="str">
        <x:v>Planning</x:v>
      </x:c>
      <x:c r="C625" s="71" t="str">
        <x:v>New trip builder</x:v>
      </x:c>
      <x:c r="D625" s="71" t="str">
        <x:v>/journey/new/trip-builder</x:v>
      </x:c>
      <x:c r="E625" s="71" t="str">
        <x:v>TripBuilderDocument</x:v>
      </x:c>
      <x:c r="F625" s="71" t="str">
        <x:v>Default</x:v>
      </x:c>
      <x:c r="G625" s="71" t="str">
        <x:v>Label</x:v>
      </x:c>
      <x:c r="H625" s="71" t="str">
        <x:v>Nature</x:v>
      </x:c>
      <x:c r="I625" s="71" t="str">
        <x:v>Nature</x:v>
      </x:c>
      <x:c r="J625" s="73"/>
      <x:c r="K625" s="74" t="str">
        <x:f>IF(J625="",H625,IF(J625=I625,I625,J625))</x:f>
        <x:v>Nature</x:v>
      </x:c>
      <x:c r="L625" s="74" t="str">
        <x:f>IF(J625="","Keep current",IF(J625=I625,"Use suggestion","Custom"))</x:f>
        <x:v>Keep current</x:v>
      </x:c>
      <x:c r="M625" s="71" t="str">
        <x:v>Pending review</x:v>
      </x:c>
      <x:c r="N625" s="71" t="str">
        <x:v>Normal</x:v>
      </x:c>
      <x:c r="O625" s="71" t="str">
        <x:v>app/journey/new/trip-builder.tsx</x:v>
      </x:c>
      <x:c r="P625" s="71" t="str">
        <x:v>TripBuilderDocument:1920</x:v>
      </x:c>
      <x:c r="Q625" s="71" t="str">
        <x:v>EN (default / shared)</x:v>
      </x:c>
      <x:c r="R625" s="71" t="str">
        <x:v>Already clear and direct; suggested wording intentionally keeps the current copy. Duplicate wording: appears 5 times.</x:v>
      </x:c>
      <x:c r="S625" s="75" t="str">
        <x:v>Not applied — review required</x:v>
      </x:c>
    </x:row>
    <x:row r="626">
      <x:c r="A626" s="71" t="str">
        <x:v>MRV-8CE600FA5C</x:v>
      </x:c>
      <x:c r="B626" s="71" t="str">
        <x:v>Planning</x:v>
      </x:c>
      <x:c r="C626" s="71" t="str">
        <x:v>New trip builder</x:v>
      </x:c>
      <x:c r="D626" s="71" t="str">
        <x:v>/journey/new/trip-builder</x:v>
      </x:c>
      <x:c r="E626" s="71" t="str">
        <x:v>TripBuilderDocument</x:v>
      </x:c>
      <x:c r="F626" s="71" t="str">
        <x:v>Default</x:v>
      </x:c>
      <x:c r="G626" s="71" t="str">
        <x:v>Label</x:v>
      </x:c>
      <x:c r="H626" s="71" t="str">
        <x:v>Cities</x:v>
      </x:c>
      <x:c r="I626" s="71" t="str">
        <x:v>Cities</x:v>
      </x:c>
      <x:c r="J626" s="73"/>
      <x:c r="K626" s="74" t="str">
        <x:f>IF(J626="",H626,IF(J626=I626,I626,J626))</x:f>
        <x:v>Cities</x:v>
      </x:c>
      <x:c r="L626" s="74" t="str">
        <x:f>IF(J626="","Keep current",IF(J626=I626,"Use suggestion","Custom"))</x:f>
        <x:v>Keep current</x:v>
      </x:c>
      <x:c r="M626" s="71" t="str">
        <x:v>Pending review</x:v>
      </x:c>
      <x:c r="N626" s="71" t="str">
        <x:v>Normal</x:v>
      </x:c>
      <x:c r="O626" s="71" t="str">
        <x:v>app/journey/new/trip-builder.tsx</x:v>
      </x:c>
      <x:c r="P626" s="71" t="str">
        <x:v>TripBuilderDocument:1920</x:v>
      </x:c>
      <x:c r="Q626" s="71" t="str">
        <x:v>EN (default / shared)</x:v>
      </x:c>
      <x:c r="R626" s="71" t="str">
        <x:v>Already clear and direct; suggested wording intentionally keeps the current copy. Duplicate wording: appears 3 times.</x:v>
      </x:c>
      <x:c r="S626" s="75" t="str">
        <x:v>Not applied — review required</x:v>
      </x:c>
    </x:row>
    <x:row r="627">
      <x:c r="A627" s="71" t="str">
        <x:v>MRV-4B25A55E4B</x:v>
      </x:c>
      <x:c r="B627" s="71" t="str">
        <x:v>Planning</x:v>
      </x:c>
      <x:c r="C627" s="71" t="str">
        <x:v>New trip builder</x:v>
      </x:c>
      <x:c r="D627" s="71" t="str">
        <x:v>/journey/new/trip-builder</x:v>
      </x:c>
      <x:c r="E627" s="71" t="str">
        <x:v>TripBuilderDocument</x:v>
      </x:c>
      <x:c r="F627" s="71" t="str">
        <x:v>Default</x:v>
      </x:c>
      <x:c r="G627" s="71" t="str">
        <x:v>Label</x:v>
      </x:c>
      <x:c r="H627" s="71" t="str">
        <x:v>Beach</x:v>
      </x:c>
      <x:c r="I627" s="71" t="str">
        <x:v>Beach</x:v>
      </x:c>
      <x:c r="J627" s="73"/>
      <x:c r="K627" s="74" t="str">
        <x:f>IF(J627="",H627,IF(J627=I627,I627,J627))</x:f>
        <x:v>Beach</x:v>
      </x:c>
      <x:c r="L627" s="74" t="str">
        <x:f>IF(J627="","Keep current",IF(J627=I627,"Use suggestion","Custom"))</x:f>
        <x:v>Keep current</x:v>
      </x:c>
      <x:c r="M627" s="71" t="str">
        <x:v>Pending review</x:v>
      </x:c>
      <x:c r="N627" s="71" t="str">
        <x:v>Normal</x:v>
      </x:c>
      <x:c r="O627" s="71" t="str">
        <x:v>app/journey/new/trip-builder.tsx</x:v>
      </x:c>
      <x:c r="P627" s="71" t="str">
        <x:v>TripBuilderDocument:1920</x:v>
      </x:c>
      <x:c r="Q627" s="71" t="str">
        <x:v>EN (default / shared)</x:v>
      </x:c>
      <x:c r="R627" s="71" t="str">
        <x:v>Already clear and direct; suggested wording intentionally keeps the current copy. Duplicate wording: appears 3 times.</x:v>
      </x:c>
      <x:c r="S627" s="75" t="str">
        <x:v>Not applied — review required</x:v>
      </x:c>
    </x:row>
    <x:row r="628">
      <x:c r="A628" s="71" t="str">
        <x:v>MRV-1F8464BFF0</x:v>
      </x:c>
      <x:c r="B628" s="71" t="str">
        <x:v>Planning</x:v>
      </x:c>
      <x:c r="C628" s="71" t="str">
        <x:v>New trip builder</x:v>
      </x:c>
      <x:c r="D628" s="71" t="str">
        <x:v>/journey/new/trip-builder</x:v>
      </x:c>
      <x:c r="E628" s="71" t="str">
        <x:v>TripBuilderDocument</x:v>
      </x:c>
      <x:c r="F628" s="71" t="str">
        <x:v>Default</x:v>
      </x:c>
      <x:c r="G628" s="71" t="str">
        <x:v>Label</x:v>
      </x:c>
      <x:c r="H628" s="71" t="str">
        <x:v>Hiking</x:v>
      </x:c>
      <x:c r="I628" s="71" t="str">
        <x:v>Hiking</x:v>
      </x:c>
      <x:c r="J628" s="73"/>
      <x:c r="K628" s="74" t="str">
        <x:f>IF(J628="",H628,IF(J628=I628,I628,J628))</x:f>
        <x:v>Hiking</x:v>
      </x:c>
      <x:c r="L628" s="74" t="str">
        <x:f>IF(J628="","Keep current",IF(J628=I628,"Use suggestion","Custom"))</x:f>
        <x:v>Keep current</x:v>
      </x:c>
      <x:c r="M628" s="71" t="str">
        <x:v>Pending review</x:v>
      </x:c>
      <x:c r="N628" s="71" t="str">
        <x:v>Normal</x:v>
      </x:c>
      <x:c r="O628" s="71" t="str">
        <x:v>app/journey/new/trip-builder.tsx</x:v>
      </x:c>
      <x:c r="P628" s="71" t="str">
        <x:v>TripBuilderDocument:1920</x:v>
      </x:c>
      <x:c r="Q628" s="71" t="str">
        <x:v>EN (default / shared)</x:v>
      </x:c>
      <x:c r="R628" s="71" t="str">
        <x:v>Already clear and direct; suggested wording intentionally keeps the current copy.</x:v>
      </x:c>
      <x:c r="S628" s="75" t="str">
        <x:v>Not applied — review required</x:v>
      </x:c>
    </x:row>
    <x:row r="629">
      <x:c r="A629" s="71" t="str">
        <x:v>MRV-6BDD6659FA</x:v>
      </x:c>
      <x:c r="B629" s="71" t="str">
        <x:v>Planning</x:v>
      </x:c>
      <x:c r="C629" s="71" t="str">
        <x:v>New trip builder</x:v>
      </x:c>
      <x:c r="D629" s="71" t="str">
        <x:v>/journey/new/trip-builder</x:v>
      </x:c>
      <x:c r="E629" s="71" t="str">
        <x:v>TripBuilderDocument</x:v>
      </x:c>
      <x:c r="F629" s="71" t="str">
        <x:v>Default</x:v>
      </x:c>
      <x:c r="G629" s="71" t="str">
        <x:v>Label</x:v>
      </x:c>
      <x:c r="H629" s="71" t="str">
        <x:v>EVITAR (OPCIONAL)</x:v>
      </x:c>
      <x:c r="I629" s="71" t="str">
        <x:v>EVITAR (OPCIONAL)</x:v>
      </x:c>
      <x:c r="J629" s="73"/>
      <x:c r="K629" s="74" t="str">
        <x:f>IF(J629="",H629,IF(J629=I629,I629,J629))</x:f>
        <x:v>EVITAR (OPCIONAL)</x:v>
      </x:c>
      <x:c r="L629" s="74" t="str">
        <x:f>IF(J629="","Keep current",IF(J629=I629,"Use suggestion","Custom"))</x:f>
        <x:v>Keep current</x:v>
      </x:c>
      <x:c r="M629" s="71" t="str">
        <x:v>Pending review</x:v>
      </x:c>
      <x:c r="N629" s="71" t="str">
        <x:v>Normal</x:v>
      </x:c>
      <x:c r="O629" s="71" t="str">
        <x:v>app/journey/new/trip-builder.tsx</x:v>
      </x:c>
      <x:c r="P629" s="71" t="str">
        <x:v>TripBuilderDocument:1921</x:v>
      </x:c>
      <x:c r="Q629" s="71" t="str">
        <x:v>ES</x:v>
      </x:c>
      <x:c r="R629" s="71" t="str">
        <x:v>Already clear and direct; suggested wording intentionally keeps the current copy.</x:v>
      </x:c>
      <x:c r="S629" s="75" t="str">
        <x:v>Not applied — review required</x:v>
      </x:c>
    </x:row>
    <x:row r="630">
      <x:c r="A630" s="71" t="str">
        <x:v>MRV-168B63B51C</x:v>
      </x:c>
      <x:c r="B630" s="71" t="str">
        <x:v>Planning</x:v>
      </x:c>
      <x:c r="C630" s="71" t="str">
        <x:v>New trip builder</x:v>
      </x:c>
      <x:c r="D630" s="71" t="str">
        <x:v>/journey/new/trip-builder</x:v>
      </x:c>
      <x:c r="E630" s="71" t="str">
        <x:v>TripBuilderDocument</x:v>
      </x:c>
      <x:c r="F630" s="71" t="str">
        <x:v>Default</x:v>
      </x:c>
      <x:c r="G630" s="71" t="str">
        <x:v>Label</x:v>
      </x:c>
      <x:c r="H630" s="71" t="str">
        <x:v>AVOID (OPTIONAL)</x:v>
      </x:c>
      <x:c r="I630" s="71" t="str">
        <x:v>AVOID (OPTIONAL)</x:v>
      </x:c>
      <x:c r="J630" s="73"/>
      <x:c r="K630" s="74" t="str">
        <x:f>IF(J630="",H630,IF(J630=I630,I630,J630))</x:f>
        <x:v>AVOID (OPTIONAL)</x:v>
      </x:c>
      <x:c r="L630" s="74" t="str">
        <x:f>IF(J630="","Keep current",IF(J630=I630,"Use suggestion","Custom"))</x:f>
        <x:v>Keep current</x:v>
      </x:c>
      <x:c r="M630" s="71" t="str">
        <x:v>Pending review</x:v>
      </x:c>
      <x:c r="N630" s="71" t="str">
        <x:v>Normal</x:v>
      </x:c>
      <x:c r="O630" s="71" t="str">
        <x:v>app/journey/new/trip-builder.tsx</x:v>
      </x:c>
      <x:c r="P630" s="71" t="str">
        <x:v>TripBuilderDocument:1921</x:v>
      </x:c>
      <x:c r="Q630" s="71" t="str">
        <x:v>EN</x:v>
      </x:c>
      <x:c r="R630" s="71" t="str">
        <x:v>Already clear and direct; suggested wording intentionally keeps the current copy.</x:v>
      </x:c>
      <x:c r="S630" s="75" t="str">
        <x:v>Not applied — review required</x:v>
      </x:c>
    </x:row>
    <x:row r="631">
      <x:c r="A631" s="71" t="str">
        <x:v>MRV-5F765E059B</x:v>
      </x:c>
      <x:c r="B631" s="71" t="str">
        <x:v>Planning</x:v>
      </x:c>
      <x:c r="C631" s="71" t="str">
        <x:v>New trip builder</x:v>
      </x:c>
      <x:c r="D631" s="71" t="str">
        <x:v>/journey/new/trip-builder</x:v>
      </x:c>
      <x:c r="E631" s="71" t="str">
        <x:v>TripBuilderDocument</x:v>
      </x:c>
      <x:c r="F631" s="71" t="str">
        <x:v>Accessibility / input support</x:v>
      </x:c>
      <x:c r="G631" s="71" t="str">
        <x:v>Placeholder</x:v>
      </x:c>
      <x:c r="H631" s="71" t="str">
        <x:v>Ej. traslados nocturnos, calor extremo</x:v>
      </x:c>
      <x:c r="I631" s="71" t="str">
        <x:v>Ej. traslados nocturnos, calor extremo</x:v>
      </x:c>
      <x:c r="J631" s="73"/>
      <x:c r="K631" s="74" t="str">
        <x:f>IF(J631="",H631,IF(J631=I631,I631,J631))</x:f>
        <x:v>Ej. traslados nocturnos, calor extremo</x:v>
      </x:c>
      <x:c r="L631" s="74" t="str">
        <x:f>IF(J631="","Keep current",IF(J631=I631,"Use suggestion","Custom"))</x:f>
        <x:v>Keep current</x:v>
      </x:c>
      <x:c r="M631" s="71" t="str">
        <x:v>Pending review</x:v>
      </x:c>
      <x:c r="N631" s="71" t="str">
        <x:v>Medium</x:v>
      </x:c>
      <x:c r="O631" s="71" t="str">
        <x:v>app/journey/new/trip-builder.tsx</x:v>
      </x:c>
      <x:c r="P631" s="71" t="str">
        <x:v>TripBuilderDocument:1921</x:v>
      </x:c>
      <x:c r="Q631" s="71" t="str">
        <x:v>ES</x:v>
      </x:c>
      <x:c r="R631" s="71" t="str">
        <x:v>Already clear and direct; suggested wording intentionally keeps the current copy.</x:v>
      </x:c>
      <x:c r="S631" s="75" t="str">
        <x:v>Not applied — review required</x:v>
      </x:c>
    </x:row>
    <x:row r="632">
      <x:c r="A632" s="71" t="str">
        <x:v>MRV-270578F040</x:v>
      </x:c>
      <x:c r="B632" s="71" t="str">
        <x:v>Planning</x:v>
      </x:c>
      <x:c r="C632" s="71" t="str">
        <x:v>New trip builder</x:v>
      </x:c>
      <x:c r="D632" s="71" t="str">
        <x:v>/journey/new/trip-builder</x:v>
      </x:c>
      <x:c r="E632" s="71" t="str">
        <x:v>TripBuilderDocument</x:v>
      </x:c>
      <x:c r="F632" s="71" t="str">
        <x:v>Accessibility / input support</x:v>
      </x:c>
      <x:c r="G632" s="71" t="str">
        <x:v>Placeholder</x:v>
      </x:c>
      <x:c r="H632" s="71" t="str">
        <x:v>e.g. overnight transfers, extreme heat</x:v>
      </x:c>
      <x:c r="I632" s="71" t="str">
        <x:v>e.g. overnight transfers, extreme heat</x:v>
      </x:c>
      <x:c r="J632" s="73"/>
      <x:c r="K632" s="74" t="str">
        <x:f>IF(J632="",H632,IF(J632=I632,I632,J632))</x:f>
        <x:v>e.g. overnight transfers, extreme heat</x:v>
      </x:c>
      <x:c r="L632" s="74" t="str">
        <x:f>IF(J632="","Keep current",IF(J632=I632,"Use suggestion","Custom"))</x:f>
        <x:v>Keep current</x:v>
      </x:c>
      <x:c r="M632" s="71" t="str">
        <x:v>Pending review</x:v>
      </x:c>
      <x:c r="N632" s="71" t="str">
        <x:v>Medium</x:v>
      </x:c>
      <x:c r="O632" s="71" t="str">
        <x:v>app/journey/new/trip-builder.tsx</x:v>
      </x:c>
      <x:c r="P632" s="71" t="str">
        <x:v>TripBuilderDocument:1921</x:v>
      </x:c>
      <x:c r="Q632" s="71" t="str">
        <x:v>EN</x:v>
      </x:c>
      <x:c r="R632" s="71" t="str">
        <x:v>Already clear and direct; suggested wording intentionally keeps the current copy.</x:v>
      </x:c>
      <x:c r="S632" s="75" t="str">
        <x:v>Not applied — review required</x:v>
      </x:c>
    </x:row>
    <x:row r="633">
      <x:c r="A633" s="71" t="str">
        <x:v>MRV-9E1291E44C</x:v>
      </x:c>
      <x:c r="B633" s="71" t="str">
        <x:v>Planning</x:v>
      </x:c>
      <x:c r="C633" s="71" t="str">
        <x:v>New trip builder</x:v>
      </x:c>
      <x:c r="D633" s="71" t="str">
        <x:v>/journey/new/trip-builder</x:v>
      </x:c>
      <x:c r="E633" s="71" t="str">
        <x:v>TripBuilderDocument</x:v>
      </x:c>
      <x:c r="F633" s="71" t="str">
        <x:v>Default</x:v>
      </x:c>
      <x:c r="G633" s="71" t="str">
        <x:v>Label</x:v>
      </x:c>
      <x:c r="H633" s="71" t="str">
        <x:v>RESUMEN ANTES DE PLANIFICAR</x:v>
      </x:c>
      <x:c r="I633" s="71" t="str">
        <x:v>RESUMEN ANTES DE PLANIFICAR</x:v>
      </x:c>
      <x:c r="J633" s="73"/>
      <x:c r="K633" s="74" t="str">
        <x:f>IF(J633="",H633,IF(J633=I633,I633,J633))</x:f>
        <x:v>RESUMEN ANTES DE PLANIFICAR</x:v>
      </x:c>
      <x:c r="L633" s="74" t="str">
        <x:f>IF(J633="","Keep current",IF(J633=I633,"Use suggestion","Custom"))</x:f>
        <x:v>Keep current</x:v>
      </x:c>
      <x:c r="M633" s="71" t="str">
        <x:v>Pending review</x:v>
      </x:c>
      <x:c r="N633" s="71" t="str">
        <x:v>Normal</x:v>
      </x:c>
      <x:c r="O633" s="71" t="str">
        <x:v>app/journey/new/trip-builder.tsx</x:v>
      </x:c>
      <x:c r="P633" s="71" t="str">
        <x:v>TripBuilderDocument:1924</x:v>
      </x:c>
      <x:c r="Q633" s="71" t="str">
        <x:v>ES</x:v>
      </x:c>
      <x:c r="R633" s="71" t="str">
        <x:v>Already clear and direct; suggested wording intentionally keeps the current copy.</x:v>
      </x:c>
      <x:c r="S633" s="75" t="str">
        <x:v>Not applied — review required</x:v>
      </x:c>
    </x:row>
    <x:row r="634">
      <x:c r="A634" s="71" t="str">
        <x:v>MRV-2AEE1F8A7A</x:v>
      </x:c>
      <x:c r="B634" s="71" t="str">
        <x:v>Planning</x:v>
      </x:c>
      <x:c r="C634" s="71" t="str">
        <x:v>New trip builder</x:v>
      </x:c>
      <x:c r="D634" s="71" t="str">
        <x:v>/journey/new/trip-builder</x:v>
      </x:c>
      <x:c r="E634" s="71" t="str">
        <x:v>TripBuilderDocument</x:v>
      </x:c>
      <x:c r="F634" s="71" t="str">
        <x:v>Default</x:v>
      </x:c>
      <x:c r="G634" s="71" t="str">
        <x:v>CTA / button</x:v>
      </x:c>
      <x:c r="H634" s="71" t="str">
        <x:v>PLAN SUMMARY</x:v>
      </x:c>
      <x:c r="I634" s="71" t="str">
        <x:v>PLAN SUMMARY</x:v>
      </x:c>
      <x:c r="J634" s="73"/>
      <x:c r="K634" s="74" t="str">
        <x:f>IF(J634="",H634,IF(J634=I634,I634,J634))</x:f>
        <x:v>PLAN SUMMARY</x:v>
      </x:c>
      <x:c r="L634" s="74" t="str">
        <x:f>IF(J634="","Keep current",IF(J634=I634,"Use suggestion","Custom"))</x:f>
        <x:v>Keep current</x:v>
      </x:c>
      <x:c r="M634" s="71" t="str">
        <x:v>Pending review</x:v>
      </x:c>
      <x:c r="N634" s="71" t="str">
        <x:v>Medium</x:v>
      </x:c>
      <x:c r="O634" s="71" t="str">
        <x:v>app/journey/new/trip-builder.tsx</x:v>
      </x:c>
      <x:c r="P634" s="71" t="str">
        <x:v>TripBuilderDocument:1924</x:v>
      </x:c>
      <x:c r="Q634" s="71" t="str">
        <x:v>EN</x:v>
      </x:c>
      <x:c r="R634" s="71" t="str">
        <x:v>Already clear and direct; suggested wording intentionally keeps the current copy.</x:v>
      </x:c>
      <x:c r="S634" s="75" t="str">
        <x:v>Not applied — review required</x:v>
      </x:c>
    </x:row>
    <x:row r="635">
      <x:c r="A635" s="71" t="str">
        <x:v>MRV-B505C62D6C</x:v>
      </x:c>
      <x:c r="B635" s="71" t="str">
        <x:v>Planning</x:v>
      </x:c>
      <x:c r="C635" s="71" t="str">
        <x:v>New trip builder</x:v>
      </x:c>
      <x:c r="D635" s="71" t="str">
        <x:v>/journey/new/trip-builder</x:v>
      </x:c>
      <x:c r="E635" s="71" t="str">
        <x:v>TripBuilderDocument</x:v>
      </x:c>
      <x:c r="F635" s="71" t="str">
        <x:v>Default</x:v>
      </x:c>
      <x:c r="G635" s="71" t="str">
        <x:v>Label</x:v>
      </x:c>
      <x:c r="H635" s="71" t="str">
        <x:v>fechas fijas</x:v>
      </x:c>
      <x:c r="I635" s="71" t="str">
        <x:v>fechas fijas</x:v>
      </x:c>
      <x:c r="J635" s="73"/>
      <x:c r="K635" s="74" t="str">
        <x:f>IF(J635="",H635,IF(J635=I635,I635,J635))</x:f>
        <x:v>fechas fijas</x:v>
      </x:c>
      <x:c r="L635" s="74" t="str">
        <x:f>IF(J635="","Keep current",IF(J635=I635,"Use suggestion","Custom"))</x:f>
        <x:v>Keep current</x:v>
      </x:c>
      <x:c r="M635" s="71" t="str">
        <x:v>Pending review</x:v>
      </x:c>
      <x:c r="N635" s="71" t="str">
        <x:v>Normal</x:v>
      </x:c>
      <x:c r="O635" s="71" t="str">
        <x:v>app/journey/new/trip-builder.tsx</x:v>
      </x:c>
      <x:c r="P635" s="71" t="str">
        <x:v>TripBuilderDocument:1924</x:v>
      </x:c>
      <x:c r="Q635" s="71" t="str">
        <x:v>ES</x:v>
      </x:c>
      <x:c r="R635" s="71" t="str">
        <x:v>Already clear and direct; suggested wording intentionally keeps the current copy. Duplicate wording: appears 2 times.</x:v>
      </x:c>
      <x:c r="S635" s="75" t="str">
        <x:v>Not applied — review required</x:v>
      </x:c>
    </x:row>
    <x:row r="636">
      <x:c r="A636" s="71" t="str">
        <x:v>MRV-6284C1CBC5</x:v>
      </x:c>
      <x:c r="B636" s="71" t="str">
        <x:v>Planning</x:v>
      </x:c>
      <x:c r="C636" s="71" t="str">
        <x:v>New trip builder</x:v>
      </x:c>
      <x:c r="D636" s="71" t="str">
        <x:v>/journey/new/trip-builder</x:v>
      </x:c>
      <x:c r="E636" s="71" t="str">
        <x:v>TripBuilderDocument</x:v>
      </x:c>
      <x:c r="F636" s="71" t="str">
        <x:v>Default</x:v>
      </x:c>
      <x:c r="G636" s="71" t="str">
        <x:v>Label</x:v>
      </x:c>
      <x:c r="H636" s="71" t="str">
        <x:v>fixed dates</x:v>
      </x:c>
      <x:c r="I636" s="71" t="str">
        <x:v>fixed dates</x:v>
      </x:c>
      <x:c r="J636" s="73"/>
      <x:c r="K636" s="74" t="str">
        <x:f>IF(J636="",H636,IF(J636=I636,I636,J636))</x:f>
        <x:v>fixed dates</x:v>
      </x:c>
      <x:c r="L636" s="74" t="str">
        <x:f>IF(J636="","Keep current",IF(J636=I636,"Use suggestion","Custom"))</x:f>
        <x:v>Keep current</x:v>
      </x:c>
      <x:c r="M636" s="71" t="str">
        <x:v>Pending review</x:v>
      </x:c>
      <x:c r="N636" s="71" t="str">
        <x:v>Normal</x:v>
      </x:c>
      <x:c r="O636" s="71" t="str">
        <x:v>app/journey/new/trip-builder.tsx</x:v>
      </x:c>
      <x:c r="P636" s="71" t="str">
        <x:v>TripBuilderDocument:1924</x:v>
      </x:c>
      <x:c r="Q636" s="71" t="str">
        <x:v>EN</x:v>
      </x:c>
      <x:c r="R636" s="71" t="str">
        <x:v>Already clear and direct; suggested wording intentionally keeps the current copy.</x:v>
      </x:c>
      <x:c r="S636" s="75" t="str">
        <x:v>Not applied — review required</x:v>
      </x:c>
    </x:row>
    <x:row r="637">
      <x:c r="A637" s="71" t="str">
        <x:v>MRV-CD246A6887</x:v>
      </x:c>
      <x:c r="B637" s="71" t="str">
        <x:v>Planning</x:v>
      </x:c>
      <x:c r="C637" s="71" t="str">
        <x:v>New trip builder</x:v>
      </x:c>
      <x:c r="D637" s="71" t="str">
        <x:v>/journey/new/trip-builder</x:v>
      </x:c>
      <x:c r="E637" s="71" t="str">
        <x:v>TripBuilderDocument</x:v>
      </x:c>
      <x:c r="F637" s="71" t="str">
        <x:v>Default</x:v>
      </x:c>
      <x:c r="G637" s="71" t="str">
        <x:v>Label</x:v>
      </x:c>
      <x:c r="H637" s="71" t="str">
        <x:v>{totalDays} días flexibles</x:v>
      </x:c>
      <x:c r="I637" s="71" t="str">
        <x:v>{totalDays} días flexibles</x:v>
      </x:c>
      <x:c r="J637" s="73"/>
      <x:c r="K637" s="74" t="str">
        <x:f>IF(J637="",H637,IF(J637=I637,I637,J637))</x:f>
        <x:v>{totalDays} días flexibles</x:v>
      </x:c>
      <x:c r="L637" s="74" t="str">
        <x:f>IF(J637="","Keep current",IF(J637=I637,"Use suggestion","Custom"))</x:f>
        <x:v>Keep current</x:v>
      </x:c>
      <x:c r="M637" s="71" t="str">
        <x:v>Pending review</x:v>
      </x:c>
      <x:c r="N637" s="71" t="str">
        <x:v>Normal</x:v>
      </x:c>
      <x:c r="O637" s="71" t="str">
        <x:v>app/journey/new/trip-builder.tsx</x:v>
      </x:c>
      <x:c r="P637" s="71" t="str">
        <x:v>TripBuilderDocument:1924</x:v>
      </x:c>
      <x:c r="Q637" s="71" t="str">
        <x:v>ES</x:v>
      </x:c>
      <x:c r="R637" s="71" t="str">
        <x:v>Already clear and direct; suggested wording intentionally keeps the current copy. Dynamic traveller or trip value is represented as a token; user-generated values are excluded.</x:v>
      </x:c>
      <x:c r="S637" s="75" t="str">
        <x:v>Not applied — review required</x:v>
      </x:c>
    </x:row>
    <x:row r="638">
      <x:c r="A638" s="71" t="str">
        <x:v>MRV-C58B28C33B</x:v>
      </x:c>
      <x:c r="B638" s="71" t="str">
        <x:v>Planning</x:v>
      </x:c>
      <x:c r="C638" s="71" t="str">
        <x:v>New trip builder</x:v>
      </x:c>
      <x:c r="D638" s="71" t="str">
        <x:v>/journey/new/trip-builder</x:v>
      </x:c>
      <x:c r="E638" s="71" t="str">
        <x:v>TripBuilderDocument</x:v>
      </x:c>
      <x:c r="F638" s="71" t="str">
        <x:v>Default</x:v>
      </x:c>
      <x:c r="G638" s="71" t="str">
        <x:v>Label</x:v>
      </x:c>
      <x:c r="H638" s="71" t="str">
        <x:v>{totalDays} flexible days</x:v>
      </x:c>
      <x:c r="I638" s="71" t="str">
        <x:v>{totalDays} flexible days</x:v>
      </x:c>
      <x:c r="J638" s="73"/>
      <x:c r="K638" s="74" t="str">
        <x:f>IF(J638="",H638,IF(J638=I638,I638,J638))</x:f>
        <x:v>{totalDays} flexible days</x:v>
      </x:c>
      <x:c r="L638" s="74" t="str">
        <x:f>IF(J638="","Keep current",IF(J638=I638,"Use suggestion","Custom"))</x:f>
        <x:v>Keep current</x:v>
      </x:c>
      <x:c r="M638" s="71" t="str">
        <x:v>Pending review</x:v>
      </x:c>
      <x:c r="N638" s="71" t="str">
        <x:v>Normal</x:v>
      </x:c>
      <x:c r="O638" s="71" t="str">
        <x:v>app/journey/new/trip-builder.tsx</x:v>
      </x:c>
      <x:c r="P638" s="71" t="str">
        <x:v>TripBuilderDocument:1924</x:v>
      </x:c>
      <x:c r="Q638" s="71" t="str">
        <x:v>EN</x:v>
      </x:c>
      <x:c r="R638" s="71" t="str">
        <x:v>Already clear and direct; suggested wording intentionally keeps the current copy. Dynamic traveller or trip value is represented as a token; user-generated values are excluded.</x:v>
      </x:c>
      <x:c r="S638" s="75" t="str">
        <x:v>Not applied — review required</x:v>
      </x:c>
    </x:row>
    <x:row r="639">
      <x:c r="A639" s="71" t="str">
        <x:v>MRV-21BAA54317</x:v>
      </x:c>
      <x:c r="B639" s="71" t="str">
        <x:v>Planning</x:v>
      </x:c>
      <x:c r="C639" s="71" t="str">
        <x:v>New trip builder</x:v>
      </x:c>
      <x:c r="D639" s="71" t="str">
        <x:v>/journey/new/trip-builder</x:v>
      </x:c>
      <x:c r="E639" s="71" t="str">
        <x:v>TripBuilderDocument</x:v>
      </x:c>
      <x:c r="F639" s="71" t="str">
        <x:v>Default</x:v>
      </x:c>
      <x:c r="G639" s="71" t="str">
        <x:v>Label</x:v>
      </x:c>
      <x:c r="H639" s="71" t="str">
        <x:v>sin paradas aún</x:v>
      </x:c>
      <x:c r="I639" s="71" t="str">
        <x:v>sin paradas aún</x:v>
      </x:c>
      <x:c r="J639" s="73"/>
      <x:c r="K639" s="74" t="str">
        <x:f>IF(J639="",H639,IF(J639=I639,I639,J639))</x:f>
        <x:v>sin paradas aún</x:v>
      </x:c>
      <x:c r="L639" s="74" t="str">
        <x:f>IF(J639="","Keep current",IF(J639=I639,"Use suggestion","Custom"))</x:f>
        <x:v>Keep current</x:v>
      </x:c>
      <x:c r="M639" s="71" t="str">
        <x:v>Pending review</x:v>
      </x:c>
      <x:c r="N639" s="71" t="str">
        <x:v>Normal</x:v>
      </x:c>
      <x:c r="O639" s="71" t="str">
        <x:v>app/journey/new/trip-builder.tsx</x:v>
      </x:c>
      <x:c r="P639" s="71" t="str">
        <x:v>TripBuilderDocument:1924</x:v>
      </x:c>
      <x:c r="Q639" s="71" t="str">
        <x:v>ES</x:v>
      </x:c>
      <x:c r="R639" s="71" t="str">
        <x:v>Already clear and direct; suggested wording intentionally keeps the current copy.</x:v>
      </x:c>
      <x:c r="S639" s="75" t="str">
        <x:v>Not applied — review required</x:v>
      </x:c>
    </x:row>
    <x:row r="640">
      <x:c r="A640" s="71" t="str">
        <x:v>MRV-48889BE01B</x:v>
      </x:c>
      <x:c r="B640" s="71" t="str">
        <x:v>Planning</x:v>
      </x:c>
      <x:c r="C640" s="71" t="str">
        <x:v>New trip builder</x:v>
      </x:c>
      <x:c r="D640" s="71" t="str">
        <x:v>/journey/new/trip-builder</x:v>
      </x:c>
      <x:c r="E640" s="71" t="str">
        <x:v>TripBuilderDocument</x:v>
      </x:c>
      <x:c r="F640" s="71" t="str">
        <x:v>Default</x:v>
      </x:c>
      <x:c r="G640" s="71" t="str">
        <x:v>Label</x:v>
      </x:c>
      <x:c r="H640" s="71" t="str">
        <x:v>no stops yet</x:v>
      </x:c>
      <x:c r="I640" s="71" t="str">
        <x:v>no stops yet</x:v>
      </x:c>
      <x:c r="J640" s="73"/>
      <x:c r="K640" s="74" t="str">
        <x:f>IF(J640="",H640,IF(J640=I640,I640,J640))</x:f>
        <x:v>no stops yet</x:v>
      </x:c>
      <x:c r="L640" s="74" t="str">
        <x:f>IF(J640="","Keep current",IF(J640=I640,"Use suggestion","Custom"))</x:f>
        <x:v>Keep current</x:v>
      </x:c>
      <x:c r="M640" s="71" t="str">
        <x:v>Pending review</x:v>
      </x:c>
      <x:c r="N640" s="71" t="str">
        <x:v>Normal</x:v>
      </x:c>
      <x:c r="O640" s="71" t="str">
        <x:v>app/journey/new/trip-builder.tsx</x:v>
      </x:c>
      <x:c r="P640" s="71" t="str">
        <x:v>TripBuilderDocument:1924</x:v>
      </x:c>
      <x:c r="Q640" s="71" t="str">
        <x:v>EN</x:v>
      </x:c>
      <x:c r="R640" s="71" t="str">
        <x:v>Already clear and direct; suggested wording intentionally keeps the current copy. Terminology watch: ‘trip’ and ‘journey’ both describe the same plan. Terminology watch: ‘stops’, ‘destinations’ and ‘places’ overlap.</x:v>
      </x:c>
      <x:c r="S640" s="75" t="str">
        <x:v>Not applied — review required</x:v>
      </x:c>
    </x:row>
    <x:row r="641">
      <x:c r="A641" s="71" t="str">
        <x:v>MRV-E084367DD9</x:v>
      </x:c>
      <x:c r="B641" s="71" t="str">
        <x:v>Planning</x:v>
      </x:c>
      <x:c r="C641" s="71" t="str">
        <x:v>New trip builder</x:v>
      </x:c>
      <x:c r="D641" s="71" t="str">
        <x:v>/journey/new/trip-builder</x:v>
      </x:c>
      <x:c r="E641" s="71" t="str">
        <x:v>TripBuilderDocument</x:v>
      </x:c>
      <x:c r="F641" s="71" t="str">
        <x:v>Default</x:v>
      </x:c>
      <x:c r="G641" s="71" t="str">
        <x:v>Body copy</x:v>
      </x:c>
      <x:c r="H641" s="71" t="str">
        <x:v>· {effectiveIntent.hardConstraints.fixedCommitments.length} {language === "es" ? "condición fija" : "fixed commitment"}{effectiveIntent.hardConstraints.fixedCommitments.length === 1 ? "" : "s"}</x:v>
      </x:c>
      <x:c r="I641" s="71" t="str">
        <x:v>· {effectiveIntent.hardConstraints.fixedCommitments.length} {language === "es" ? "condición fija" : "fixed commitment"}{effectiveIntent.hardConstraints.fixedCommitments.length === 1 ? "" : "s"}</x:v>
      </x:c>
      <x:c r="J641" s="73"/>
      <x:c r="K641" s="74" t="str">
        <x:f>IF(J641="",H641,IF(J641=I641,I641,J641))</x:f>
        <x:v>· {effectiveIntent.hardConstraints.fixedCommitments.length} {language === "es" ? "condición fija" : "fixed commitment"}{effectiveIntent.hardConstraints.fixedCommitments.length === 1 ? "" : "s"}</x:v>
      </x:c>
      <x:c r="L641" s="74" t="str">
        <x:f>IF(J641="","Keep current",IF(J641=I641,"Use suggestion","Custom"))</x:f>
        <x:v>Keep current</x:v>
      </x:c>
      <x:c r="M641" s="71" t="str">
        <x:v>Pending review</x:v>
      </x:c>
      <x:c r="N641" s="71" t="str">
        <x:v>Normal</x:v>
      </x:c>
      <x:c r="O641" s="71" t="str">
        <x:v>app/journey/new/trip-builder.tsx</x:v>
      </x:c>
      <x:c r="P641" s="71" t="str">
        <x:v>TripBuilderDocument:1924</x:v>
      </x:c>
      <x:c r="Q641" s="71" t="str">
        <x:v>EN (default / shared)</x:v>
      </x:c>
      <x:c r="R641" s="71" t="str">
        <x:v>Already clear and direct; suggested wording intentionally keeps the current copy. Dynamic traveller or trip value is represented as a token; user-generated values are excluded.</x:v>
      </x:c>
      <x:c r="S641" s="75" t="str">
        <x:v>Not applied — review required</x:v>
      </x:c>
    </x:row>
    <x:row r="642">
      <x:c r="A642" s="71" t="str">
        <x:v>MRV-970E83B006</x:v>
      </x:c>
      <x:c r="B642" s="71" t="str">
        <x:v>Planning</x:v>
      </x:c>
      <x:c r="C642" s="71" t="str">
        <x:v>New trip builder</x:v>
      </x:c>
      <x:c r="D642" s="71" t="str">
        <x:v>/journey/new/trip-builder</x:v>
      </x:c>
      <x:c r="E642" s="71" t="str">
        <x:v>TripBuilderDocument</x:v>
      </x:c>
      <x:c r="F642" s="71" t="str">
        <x:v>Default</x:v>
      </x:c>
      <x:c r="G642" s="71" t="str">
        <x:v>Label</x:v>
      </x:c>
      <x:c r="H642" s="71" t="str">
        <x:v>condición fija</x:v>
      </x:c>
      <x:c r="I642" s="71" t="str">
        <x:v>condición fija</x:v>
      </x:c>
      <x:c r="J642" s="73"/>
      <x:c r="K642" s="74" t="str">
        <x:f>IF(J642="",H642,IF(J642=I642,I642,J642))</x:f>
        <x:v>condición fija</x:v>
      </x:c>
      <x:c r="L642" s="74" t="str">
        <x:f>IF(J642="","Keep current",IF(J642=I642,"Use suggestion","Custom"))</x:f>
        <x:v>Keep current</x:v>
      </x:c>
      <x:c r="M642" s="71" t="str">
        <x:v>Pending review</x:v>
      </x:c>
      <x:c r="N642" s="71" t="str">
        <x:v>Normal</x:v>
      </x:c>
      <x:c r="O642" s="71" t="str">
        <x:v>app/journey/new/trip-builder.tsx</x:v>
      </x:c>
      <x:c r="P642" s="71" t="str">
        <x:v>TripBuilderDocument:1924</x:v>
      </x:c>
      <x:c r="Q642" s="71" t="str">
        <x:v>ES</x:v>
      </x:c>
      <x:c r="R642" s="71" t="str">
        <x:v>Already clear and direct; suggested wording intentionally keeps the current copy.</x:v>
      </x:c>
      <x:c r="S642" s="75" t="str">
        <x:v>Not applied — review required</x:v>
      </x:c>
    </x:row>
    <x:row r="643">
      <x:c r="A643" s="71" t="str">
        <x:v>MRV-3F1FD9E036</x:v>
      </x:c>
      <x:c r="B643" s="71" t="str">
        <x:v>Planning</x:v>
      </x:c>
      <x:c r="C643" s="71" t="str">
        <x:v>New trip builder</x:v>
      </x:c>
      <x:c r="D643" s="71" t="str">
        <x:v>/journey/new/trip-builder</x:v>
      </x:c>
      <x:c r="E643" s="71" t="str">
        <x:v>TripBuilderDocument</x:v>
      </x:c>
      <x:c r="F643" s="71" t="str">
        <x:v>Default</x:v>
      </x:c>
      <x:c r="G643" s="71" t="str">
        <x:v>Label</x:v>
      </x:c>
      <x:c r="H643" s="71" t="str">
        <x:v>fixed commitment</x:v>
      </x:c>
      <x:c r="I643" s="71" t="str">
        <x:v>fixed commitment</x:v>
      </x:c>
      <x:c r="J643" s="73"/>
      <x:c r="K643" s="74" t="str">
        <x:f>IF(J643="",H643,IF(J643=I643,I643,J643))</x:f>
        <x:v>fixed commitment</x:v>
      </x:c>
      <x:c r="L643" s="74" t="str">
        <x:f>IF(J643="","Keep current",IF(J643=I643,"Use suggestion","Custom"))</x:f>
        <x:v>Keep current</x:v>
      </x:c>
      <x:c r="M643" s="71" t="str">
        <x:v>Pending review</x:v>
      </x:c>
      <x:c r="N643" s="71" t="str">
        <x:v>Normal</x:v>
      </x:c>
      <x:c r="O643" s="71" t="str">
        <x:v>app/journey/new/trip-builder.tsx</x:v>
      </x:c>
      <x:c r="P643" s="71" t="str">
        <x:v>TripBuilderDocument:1924</x:v>
      </x:c>
      <x:c r="Q643" s="71" t="str">
        <x:v>EN</x:v>
      </x:c>
      <x:c r="R643" s="71" t="str">
        <x:v>Already clear and direct; suggested wording intentionally keeps the current copy.</x:v>
      </x:c>
      <x:c r="S643" s="75" t="str">
        <x:v>Not applied — review required</x:v>
      </x:c>
    </x:row>
    <x:row r="644">
      <x:c r="A644" s="71" t="str">
        <x:v>MRV-AA4B4BE341</x:v>
      </x:c>
      <x:c r="B644" s="71" t="str">
        <x:v>Planning</x:v>
      </x:c>
      <x:c r="C644" s="71" t="str">
        <x:v>New trip builder</x:v>
      </x:c>
      <x:c r="D644" s="71" t="str">
        <x:v>/journey/new/trip-builder</x:v>
      </x:c>
      <x:c r="E644" s="71" t="str">
        <x:v>TripBuilderDocument</x:v>
      </x:c>
      <x:c r="F644" s="71" t="str">
        <x:v>Default</x:v>
      </x:c>
      <x:c r="G644" s="71" t="str">
        <x:v>Body copy</x:v>
      </x:c>
      <x:c r="H644" s="71" t="str">
        <x:v>{item.date} ·</x:v>
      </x:c>
      <x:c r="I644" s="71" t="str">
        <x:v>{item.date} ·</x:v>
      </x:c>
      <x:c r="J644" s="73"/>
      <x:c r="K644" s="74" t="str">
        <x:f>IF(J644="",H644,IF(J644=I644,I644,J644))</x:f>
        <x:v>{item.date} ·</x:v>
      </x:c>
      <x:c r="L644" s="74" t="str">
        <x:f>IF(J644="","Keep current",IF(J644=I644,"Use suggestion","Custom"))</x:f>
        <x:v>Keep current</x:v>
      </x:c>
      <x:c r="M644" s="71" t="str">
        <x:v>Pending review</x:v>
      </x:c>
      <x:c r="N644" s="71" t="str">
        <x:v>Normal</x:v>
      </x:c>
      <x:c r="O644" s="71" t="str">
        <x:v>app/journey/new/trip-builder.tsx</x:v>
      </x:c>
      <x:c r="P644" s="71" t="str">
        <x:v>TripBuilderDocument:1926</x:v>
      </x:c>
      <x:c r="Q644" s="71" t="str">
        <x:v>EN (default / shared)</x:v>
      </x:c>
      <x:c r="R644" s="71" t="str">
        <x:v>Already clear and direct; suggested wording intentionally keeps the current copy. Dynamic traveller or trip value is represented as a token; user-generated values are excluded.</x:v>
      </x:c>
      <x:c r="S644" s="75" t="str">
        <x:v>Not applied — review required</x:v>
      </x:c>
    </x:row>
    <x:row r="645">
      <x:c r="A645" s="71" t="str">
        <x:v>MRV-06469E636B</x:v>
      </x:c>
      <x:c r="B645" s="71" t="str">
        <x:v>Planning</x:v>
      </x:c>
      <x:c r="C645" s="71" t="str">
        <x:v>New trip builder</x:v>
      </x:c>
      <x:c r="D645" s="71" t="str">
        <x:v>/journey/new/trip-builder</x:v>
      </x:c>
      <x:c r="E645" s="71" t="str">
        <x:v>TripBuilderDocument</x:v>
      </x:c>
      <x:c r="F645" s="71" t="str">
        <x:v>Accessibility / input support</x:v>
      </x:c>
      <x:c r="G645" s="71" t="str">
        <x:v>Accessibility label</x:v>
      </x:c>
      <x:c r="H645" s="71" t="str">
        <x:v>{language === "es" ? "Quitar" : "Remove"} {item.label}</x:v>
      </x:c>
      <x:c r="I645" s="71" t="str">
        <x:v>{language === "es" ? "Quitar" : "Remove"} {item.label}</x:v>
      </x:c>
      <x:c r="J645" s="73"/>
      <x:c r="K645" s="74" t="str">
        <x:f>IF(J645="",H645,IF(J645=I645,I645,J645))</x:f>
        <x:v>{language === "es" ? "Quitar" : "Remove"} {item.label}</x:v>
      </x:c>
      <x:c r="L645" s="74" t="str">
        <x:f>IF(J645="","Keep current",IF(J645=I645,"Use suggestion","Custom"))</x:f>
        <x:v>Keep current</x:v>
      </x:c>
      <x:c r="M645" s="71" t="str">
        <x:v>Pending review</x:v>
      </x:c>
      <x:c r="N645" s="71" t="str">
        <x:v>Medium</x:v>
      </x:c>
      <x:c r="O645" s="71" t="str">
        <x:v>app/journey/new/trip-builder.tsx</x:v>
      </x:c>
      <x:c r="P645" s="71" t="str">
        <x:v>TripBuilderDocument:1926</x:v>
      </x:c>
      <x:c r="Q645" s="71" t="str">
        <x:v>EN (default / shared)</x:v>
      </x:c>
      <x:c r="R645" s="71" t="str">
        <x:v>Already clear and direct; suggested wording intentionally keeps the current copy. Dynamic traveller or trip value is represented as a token; user-generated values are excluded.</x:v>
      </x:c>
      <x:c r="S645" s="75" t="str">
        <x:v>Not applied — review required</x:v>
      </x:c>
    </x:row>
    <x:row r="646">
      <x:c r="A646" s="71" t="str">
        <x:v>MRV-138651ECA8</x:v>
      </x:c>
      <x:c r="B646" s="71" t="str">
        <x:v>Planning</x:v>
      </x:c>
      <x:c r="C646" s="71" t="str">
        <x:v>New trip builder</x:v>
      </x:c>
      <x:c r="D646" s="71" t="str">
        <x:v>/journey/new/trip-builder</x:v>
      </x:c>
      <x:c r="E646" s="71" t="str">
        <x:v>TripBuilderDocument</x:v>
      </x:c>
      <x:c r="F646" s="71" t="str">
        <x:v>Accessibility / input support</x:v>
      </x:c>
      <x:c r="G646" s="71" t="str">
        <x:v>Accessibility label</x:v>
      </x:c>
      <x:c r="H646" s="71" t="str">
        <x:v>Quitar</x:v>
      </x:c>
      <x:c r="I646" s="71" t="str">
        <x:v>Quitar</x:v>
      </x:c>
      <x:c r="J646" s="73"/>
      <x:c r="K646" s="74" t="str">
        <x:f>IF(J646="",H646,IF(J646=I646,I646,J646))</x:f>
        <x:v>Quitar</x:v>
      </x:c>
      <x:c r="L646" s="74" t="str">
        <x:f>IF(J646="","Keep current",IF(J646=I646,"Use suggestion","Custom"))</x:f>
        <x:v>Keep current</x:v>
      </x:c>
      <x:c r="M646" s="71" t="str">
        <x:v>Pending review</x:v>
      </x:c>
      <x:c r="N646" s="71" t="str">
        <x:v>Medium</x:v>
      </x:c>
      <x:c r="O646" s="71" t="str">
        <x:v>app/journey/new/trip-builder.tsx</x:v>
      </x:c>
      <x:c r="P646" s="71" t="str">
        <x:v>TripBuilderDocument:1926</x:v>
      </x:c>
      <x:c r="Q646" s="71" t="str">
        <x:v>ES</x:v>
      </x:c>
      <x:c r="R646" s="71" t="str">
        <x:v>Already clear and direct; suggested wording intentionally keeps the current copy. Duplicate wording: appears 3 times.</x:v>
      </x:c>
      <x:c r="S646" s="75" t="str">
        <x:v>Not applied — review required</x:v>
      </x:c>
    </x:row>
    <x:row r="647">
      <x:c r="A647" s="71" t="str">
        <x:v>MRV-231B3ABA75</x:v>
      </x:c>
      <x:c r="B647" s="71" t="str">
        <x:v>Planning</x:v>
      </x:c>
      <x:c r="C647" s="71" t="str">
        <x:v>New trip builder</x:v>
      </x:c>
      <x:c r="D647" s="71" t="str">
        <x:v>/journey/new/trip-builder</x:v>
      </x:c>
      <x:c r="E647" s="71" t="str">
        <x:v>TripBuilderDocument</x:v>
      </x:c>
      <x:c r="F647" s="71" t="str">
        <x:v>Accessibility / input support</x:v>
      </x:c>
      <x:c r="G647" s="71" t="str">
        <x:v>Accessibility label</x:v>
      </x:c>
      <x:c r="H647" s="71" t="str">
        <x:v>Remove</x:v>
      </x:c>
      <x:c r="I647" s="71" t="str">
        <x:v>Remove</x:v>
      </x:c>
      <x:c r="J647" s="73"/>
      <x:c r="K647" s="74" t="str">
        <x:f>IF(J647="",H647,IF(J647=I647,I647,J647))</x:f>
        <x:v>Remove</x:v>
      </x:c>
      <x:c r="L647" s="74" t="str">
        <x:f>IF(J647="","Keep current",IF(J647=I647,"Use suggestion","Custom"))</x:f>
        <x:v>Keep current</x:v>
      </x:c>
      <x:c r="M647" s="71" t="str">
        <x:v>Pending review</x:v>
      </x:c>
      <x:c r="N647" s="71" t="str">
        <x:v>Medium</x:v>
      </x:c>
      <x:c r="O647" s="71" t="str">
        <x:v>app/journey/new/trip-builder.tsx</x:v>
      </x:c>
      <x:c r="P647" s="71" t="str">
        <x:v>TripBuilderDocument:1926</x:v>
      </x:c>
      <x:c r="Q647" s="71" t="str">
        <x:v>EN</x:v>
      </x:c>
      <x:c r="R647" s="71" t="str">
        <x:v>Already clear and direct; suggested wording intentionally keeps the current copy. Duplicate wording: appears 3 times.</x:v>
      </x:c>
      <x:c r="S647" s="75" t="str">
        <x:v>Not applied — review required</x:v>
      </x:c>
    </x:row>
    <x:row r="648">
      <x:c r="A648" s="71" t="str">
        <x:v>MRV-8EA4FEE780</x:v>
      </x:c>
      <x:c r="B648" s="71" t="str">
        <x:v>Planning</x:v>
      </x:c>
      <x:c r="C648" s="71" t="str">
        <x:v>New trip builder</x:v>
      </x:c>
      <x:c r="D648" s="71" t="str">
        <x:v>/journey/new/trip-builder</x:v>
      </x:c>
      <x:c r="E648" s="71" t="str">
        <x:v>TripBuilderDocument</x:v>
      </x:c>
      <x:c r="F648" s="71" t="str">
        <x:v>Default</x:v>
      </x:c>
      <x:c r="G648" s="71" t="str">
        <x:v>Body copy</x:v>
      </x:c>
      <x:c r="H648" s="71" t="str">
        <x:v>Tus condiciones fijas están protegidas.</x:v>
      </x:c>
      <x:c r="I648" s="71" t="str">
        <x:v>Tus condiciones fijas están protegidas.</x:v>
      </x:c>
      <x:c r="J648" s="73"/>
      <x:c r="K648" s="74" t="str">
        <x:f>IF(J648="",H648,IF(J648=I648,I648,J648))</x:f>
        <x:v>Tus condiciones fijas están protegidas.</x:v>
      </x:c>
      <x:c r="L648" s="74" t="str">
        <x:f>IF(J648="","Keep current",IF(J648=I648,"Use suggestion","Custom"))</x:f>
        <x:v>Keep current</x:v>
      </x:c>
      <x:c r="M648" s="71" t="str">
        <x:v>Pending review</x:v>
      </x:c>
      <x:c r="N648" s="71" t="str">
        <x:v>Normal</x:v>
      </x:c>
      <x:c r="O648" s="71" t="str">
        <x:v>app/journey/new/trip-builder.tsx</x:v>
      </x:c>
      <x:c r="P648" s="71" t="str">
        <x:v>TripBuilderDocument:1937</x:v>
      </x:c>
      <x:c r="Q648" s="71" t="str">
        <x:v>ES</x:v>
      </x:c>
      <x:c r="R648" s="71" t="str">
        <x:v>Already clear and direct; suggested wording intentionally keeps the current copy.</x:v>
      </x:c>
      <x:c r="S648" s="75" t="str">
        <x:v>Not applied — review required</x:v>
      </x:c>
    </x:row>
    <x:row r="649">
      <x:c r="A649" s="71" t="str">
        <x:v>MRV-4B1FF241F4</x:v>
      </x:c>
      <x:c r="B649" s="71" t="str">
        <x:v>Planning</x:v>
      </x:c>
      <x:c r="C649" s="71" t="str">
        <x:v>New trip builder</x:v>
      </x:c>
      <x:c r="D649" s="71" t="str">
        <x:v>/journey/new/trip-builder</x:v>
      </x:c>
      <x:c r="E649" s="71" t="str">
        <x:v>TripBuilderDocument</x:v>
      </x:c>
      <x:c r="F649" s="71" t="str">
        <x:v>Default</x:v>
      </x:c>
      <x:c r="G649" s="71" t="str">
        <x:v>Body copy</x:v>
      </x:c>
      <x:c r="H649" s="71" t="str">
        <x:v>Your fixed commitments are protected.</x:v>
      </x:c>
      <x:c r="I649" s="71" t="str">
        <x:v>Your fixed commitments are protected.</x:v>
      </x:c>
      <x:c r="J649" s="73"/>
      <x:c r="K649" s="74" t="str">
        <x:f>IF(J649="",H649,IF(J649=I649,I649,J649))</x:f>
        <x:v>Your fixed commitments are protected.</x:v>
      </x:c>
      <x:c r="L649" s="74" t="str">
        <x:f>IF(J649="","Keep current",IF(J649=I649,"Use suggestion","Custom"))</x:f>
        <x:v>Keep current</x:v>
      </x:c>
      <x:c r="M649" s="71" t="str">
        <x:v>Pending review</x:v>
      </x:c>
      <x:c r="N649" s="71" t="str">
        <x:v>Normal</x:v>
      </x:c>
      <x:c r="O649" s="71" t="str">
        <x:v>app/journey/new/trip-builder.tsx</x:v>
      </x:c>
      <x:c r="P649" s="71" t="str">
        <x:v>TripBuilderDocument:1937</x:v>
      </x:c>
      <x:c r="Q649" s="71" t="str">
        <x:v>EN</x:v>
      </x:c>
      <x:c r="R649" s="71" t="str">
        <x:v>Already clear and direct; suggested wording intentionally keeps the current copy.</x:v>
      </x:c>
      <x:c r="S649" s="75" t="str">
        <x:v>Not applied — review required</x:v>
      </x:c>
    </x:row>
    <x:row r="650">
      <x:c r="A650" s="71" t="str">
        <x:v>MRV-C783B430DD</x:v>
      </x:c>
      <x:c r="B650" s="71" t="str">
        <x:v>Planning</x:v>
      </x:c>
      <x:c r="C650" s="71" t="str">
        <x:v>New trip builder</x:v>
      </x:c>
      <x:c r="D650" s="71" t="str">
        <x:v>/journey/new/trip-builder</x:v>
      </x:c>
      <x:c r="E650" s="71" t="str">
        <x:v>TripBuilderDocument</x:v>
      </x:c>
      <x:c r="F650" s="71" t="str">
        <x:v>Default</x:v>
      </x:c>
      <x:c r="G650" s="71" t="str">
        <x:v>Body copy</x:v>
      </x:c>
      <x:c r="H650" s="71" t="str">
        <x:v>Confirma dónde encaja cada condición antes de cambiar el orden.</x:v>
      </x:c>
      <x:c r="I650" s="71" t="str">
        <x:v>Confirma dónde encaja cada condición antes de cambiar el orden.</x:v>
      </x:c>
      <x:c r="J650" s="73"/>
      <x:c r="K650" s="74" t="str">
        <x:f>IF(J650="",H650,IF(J650=I650,I650,J650))</x:f>
        <x:v>Confirma dónde encaja cada condición antes de cambiar el orden.</x:v>
      </x:c>
      <x:c r="L650" s="74" t="str">
        <x:f>IF(J650="","Keep current",IF(J650=I650,"Use suggestion","Custom"))</x:f>
        <x:v>Keep current</x:v>
      </x:c>
      <x:c r="M650" s="71" t="str">
        <x:v>Pending review</x:v>
      </x:c>
      <x:c r="N650" s="71" t="str">
        <x:v>Normal</x:v>
      </x:c>
      <x:c r="O650" s="71" t="str">
        <x:v>app/journey/new/trip-builder.tsx</x:v>
      </x:c>
      <x:c r="P650" s="71" t="str">
        <x:v>TripBuilderDocument:1938</x:v>
      </x:c>
      <x:c r="Q650" s="71" t="str">
        <x:v>ES</x:v>
      </x:c>
      <x:c r="R650" s="71" t="str">
        <x:v>Already clear and direct; suggested wording intentionally keeps the current copy.</x:v>
      </x:c>
      <x:c r="S650" s="75" t="str">
        <x:v>Not applied — review required</x:v>
      </x:c>
    </x:row>
    <x:row r="651">
      <x:c r="A651" s="71" t="str">
        <x:v>MRV-C4D5E6760E</x:v>
      </x:c>
      <x:c r="B651" s="71" t="str">
        <x:v>Planning</x:v>
      </x:c>
      <x:c r="C651" s="71" t="str">
        <x:v>New trip builder</x:v>
      </x:c>
      <x:c r="D651" s="71" t="str">
        <x:v>/journey/new/trip-builder</x:v>
      </x:c>
      <x:c r="E651" s="71" t="str">
        <x:v>TripBuilderDocument</x:v>
      </x:c>
      <x:c r="F651" s="71" t="str">
        <x:v>Default</x:v>
      </x:c>
      <x:c r="G651" s="71" t="str">
        <x:v>Body copy</x:v>
      </x:c>
      <x:c r="H651" s="71" t="str">
        <x:v>Confirm where each commitment sits before changing the order.</x:v>
      </x:c>
      <x:c r="I651" s="71" t="str">
        <x:v>Confirm where each commitment sits before changing the order.</x:v>
      </x:c>
      <x:c r="J651" s="73"/>
      <x:c r="K651" s="74" t="str">
        <x:f>IF(J651="",H651,IF(J651=I651,I651,J651))</x:f>
        <x:v>Confirm where each commitment sits before changing the order.</x:v>
      </x:c>
      <x:c r="L651" s="74" t="str">
        <x:f>IF(J651="","Keep current",IF(J651=I651,"Use suggestion","Custom"))</x:f>
        <x:v>Keep current</x:v>
      </x:c>
      <x:c r="M651" s="71" t="str">
        <x:v>Pending review</x:v>
      </x:c>
      <x:c r="N651" s="71" t="str">
        <x:v>Normal</x:v>
      </x:c>
      <x:c r="O651" s="71" t="str">
        <x:v>app/journey/new/trip-builder.tsx</x:v>
      </x:c>
      <x:c r="P651" s="71" t="str">
        <x:v>TripBuilderDocument:1938</x:v>
      </x:c>
      <x:c r="Q651" s="71" t="str">
        <x:v>EN</x:v>
      </x:c>
      <x:c r="R651" s="71" t="str">
        <x:v>Already clear and direct; suggested wording intentionally keeps the current copy.</x:v>
      </x:c>
      <x:c r="S651" s="75" t="str">
        <x:v>Not applied — review required</x:v>
      </x:c>
    </x:row>
    <x:row r="652">
      <x:c r="A652" s="71" t="str">
        <x:v>MRV-28624C78F0</x:v>
      </x:c>
      <x:c r="B652" s="71" t="str">
        <x:v>Planning</x:v>
      </x:c>
      <x:c r="C652" s="71" t="str">
        <x:v>New trip builder</x:v>
      </x:c>
      <x:c r="D652" s="71" t="str">
        <x:v>/journey/new/trip-builder</x:v>
      </x:c>
      <x:c r="E652" s="71" t="str">
        <x:v>TripBuilderDocument</x:v>
      </x:c>
      <x:c r="F652" s="71" t="str">
        <x:v>Default</x:v>
      </x:c>
      <x:c r="G652" s="71" t="str">
        <x:v>Body copy</x:v>
      </x:c>
      <x:c r="H652" s="71" t="str">
        <x:v>Puedes cambiar el orden en la ruta de la derecha cuando quieras.</x:v>
      </x:c>
      <x:c r="I652" s="71" t="str">
        <x:v>Puedes cambiar el orden en la ruta de la derecha cuando quieras.</x:v>
      </x:c>
      <x:c r="J652" s="73"/>
      <x:c r="K652" s="74" t="str">
        <x:f>IF(J652="",H652,IF(J652=I652,I652,J652))</x:f>
        <x:v>Puedes cambiar el orden en la ruta de la derecha cuando quieras.</x:v>
      </x:c>
      <x:c r="L652" s="74" t="str">
        <x:f>IF(J652="","Keep current",IF(J652=I652,"Use suggestion","Custom"))</x:f>
        <x:v>Keep current</x:v>
      </x:c>
      <x:c r="M652" s="71" t="str">
        <x:v>Pending review</x:v>
      </x:c>
      <x:c r="N652" s="71" t="str">
        <x:v>Normal</x:v>
      </x:c>
      <x:c r="O652" s="71" t="str">
        <x:v>app/journey/new/trip-builder.tsx</x:v>
      </x:c>
      <x:c r="P652" s="71" t="str">
        <x:v>TripBuilderDocument:1938</x:v>
      </x:c>
      <x:c r="Q652" s="71" t="str">
        <x:v>ES</x:v>
      </x:c>
      <x:c r="R652" s="71" t="str">
        <x:v>Already clear and direct; suggested wording intentionally keeps the current copy.</x:v>
      </x:c>
      <x:c r="S652" s="75" t="str">
        <x:v>Not applied — review required</x:v>
      </x:c>
    </x:row>
    <x:row r="653">
      <x:c r="A653" s="71" t="str">
        <x:v>MRV-857960A8EA</x:v>
      </x:c>
      <x:c r="B653" s="71" t="str">
        <x:v>Planning</x:v>
      </x:c>
      <x:c r="C653" s="71" t="str">
        <x:v>New trip builder</x:v>
      </x:c>
      <x:c r="D653" s="71" t="str">
        <x:v>/journey/new/trip-builder</x:v>
      </x:c>
      <x:c r="E653" s="71" t="str">
        <x:v>TripBuilderDocument</x:v>
      </x:c>
      <x:c r="F653" s="71" t="str">
        <x:v>Default</x:v>
      </x:c>
      <x:c r="G653" s="71" t="str">
        <x:v>Body copy</x:v>
      </x:c>
      <x:c r="H653" s="71" t="str">
        <x:v>You can still change the order in the route on the right whenever you like.</x:v>
      </x:c>
      <x:c r="I653" s="71" t="str">
        <x:v>You can still change the order in the route on the right whenever you like.</x:v>
      </x:c>
      <x:c r="J653" s="73"/>
      <x:c r="K653" s="74" t="str">
        <x:f>IF(J653="",H653,IF(J653=I653,I653,J653))</x:f>
        <x:v>You can still change the order in the route on the right whenever you like.</x:v>
      </x:c>
      <x:c r="L653" s="74" t="str">
        <x:f>IF(J653="","Keep current",IF(J653=I653,"Use suggestion","Custom"))</x:f>
        <x:v>Keep current</x:v>
      </x:c>
      <x:c r="M653" s="71" t="str">
        <x:v>Pending review</x:v>
      </x:c>
      <x:c r="N653" s="71" t="str">
        <x:v>Normal</x:v>
      </x:c>
      <x:c r="O653" s="71" t="str">
        <x:v>app/journey/new/trip-builder.tsx</x:v>
      </x:c>
      <x:c r="P653" s="71" t="str">
        <x:v>TripBuilderDocument:1938</x:v>
      </x:c>
      <x:c r="Q653" s="71" t="str">
        <x:v>EN</x:v>
      </x:c>
      <x:c r="R653" s="71" t="str">
        <x:v>Already clear and direct; suggested wording intentionally keeps the current copy.</x:v>
      </x:c>
      <x:c r="S653" s="75" t="str">
        <x:v>Not applied — review required</x:v>
      </x:c>
    </x:row>
    <x:row r="654">
      <x:c r="A654" s="71" t="str">
        <x:v>MRV-AD94ECBBD2</x:v>
      </x:c>
      <x:c r="B654" s="71" t="str">
        <x:v>Planning</x:v>
      </x:c>
      <x:c r="C654" s="71" t="str">
        <x:v>New trip builder</x:v>
      </x:c>
      <x:c r="D654" s="71" t="str">
        <x:v>/journey/new/trip-builder</x:v>
      </x:c>
      <x:c r="E654" s="71" t="str">
        <x:v>TripBuilderDocument</x:v>
      </x:c>
      <x:c r="F654" s="71" t="str">
        <x:v>Default</x:v>
      </x:c>
      <x:c r="G654" s="71" t="str">
        <x:v>Body copy</x:v>
      </x:c>
      <x:c r="H654" s="71" t="str">
        <x:v>Evitar coche está activo: compara tren o vuelo para los traslados locales antes de reservar.</x:v>
      </x:c>
      <x:c r="I654" s="71" t="str">
        <x:v>Evitar coche está activo: compara tren o vuelo para los traslados locales antes de reservar.</x:v>
      </x:c>
      <x:c r="J654" s="73"/>
      <x:c r="K654" s="74" t="str">
        <x:f>IF(J654="",H654,IF(J654=I654,I654,J654))</x:f>
        <x:v>Evitar coche está activo: compara tren o vuelo para los traslados locales antes de reservar.</x:v>
      </x:c>
      <x:c r="L654" s="74" t="str">
        <x:f>IF(J654="","Keep current",IF(J654=I654,"Use suggestion","Custom"))</x:f>
        <x:v>Keep current</x:v>
      </x:c>
      <x:c r="M654" s="71" t="str">
        <x:v>Pending review</x:v>
      </x:c>
      <x:c r="N654" s="71" t="str">
        <x:v>Normal</x:v>
      </x:c>
      <x:c r="O654" s="71" t="str">
        <x:v>app/journey/new/trip-builder.tsx</x:v>
      </x:c>
      <x:c r="P654" s="71" t="str">
        <x:v>TripBuilderDocument:1940</x:v>
      </x:c>
      <x:c r="Q654" s="71" t="str">
        <x:v>ES</x:v>
      </x:c>
      <x:c r="R654" s="71" t="str">
        <x:v>Already clear and direct; suggested wording intentionally keeps the current copy.</x:v>
      </x:c>
      <x:c r="S654" s="75" t="str">
        <x:v>Not applied — review required</x:v>
      </x:c>
    </x:row>
    <x:row r="655">
      <x:c r="A655" s="71" t="str">
        <x:v>MRV-8B5054C5EC</x:v>
      </x:c>
      <x:c r="B655" s="71" t="str">
        <x:v>Planning</x:v>
      </x:c>
      <x:c r="C655" s="71" t="str">
        <x:v>New trip builder</x:v>
      </x:c>
      <x:c r="D655" s="71" t="str">
        <x:v>/journey/new/trip-builder</x:v>
      </x:c>
      <x:c r="E655" s="71" t="str">
        <x:v>TripBuilderDocument</x:v>
      </x:c>
      <x:c r="F655" s="71" t="str">
        <x:v>Default</x:v>
      </x:c>
      <x:c r="G655" s="71" t="str">
        <x:v>Body copy</x:v>
      </x:c>
      <x:c r="H655" s="71" t="str">
        <x:v>Avoid driving is active: compare rail or flight for local transfers before booking.</x:v>
      </x:c>
      <x:c r="I655" s="71" t="str">
        <x:v>Avoid driving is active: compare rail or flight for local transfers before booking.</x:v>
      </x:c>
      <x:c r="J655" s="73"/>
      <x:c r="K655" s="74" t="str">
        <x:f>IF(J655="",H655,IF(J655=I655,I655,J655))</x:f>
        <x:v>Avoid driving is active: compare rail or flight for local transfers before booking.</x:v>
      </x:c>
      <x:c r="L655" s="74" t="str">
        <x:f>IF(J655="","Keep current",IF(J655=I655,"Use suggestion","Custom"))</x:f>
        <x:v>Keep current</x:v>
      </x:c>
      <x:c r="M655" s="71" t="str">
        <x:v>Pending review</x:v>
      </x:c>
      <x:c r="N655" s="71" t="str">
        <x:v>Normal</x:v>
      </x:c>
      <x:c r="O655" s="71" t="str">
        <x:v>app/journey/new/trip-builder.tsx</x:v>
      </x:c>
      <x:c r="P655" s="71" t="str">
        <x:v>TripBuilderDocument:1940</x:v>
      </x:c>
      <x:c r="Q655" s="71" t="str">
        <x:v>EN</x:v>
      </x:c>
      <x:c r="R655" s="71" t="str">
        <x:v>Already clear and direct; suggested wording intentionally keeps the current copy.</x:v>
      </x:c>
      <x:c r="S655" s="75" t="str">
        <x:v>Not applied — review required</x:v>
      </x:c>
    </x:row>
    <x:row r="656">
      <x:c r="A656" s="71" t="str">
        <x:v>MRV-25DABFF0C4</x:v>
      </x:c>
      <x:c r="B656" s="71" t="str">
        <x:v>Planning</x:v>
      </x:c>
      <x:c r="C656" s="71" t="str">
        <x:v>New trip builder</x:v>
      </x:c>
      <x:c r="D656" s="71" t="str">
        <x:v>/journey/new/trip-builder</x:v>
      </x:c>
      <x:c r="E656" s="71" t="str">
        <x:v>TripBuilderDocument</x:v>
      </x:c>
      <x:c r="F656" s="71" t="str">
        <x:v>Default</x:v>
      </x:c>
      <x:c r="G656" s="71" t="str">
        <x:v>Body copy</x:v>
      </x:c>
      <x:c r="H656" s="71" t="str">
        <x:v>Esta ruta puede necesitar un tipo de transporte fuera de tus preferencias. Compáralo antes de reservar.</x:v>
      </x:c>
      <x:c r="I656" s="71" t="str">
        <x:v>Esta ruta puede necesitar un tipo de transporte fuera de tus preferencias. Compáralo antes de reservar.</x:v>
      </x:c>
      <x:c r="J656" s="73"/>
      <x:c r="K656" s="74" t="str">
        <x:f>IF(J656="",H656,IF(J656=I656,I656,J656))</x:f>
        <x:v>Esta ruta puede necesitar un tipo de transporte fuera de tus preferencias. Compáralo antes de reservar.</x:v>
      </x:c>
      <x:c r="L656" s="74" t="str">
        <x:f>IF(J656="","Keep current",IF(J656=I656,"Use suggestion","Custom"))</x:f>
        <x:v>Keep current</x:v>
      </x:c>
      <x:c r="M656" s="71" t="str">
        <x:v>Pending review</x:v>
      </x:c>
      <x:c r="N656" s="71" t="str">
        <x:v>Normal</x:v>
      </x:c>
      <x:c r="O656" s="71" t="str">
        <x:v>app/journey/new/trip-builder.tsx</x:v>
      </x:c>
      <x:c r="P656" s="71" t="str">
        <x:v>TripBuilderDocument:1940</x:v>
      </x:c>
      <x:c r="Q656" s="71" t="str">
        <x:v>ES</x:v>
      </x:c>
      <x:c r="R656" s="71" t="str">
        <x:v>Already clear and direct; suggested wording intentionally keeps the current copy.</x:v>
      </x:c>
      <x:c r="S656" s="75" t="str">
        <x:v>Not applied — review required</x:v>
      </x:c>
    </x:row>
    <x:row r="657">
      <x:c r="A657" s="71" t="str">
        <x:v>MRV-85B47EDA63</x:v>
      </x:c>
      <x:c r="B657" s="71" t="str">
        <x:v>Planning</x:v>
      </x:c>
      <x:c r="C657" s="71" t="str">
        <x:v>New trip builder</x:v>
      </x:c>
      <x:c r="D657" s="71" t="str">
        <x:v>/journey/new/trip-builder</x:v>
      </x:c>
      <x:c r="E657" s="71" t="str">
        <x:v>TripBuilderDocument</x:v>
      </x:c>
      <x:c r="F657" s="71" t="str">
        <x:v>Default</x:v>
      </x:c>
      <x:c r="G657" s="71" t="str">
        <x:v>Label</x:v>
      </x:c>
      <x:c r="H657" s="71" t="str">
        <x:v>MORROVIA RECOMMENDS</x:v>
      </x:c>
      <x:c r="I657" s="71" t="str">
        <x:v>MORROVIA RECOMMENDS</x:v>
      </x:c>
      <x:c r="J657" s="73"/>
      <x:c r="K657" s="74" t="str">
        <x:f>IF(J657="",H657,IF(J657=I657,I657,J657))</x:f>
        <x:v>MORROVIA RECOMMENDS</x:v>
      </x:c>
      <x:c r="L657" s="74" t="str">
        <x:f>IF(J657="","Keep current",IF(J657=I657,"Use suggestion","Custom"))</x:f>
        <x:v>Keep current</x:v>
      </x:c>
      <x:c r="M657" s="71" t="str">
        <x:v>Pending review</x:v>
      </x:c>
      <x:c r="N657" s="71" t="str">
        <x:v>Normal</x:v>
      </x:c>
      <x:c r="O657" s="71" t="str">
        <x:v>app/journey/new/trip-builder.tsx</x:v>
      </x:c>
      <x:c r="P657" s="71" t="str">
        <x:v>TripBuilderDocument:1942</x:v>
      </x:c>
      <x:c r="Q657" s="71" t="str">
        <x:v>EN</x:v>
      </x:c>
      <x:c r="R657" s="71" t="str">
        <x:v>Already clear and direct; suggested wording intentionally keeps the current copy.</x:v>
      </x:c>
      <x:c r="S657" s="75" t="str">
        <x:v>Not applied — review required</x:v>
      </x:c>
    </x:row>
    <x:row r="658">
      <x:c r="A658" s="71" t="str">
        <x:v>MRV-660D512220</x:v>
      </x:c>
      <x:c r="B658" s="71" t="str">
        <x:v>Planning</x:v>
      </x:c>
      <x:c r="C658" s="71" t="str">
        <x:v>New trip builder</x:v>
      </x:c>
      <x:c r="D658" s="71" t="str">
        <x:v>/journey/new/trip-builder</x:v>
      </x:c>
      <x:c r="E658" s="71" t="str">
        <x:v>TripBuilderDocument</x:v>
      </x:c>
      <x:c r="F658" s="71" t="str">
        <x:v>Default</x:v>
      </x:c>
      <x:c r="G658" s="71" t="str">
        <x:v>Label</x:v>
      </x:c>
      <x:c r="H658" s="71" t="str">
        <x:v>Ruta más directa</x:v>
      </x:c>
      <x:c r="I658" s="71" t="str">
        <x:v>Ruta más directa</x:v>
      </x:c>
      <x:c r="J658" s="73"/>
      <x:c r="K658" s="74" t="str">
        <x:f>IF(J658="",H658,IF(J658=I658,I658,J658))</x:f>
        <x:v>Ruta más directa</x:v>
      </x:c>
      <x:c r="L658" s="74" t="str">
        <x:f>IF(J658="","Keep current",IF(J658=I658,"Use suggestion","Custom"))</x:f>
        <x:v>Keep current</x:v>
      </x:c>
      <x:c r="M658" s="71" t="str">
        <x:v>Pending review</x:v>
      </x:c>
      <x:c r="N658" s="71" t="str">
        <x:v>Normal</x:v>
      </x:c>
      <x:c r="O658" s="71" t="str">
        <x:v>app/journey/new/trip-builder.tsx</x:v>
      </x:c>
      <x:c r="P658" s="71" t="str">
        <x:v>TripBuilderDocument:1942</x:v>
      </x:c>
      <x:c r="Q658" s="71" t="str">
        <x:v>ES</x:v>
      </x:c>
      <x:c r="R658" s="71" t="str">
        <x:v>Already clear and direct; suggested wording intentionally keeps the current copy.</x:v>
      </x:c>
      <x:c r="S658" s="75" t="str">
        <x:v>Not applied — review required</x:v>
      </x:c>
    </x:row>
    <x:row r="659">
      <x:c r="A659" s="71" t="str">
        <x:v>MRV-25A29D13E0</x:v>
      </x:c>
      <x:c r="B659" s="71" t="str">
        <x:v>Planning</x:v>
      </x:c>
      <x:c r="C659" s="71" t="str">
        <x:v>New trip builder</x:v>
      </x:c>
      <x:c r="D659" s="71" t="str">
        <x:v>/journey/new/trip-builder</x:v>
      </x:c>
      <x:c r="E659" s="71" t="str">
        <x:v>TripBuilderDocument</x:v>
      </x:c>
      <x:c r="F659" s="71" t="str">
        <x:v>Default</x:v>
      </x:c>
      <x:c r="G659" s="71" t="str">
        <x:v>Label</x:v>
      </x:c>
      <x:c r="H659" s="71" t="str">
        <x:v>More direct route</x:v>
      </x:c>
      <x:c r="I659" s="71" t="str">
        <x:v>More direct route</x:v>
      </x:c>
      <x:c r="J659" s="73"/>
      <x:c r="K659" s="74" t="str">
        <x:f>IF(J659="",H659,IF(J659=I659,I659,J659))</x:f>
        <x:v>More direct route</x:v>
      </x:c>
      <x:c r="L659" s="74" t="str">
        <x:f>IF(J659="","Keep current",IF(J659=I659,"Use suggestion","Custom"))</x:f>
        <x:v>Keep current</x:v>
      </x:c>
      <x:c r="M659" s="71" t="str">
        <x:v>Pending review</x:v>
      </x:c>
      <x:c r="N659" s="71" t="str">
        <x:v>Normal</x:v>
      </x:c>
      <x:c r="O659" s="71" t="str">
        <x:v>app/journey/new/trip-builder.tsx</x:v>
      </x:c>
      <x:c r="P659" s="71" t="str">
        <x:v>TripBuilderDocument:1942</x:v>
      </x:c>
      <x:c r="Q659" s="71" t="str">
        <x:v>EN</x:v>
      </x:c>
      <x:c r="R659" s="71" t="str">
        <x:v>Already clear and direct; suggested wording intentionally keeps the current copy.</x:v>
      </x:c>
      <x:c r="S659" s="75" t="str">
        <x:v>Not applied — review required</x:v>
      </x:c>
    </x:row>
    <x:row r="660">
      <x:c r="A660" s="71" t="str">
        <x:v>MRV-780A9E17FC</x:v>
      </x:c>
      <x:c r="B660" s="71" t="str">
        <x:v>Planning</x:v>
      </x:c>
      <x:c r="C660" s="71" t="str">
        <x:v>New trip builder</x:v>
      </x:c>
      <x:c r="D660" s="71" t="str">
        <x:v>/journey/new/trip-builder</x:v>
      </x:c>
      <x:c r="E660" s="71" t="str">
        <x:v>TripBuilderDocument</x:v>
      </x:c>
      <x:c r="F660" s="71" t="str">
        <x:v>Default</x:v>
      </x:c>
      <x:c r="G660" s="71" t="str">
        <x:v>Body copy</x:v>
      </x:c>
      <x:c r="H660" s="71" t="str">
        <x:v>Es una estimación de planificación, no un horario en vivo.</x:v>
      </x:c>
      <x:c r="I660" s="71" t="str">
        <x:v>Es una estimación de planificación, no un horario en vivo.</x:v>
      </x:c>
      <x:c r="J660" s="73"/>
      <x:c r="K660" s="74" t="str">
        <x:f>IF(J660="",H660,IF(J660=I660,I660,J660))</x:f>
        <x:v>Es una estimación de planificación, no un horario en vivo.</x:v>
      </x:c>
      <x:c r="L660" s="74" t="str">
        <x:f>IF(J660="","Keep current",IF(J660=I660,"Use suggestion","Custom"))</x:f>
        <x:v>Keep current</x:v>
      </x:c>
      <x:c r="M660" s="71" t="str">
        <x:v>Pending review</x:v>
      </x:c>
      <x:c r="N660" s="71" t="str">
        <x:v>Normal</x:v>
      </x:c>
      <x:c r="O660" s="71" t="str">
        <x:v>app/journey/new/trip-builder.tsx</x:v>
      </x:c>
      <x:c r="P660" s="71" t="str">
        <x:v>TripBuilderDocument:1942</x:v>
      </x:c>
      <x:c r="Q660" s="71" t="str">
        <x:v>ES</x:v>
      </x:c>
      <x:c r="R660" s="71" t="str">
        <x:v>Already clear and direct; suggested wording intentionally keeps the current copy.</x:v>
      </x:c>
      <x:c r="S660" s="75" t="str">
        <x:v>Not applied — review required</x:v>
      </x:c>
    </x:row>
    <x:row r="661">
      <x:c r="A661" s="71" t="str">
        <x:v>MRV-8E7B8761CD</x:v>
      </x:c>
      <x:c r="B661" s="71" t="str">
        <x:v>Planning</x:v>
      </x:c>
      <x:c r="C661" s="71" t="str">
        <x:v>New trip builder</x:v>
      </x:c>
      <x:c r="D661" s="71" t="str">
        <x:v>/journey/new/trip-builder</x:v>
      </x:c>
      <x:c r="E661" s="71" t="str">
        <x:v>TripBuilderDocument</x:v>
      </x:c>
      <x:c r="F661" s="71" t="str">
        <x:v>Default</x:v>
      </x:c>
      <x:c r="G661" s="71" t="str">
        <x:v>Body copy</x:v>
      </x:c>
      <x:c r="H661" s="71" t="str">
        <x:v>This is a planning estimate, not a live timetable.</x:v>
      </x:c>
      <x:c r="I661" s="71" t="str">
        <x:v>This is a planning estimate, not a live timetable.</x:v>
      </x:c>
      <x:c r="J661" s="73"/>
      <x:c r="K661" s="74" t="str">
        <x:f>IF(J661="",H661,IF(J661=I661,I661,J661))</x:f>
        <x:v>This is a planning estimate, not a live timetable.</x:v>
      </x:c>
      <x:c r="L661" s="74" t="str">
        <x:f>IF(J661="","Keep current",IF(J661=I661,"Use suggestion","Custom"))</x:f>
        <x:v>Keep current</x:v>
      </x:c>
      <x:c r="M661" s="71" t="str">
        <x:v>Pending review</x:v>
      </x:c>
      <x:c r="N661" s="71" t="str">
        <x:v>Normal</x:v>
      </x:c>
      <x:c r="O661" s="71" t="str">
        <x:v>app/journey/new/trip-builder.tsx</x:v>
      </x:c>
      <x:c r="P661" s="71" t="str">
        <x:v>TripBuilderDocument:1942</x:v>
      </x:c>
      <x:c r="Q661" s="71" t="str">
        <x:v>EN</x:v>
      </x:c>
      <x:c r="R661" s="71" t="str">
        <x:v>Already clear and direct; suggested wording intentionally keeps the current copy.</x:v>
      </x:c>
      <x:c r="S661" s="75" t="str">
        <x:v>Not applied — review required</x:v>
      </x:c>
    </x:row>
    <x:row r="662">
      <x:c r="A662" s="71" t="str">
        <x:v>MRV-668B0AB33B</x:v>
      </x:c>
      <x:c r="B662" s="71" t="str">
        <x:v>Planning</x:v>
      </x:c>
      <x:c r="C662" s="71" t="str">
        <x:v>New trip builder</x:v>
      </x:c>
      <x:c r="D662" s="71" t="str">
        <x:v>/journey/new/trip-builder</x:v>
      </x:c>
      <x:c r="E662" s="71" t="str">
        <x:v>TripBuilderDocument</x:v>
      </x:c>
      <x:c r="F662" s="71" t="str">
        <x:v>Default</x:v>
      </x:c>
      <x:c r="G662" s="71" t="str">
        <x:v>Label</x:v>
      </x:c>
      <x:c r="H662" s="71" t="str">
        <x:v>TU ORDEN</x:v>
      </x:c>
      <x:c r="I662" s="71" t="str">
        <x:v>TU ORDEN</x:v>
      </x:c>
      <x:c r="J662" s="73"/>
      <x:c r="K662" s="74" t="str">
        <x:f>IF(J662="",H662,IF(J662=I662,I662,J662))</x:f>
        <x:v>TU ORDEN</x:v>
      </x:c>
      <x:c r="L662" s="74" t="str">
        <x:f>IF(J662="","Keep current",IF(J662=I662,"Use suggestion","Custom"))</x:f>
        <x:v>Keep current</x:v>
      </x:c>
      <x:c r="M662" s="71" t="str">
        <x:v>Pending review</x:v>
      </x:c>
      <x:c r="N662" s="71" t="str">
        <x:v>Normal</x:v>
      </x:c>
      <x:c r="O662" s="71" t="str">
        <x:v>app/journey/new/trip-builder.tsx</x:v>
      </x:c>
      <x:c r="P662" s="71" t="str">
        <x:v>TripBuilderDocument:1943</x:v>
      </x:c>
      <x:c r="Q662" s="71" t="str">
        <x:v>ES</x:v>
      </x:c>
      <x:c r="R662" s="71" t="str">
        <x:v>Already clear and direct; suggested wording intentionally keeps the current copy.</x:v>
      </x:c>
      <x:c r="S662" s="75" t="str">
        <x:v>Not applied — review required</x:v>
      </x:c>
    </x:row>
    <x:row r="663">
      <x:c r="A663" s="71" t="str">
        <x:v>MRV-C039AE1CE6</x:v>
      </x:c>
      <x:c r="B663" s="71" t="str">
        <x:v>Planning</x:v>
      </x:c>
      <x:c r="C663" s="71" t="str">
        <x:v>New trip builder</x:v>
      </x:c>
      <x:c r="D663" s="71" t="str">
        <x:v>/journey/new/trip-builder</x:v>
      </x:c>
      <x:c r="E663" s="71" t="str">
        <x:v>TripBuilderDocument</x:v>
      </x:c>
      <x:c r="F663" s="71" t="str">
        <x:v>Default</x:v>
      </x:c>
      <x:c r="G663" s="71" t="str">
        <x:v>Label</x:v>
      </x:c>
      <x:c r="H663" s="71" t="str">
        <x:v>YOUR ORDER</x:v>
      </x:c>
      <x:c r="I663" s="71" t="str">
        <x:v>YOUR ORDER</x:v>
      </x:c>
      <x:c r="J663" s="73"/>
      <x:c r="K663" s="74" t="str">
        <x:f>IF(J663="",H663,IF(J663=I663,I663,J663))</x:f>
        <x:v>YOUR ORDER</x:v>
      </x:c>
      <x:c r="L663" s="74" t="str">
        <x:f>IF(J663="","Keep current",IF(J663=I663,"Use suggestion","Custom"))</x:f>
        <x:v>Keep current</x:v>
      </x:c>
      <x:c r="M663" s="71" t="str">
        <x:v>Pending review</x:v>
      </x:c>
      <x:c r="N663" s="71" t="str">
        <x:v>Normal</x:v>
      </x:c>
      <x:c r="O663" s="71" t="str">
        <x:v>app/journey/new/trip-builder.tsx</x:v>
      </x:c>
      <x:c r="P663" s="71" t="str">
        <x:v>TripBuilderDocument:1943</x:v>
      </x:c>
      <x:c r="Q663" s="71" t="str">
        <x:v>EN</x:v>
      </x:c>
      <x:c r="R663" s="71" t="str">
        <x:v>Already clear and direct; suggested wording intentionally keeps the current copy.</x:v>
      </x:c>
      <x:c r="S663" s="75" t="str">
        <x:v>Not applied — review required</x:v>
      </x:c>
    </x:row>
    <x:row r="664">
      <x:c r="A664" s="71" t="str">
        <x:v>MRV-AE0D013F97</x:v>
      </x:c>
      <x:c r="B664" s="71" t="str">
        <x:v>Planning</x:v>
      </x:c>
      <x:c r="C664" s="71" t="str">
        <x:v>New trip builder</x:v>
      </x:c>
      <x:c r="D664" s="71" t="str">
        <x:v>/journey/new/trip-builder</x:v>
      </x:c>
      <x:c r="E664" s="71" t="str">
        <x:v>TripBuilderDocument</x:v>
      </x:c>
      <x:c r="F664" s="71" t="str">
        <x:v>Default</x:v>
      </x:c>
      <x:c r="G664" s="71" t="str">
        <x:v>Label</x:v>
      </x:c>
      <x:c r="H664" s="71" t="str">
        <x:v>Mantener la intención</x:v>
      </x:c>
      <x:c r="I664" s="71" t="str">
        <x:v>Mantener la intención</x:v>
      </x:c>
      <x:c r="J664" s="73"/>
      <x:c r="K664" s="74" t="str">
        <x:f>IF(J664="",H664,IF(J664=I664,I664,J664))</x:f>
        <x:v>Mantener la intención</x:v>
      </x:c>
      <x:c r="L664" s="74" t="str">
        <x:f>IF(J664="","Keep current",IF(J664=I664,"Use suggestion","Custom"))</x:f>
        <x:v>Keep current</x:v>
      </x:c>
      <x:c r="M664" s="71" t="str">
        <x:v>Pending review</x:v>
      </x:c>
      <x:c r="N664" s="71" t="str">
        <x:v>Normal</x:v>
      </x:c>
      <x:c r="O664" s="71" t="str">
        <x:v>app/journey/new/trip-builder.tsx</x:v>
      </x:c>
      <x:c r="P664" s="71" t="str">
        <x:v>TripBuilderDocument:1943</x:v>
      </x:c>
      <x:c r="Q664" s="71" t="str">
        <x:v>ES</x:v>
      </x:c>
      <x:c r="R664" s="71" t="str">
        <x:v>Already clear and direct; suggested wording intentionally keeps the current copy.</x:v>
      </x:c>
      <x:c r="S664" s="75" t="str">
        <x:v>Not applied — review required</x:v>
      </x:c>
    </x:row>
    <x:row r="665">
      <x:c r="A665" s="71" t="str">
        <x:v>MRV-1643B0025A</x:v>
      </x:c>
      <x:c r="B665" s="71" t="str">
        <x:v>Planning</x:v>
      </x:c>
      <x:c r="C665" s="71" t="str">
        <x:v>New trip builder</x:v>
      </x:c>
      <x:c r="D665" s="71" t="str">
        <x:v>/journey/new/trip-builder</x:v>
      </x:c>
      <x:c r="E665" s="71" t="str">
        <x:v>TripBuilderDocument</x:v>
      </x:c>
      <x:c r="F665" s="71" t="str">
        <x:v>Default</x:v>
      </x:c>
      <x:c r="G665" s="71" t="str">
        <x:v>Label</x:v>
      </x:c>
      <x:c r="H665" s="71" t="str">
        <x:v>Keep your intended sequence</x:v>
      </x:c>
      <x:c r="I665" s="71" t="str">
        <x:v>Keep your intended sequence</x:v>
      </x:c>
      <x:c r="J665" s="73"/>
      <x:c r="K665" s="74" t="str">
        <x:f>IF(J665="",H665,IF(J665=I665,I665,J665))</x:f>
        <x:v>Keep your intended sequence</x:v>
      </x:c>
      <x:c r="L665" s="74" t="str">
        <x:f>IF(J665="","Keep current",IF(J665=I665,"Use suggestion","Custom"))</x:f>
        <x:v>Keep current</x:v>
      </x:c>
      <x:c r="M665" s="71" t="str">
        <x:v>Pending review</x:v>
      </x:c>
      <x:c r="N665" s="71" t="str">
        <x:v>Normal</x:v>
      </x:c>
      <x:c r="O665" s="71" t="str">
        <x:v>app/journey/new/trip-builder.tsx</x:v>
      </x:c>
      <x:c r="P665" s="71" t="str">
        <x:v>TripBuilderDocument:1943</x:v>
      </x:c>
      <x:c r="Q665" s="71" t="str">
        <x:v>EN</x:v>
      </x:c>
      <x:c r="R665" s="71" t="str">
        <x:v>Already clear and direct; suggested wording intentionally keeps the current copy.</x:v>
      </x:c>
      <x:c r="S665" s="75" t="str">
        <x:v>Not applied — review required</x:v>
      </x:c>
    </x:row>
    <x:row r="666">
      <x:c r="A666" s="71" t="str">
        <x:v>MRV-A406A498A9</x:v>
      </x:c>
      <x:c r="B666" s="71" t="str">
        <x:v>Planning</x:v>
      </x:c>
      <x:c r="C666" s="71" t="str">
        <x:v>New trip builder</x:v>
      </x:c>
      <x:c r="D666" s="71" t="str">
        <x:v>/journey/new/trip-builder</x:v>
      </x:c>
      <x:c r="E666" s="71" t="str">
        <x:v>TripBuilderDocument</x:v>
      </x:c>
      <x:c r="F666" s="71" t="str">
        <x:v>Default</x:v>
      </x:c>
      <x:c r="G666" s="71" t="str">
        <x:v>Body copy</x:v>
      </x:c>
      <x:c r="H666" s="71" t="str">
        <x:v>Conserva el orden que elegiste, con más tiempo de traslado estimado.</x:v>
      </x:c>
      <x:c r="I666" s="71" t="str">
        <x:v>Conserva el orden que elegiste, con más tiempo de traslado estimado.</x:v>
      </x:c>
      <x:c r="J666" s="73"/>
      <x:c r="K666" s="74" t="str">
        <x:f>IF(J666="",H666,IF(J666=I666,I666,J666))</x:f>
        <x:v>Conserva el orden que elegiste, con más tiempo de traslado estimado.</x:v>
      </x:c>
      <x:c r="L666" s="74" t="str">
        <x:f>IF(J666="","Keep current",IF(J666=I666,"Use suggestion","Custom"))</x:f>
        <x:v>Keep current</x:v>
      </x:c>
      <x:c r="M666" s="71" t="str">
        <x:v>Pending review</x:v>
      </x:c>
      <x:c r="N666" s="71" t="str">
        <x:v>Normal</x:v>
      </x:c>
      <x:c r="O666" s="71" t="str">
        <x:v>app/journey/new/trip-builder.tsx</x:v>
      </x:c>
      <x:c r="P666" s="71" t="str">
        <x:v>TripBuilderDocument:1943</x:v>
      </x:c>
      <x:c r="Q666" s="71" t="str">
        <x:v>ES</x:v>
      </x:c>
      <x:c r="R666" s="71" t="str">
        <x:v>Already clear and direct; suggested wording intentionally keeps the current copy.</x:v>
      </x:c>
      <x:c r="S666" s="75" t="str">
        <x:v>Not applied — review required</x:v>
      </x:c>
    </x:row>
    <x:row r="667">
      <x:c r="A667" s="71" t="str">
        <x:v>MRV-6F64E50EB1</x:v>
      </x:c>
      <x:c r="B667" s="71" t="str">
        <x:v>Planning</x:v>
      </x:c>
      <x:c r="C667" s="71" t="str">
        <x:v>New trip builder</x:v>
      </x:c>
      <x:c r="D667" s="71" t="str">
        <x:v>/journey/new/trip-builder</x:v>
      </x:c>
      <x:c r="E667" s="71" t="str">
        <x:v>TripBuilderDocument</x:v>
      </x:c>
      <x:c r="F667" s="71" t="str">
        <x:v>Default</x:v>
      </x:c>
      <x:c r="G667" s="71" t="str">
        <x:v>Body copy</x:v>
      </x:c>
      <x:c r="H667" s="71" t="str">
        <x:v>Preserves the order you chose, with more estimated transfer time.</x:v>
      </x:c>
      <x:c r="I667" s="71" t="str">
        <x:v>Preserves the order you chose, with more estimated transfer time.</x:v>
      </x:c>
      <x:c r="J667" s="73"/>
      <x:c r="K667" s="74" t="str">
        <x:f>IF(J667="",H667,IF(J667=I667,I667,J667))</x:f>
        <x:v>Preserves the order you chose, with more estimated transfer time.</x:v>
      </x:c>
      <x:c r="L667" s="74" t="str">
        <x:f>IF(J667="","Keep current",IF(J667=I667,"Use suggestion","Custom"))</x:f>
        <x:v>Keep current</x:v>
      </x:c>
      <x:c r="M667" s="71" t="str">
        <x:v>Pending review</x:v>
      </x:c>
      <x:c r="N667" s="71" t="str">
        <x:v>Normal</x:v>
      </x:c>
      <x:c r="O667" s="71" t="str">
        <x:v>app/journey/new/trip-builder.tsx</x:v>
      </x:c>
      <x:c r="P667" s="71" t="str">
        <x:v>TripBuilderDocument:1943</x:v>
      </x:c>
      <x:c r="Q667" s="71" t="str">
        <x:v>EN</x:v>
      </x:c>
      <x:c r="R667" s="71" t="str">
        <x:v>Already clear and direct; suggested wording intentionally keeps the current copy.</x:v>
      </x:c>
      <x:c r="S667" s="75" t="str">
        <x:v>Not applied — review required</x:v>
      </x:c>
    </x:row>
    <x:row r="668">
      <x:c r="A668" s="71" t="str">
        <x:v>MRV-D994ABCEAE</x:v>
      </x:c>
      <x:c r="B668" s="71" t="str">
        <x:v>Planning</x:v>
      </x:c>
      <x:c r="C668" s="71" t="str">
        <x:v>New trip builder</x:v>
      </x:c>
      <x:c r="D668" s="71" t="str">
        <x:v>/journey/new/trip-builder</x:v>
      </x:c>
      <x:c r="E668" s="71" t="str">
        <x:v>TripBuilderDocument</x:v>
      </x:c>
      <x:c r="F668" s="71" t="str">
        <x:v>Default</x:v>
      </x:c>
      <x:c r="G668" s="71" t="str">
        <x:v>Label</x:v>
      </x:c>
      <x:c r="H668" s="71" t="str">
        <x:v>STEP 3 OF 3</x:v>
      </x:c>
      <x:c r="I668" s="71" t="str">
        <x:v>STEP 3 OF 3</x:v>
      </x:c>
      <x:c r="J668" s="73"/>
      <x:c r="K668" s="74" t="str">
        <x:f>IF(J668="",H668,IF(J668=I668,I668,J668))</x:f>
        <x:v>STEP 3 OF 3</x:v>
      </x:c>
      <x:c r="L668" s="74" t="str">
        <x:f>IF(J668="","Keep current",IF(J668=I668,"Use suggestion","Custom"))</x:f>
        <x:v>Keep current</x:v>
      </x:c>
      <x:c r="M668" s="71" t="str">
        <x:v>Pending review</x:v>
      </x:c>
      <x:c r="N668" s="71" t="str">
        <x:v>Normal</x:v>
      </x:c>
      <x:c r="O668" s="71" t="str">
        <x:v>app/journey/new/trip-builder.tsx</x:v>
      </x:c>
      <x:c r="P668" s="71" t="str">
        <x:v>TripBuilderDocument:1957</x:v>
      </x:c>
      <x:c r="Q668" s="71" t="str">
        <x:v>EN (default / shared)</x:v>
      </x:c>
      <x:c r="R668" s="71" t="str">
        <x:v>Already clear and direct; suggested wording intentionally keeps the current copy.</x:v>
      </x:c>
      <x:c r="S668" s="75" t="str">
        <x:v>Not applied — review required</x:v>
      </x:c>
    </x:row>
    <x:row r="669">
      <x:c r="A669" s="71" t="str">
        <x:v>MRV-D438005710</x:v>
      </x:c>
      <x:c r="B669" s="71" t="str">
        <x:v>Planning</x:v>
      </x:c>
      <x:c r="C669" s="71" t="str">
        <x:v>New trip builder</x:v>
      </x:c>
      <x:c r="D669" s="71" t="str">
        <x:v>/journey/new/trip-builder</x:v>
      </x:c>
      <x:c r="E669" s="71" t="str">
        <x:v>TripBuilderDocument</x:v>
      </x:c>
      <x:c r="F669" s="71" t="str">
        <x:v>Default</x:v>
      </x:c>
      <x:c r="G669" s="71" t="str">
        <x:v>Body copy</x:v>
      </x:c>
      <x:c r="H669" s="71" t="str">
        <x:v>Una ruta que tiene sentido.</x:v>
      </x:c>
      <x:c r="I669" s="71" t="str">
        <x:v>Una ruta que tiene sentido.</x:v>
      </x:c>
      <x:c r="J669" s="73"/>
      <x:c r="K669" s="74" t="str">
        <x:f>IF(J669="",H669,IF(J669=I669,I669,J669))</x:f>
        <x:v>Una ruta que tiene sentido.</x:v>
      </x:c>
      <x:c r="L669" s="74" t="str">
        <x:f>IF(J669="","Keep current",IF(J669=I669,"Use suggestion","Custom"))</x:f>
        <x:v>Keep current</x:v>
      </x:c>
      <x:c r="M669" s="71" t="str">
        <x:v>Pending review</x:v>
      </x:c>
      <x:c r="N669" s="71" t="str">
        <x:v>Normal</x:v>
      </x:c>
      <x:c r="O669" s="71" t="str">
        <x:v>app/journey/new/trip-builder.tsx</x:v>
      </x:c>
      <x:c r="P669" s="71" t="str">
        <x:v>TripBuilderDocument:1957</x:v>
      </x:c>
      <x:c r="Q669" s="71" t="str">
        <x:v>ES</x:v>
      </x:c>
      <x:c r="R669" s="71" t="str">
        <x:v>Already clear and direct; suggested wording intentionally keeps the current copy.</x:v>
      </x:c>
      <x:c r="S669" s="75" t="str">
        <x:v>Not applied — review required</x:v>
      </x:c>
    </x:row>
    <x:row r="670">
      <x:c r="A670" s="71" t="str">
        <x:v>MRV-CE32C75084</x:v>
      </x:c>
      <x:c r="B670" s="71" t="str">
        <x:v>Planning</x:v>
      </x:c>
      <x:c r="C670" s="71" t="str">
        <x:v>New trip builder</x:v>
      </x:c>
      <x:c r="D670" s="71" t="str">
        <x:v>/journey/new/trip-builder</x:v>
      </x:c>
      <x:c r="E670" s="71" t="str">
        <x:v>TripBuilderDocument</x:v>
      </x:c>
      <x:c r="F670" s="71" t="str">
        <x:v>Default</x:v>
      </x:c>
      <x:c r="G670" s="71" t="str">
        <x:v>Body copy</x:v>
      </x:c>
      <x:c r="H670" s="71" t="str">
        <x:v>A route that makes sense.</x:v>
      </x:c>
      <x:c r="I670" s="71" t="str">
        <x:v>A route that makes sense.</x:v>
      </x:c>
      <x:c r="J670" s="73"/>
      <x:c r="K670" s="74" t="str">
        <x:f>IF(J670="",H670,IF(J670=I670,I670,J670))</x:f>
        <x:v>A route that makes sense.</x:v>
      </x:c>
      <x:c r="L670" s="74" t="str">
        <x:f>IF(J670="","Keep current",IF(J670=I670,"Use suggestion","Custom"))</x:f>
        <x:v>Keep current</x:v>
      </x:c>
      <x:c r="M670" s="71" t="str">
        <x:v>Pending review</x:v>
      </x:c>
      <x:c r="N670" s="71" t="str">
        <x:v>Normal</x:v>
      </x:c>
      <x:c r="O670" s="71" t="str">
        <x:v>app/journey/new/trip-builder.tsx</x:v>
      </x:c>
      <x:c r="P670" s="71" t="str">
        <x:v>TripBuilderDocument:1957</x:v>
      </x:c>
      <x:c r="Q670" s="71" t="str">
        <x:v>EN</x:v>
      </x:c>
      <x:c r="R670" s="71" t="str">
        <x:v>Already clear and direct; suggested wording intentionally keeps the current copy.</x:v>
      </x:c>
      <x:c r="S670" s="75" t="str">
        <x:v>Not applied — review required</x:v>
      </x:c>
    </x:row>
    <x:row r="671">
      <x:c r="A671" s="71" t="str">
        <x:v>MRV-B8BA45B5CA</x:v>
      </x:c>
      <x:c r="B671" s="71" t="str">
        <x:v>Planning</x:v>
      </x:c>
      <x:c r="C671" s="71" t="str">
        <x:v>New trip builder</x:v>
      </x:c>
      <x:c r="D671" s="71" t="str">
        <x:v>/journey/new/trip-builder</x:v>
      </x:c>
      <x:c r="E671" s="71" t="str">
        <x:v>TripBuilderDocument</x:v>
      </x:c>
      <x:c r="F671" s="71" t="str">
        <x:v>Default</x:v>
      </x:c>
      <x:c r="G671" s="71" t="str">
        <x:v>Body copy</x:v>
      </x:c>
      <x:c r="H671" s="71" t="str">
        <x:v>Hemos comprobado el orden y mostraremos una alternativa más directa cuando la haya. Tú decides si aplicarla.</x:v>
      </x:c>
      <x:c r="I671" s="71" t="str">
        <x:v>Hemos comprobado el orden y mostraremos una alternativa más directa cuando la haya. Tú decides si aplicarla.</x:v>
      </x:c>
      <x:c r="J671" s="73"/>
      <x:c r="K671" s="74" t="str">
        <x:f>IF(J671="",H671,IF(J671=I671,I671,J671))</x:f>
        <x:v>Hemos comprobado el orden y mostraremos una alternativa más directa cuando la haya. Tú decides si aplicarla.</x:v>
      </x:c>
      <x:c r="L671" s="74" t="str">
        <x:f>IF(J671="","Keep current",IF(J671=I671,"Use suggestion","Custom"))</x:f>
        <x:v>Keep current</x:v>
      </x:c>
      <x:c r="M671" s="71" t="str">
        <x:v>Pending review</x:v>
      </x:c>
      <x:c r="N671" s="71" t="str">
        <x:v>Normal</x:v>
      </x:c>
      <x:c r="O671" s="71" t="str">
        <x:v>app/journey/new/trip-builder.tsx</x:v>
      </x:c>
      <x:c r="P671" s="71" t="str">
        <x:v>TripBuilderDocument:1957</x:v>
      </x:c>
      <x:c r="Q671" s="71" t="str">
        <x:v>ES</x:v>
      </x:c>
      <x:c r="R671" s="71" t="str">
        <x:v>Already clear and direct; suggested wording intentionally keeps the current copy.</x:v>
      </x:c>
      <x:c r="S671" s="75" t="str">
        <x:v>Not applied — review required</x:v>
      </x:c>
    </x:row>
    <x:row r="672">
      <x:c r="A672" s="71" t="str">
        <x:v>MRV-EB5147C114</x:v>
      </x:c>
      <x:c r="B672" s="71" t="str">
        <x:v>Planning</x:v>
      </x:c>
      <x:c r="C672" s="71" t="str">
        <x:v>New trip builder</x:v>
      </x:c>
      <x:c r="D672" s="71" t="str">
        <x:v>/journey/new/trip-builder</x:v>
      </x:c>
      <x:c r="E672" s="71" t="str">
        <x:v>TripBuilderDocument</x:v>
      </x:c>
      <x:c r="F672" s="71" t="str">
        <x:v>Default</x:v>
      </x:c>
      <x:c r="G672" s="71" t="str">
        <x:v>Body copy</x:v>
      </x:c>
      <x:c r="H672" s="71" t="str">
        <x:v>We’ve checked the order and will show a cleaner alternative when there is one. You choose whether to apply it.</x:v>
      </x:c>
      <x:c r="I672" s="71" t="str">
        <x:v>We’ve checked the order and will show a cleaner alternative when there is one. You choose whether to apply it.</x:v>
      </x:c>
      <x:c r="J672" s="73"/>
      <x:c r="K672" s="74" t="str">
        <x:f>IF(J672="",H672,IF(J672=I672,I672,J672))</x:f>
        <x:v>We’ve checked the order and will show a cleaner alternative when there is one. You choose whether to apply it.</x:v>
      </x:c>
      <x:c r="L672" s="74" t="str">
        <x:f>IF(J672="","Keep current",IF(J672=I672,"Use suggestion","Custom"))</x:f>
        <x:v>Keep current</x:v>
      </x:c>
      <x:c r="M672" s="71" t="str">
        <x:v>Pending review</x:v>
      </x:c>
      <x:c r="N672" s="71" t="str">
        <x:v>Normal</x:v>
      </x:c>
      <x:c r="O672" s="71" t="str">
        <x:v>app/journey/new/trip-builder.tsx</x:v>
      </x:c>
      <x:c r="P672" s="71" t="str">
        <x:v>TripBuilderDocument:1957</x:v>
      </x:c>
      <x:c r="Q672" s="71" t="str">
        <x:v>EN</x:v>
      </x:c>
      <x:c r="R672" s="71" t="str">
        <x:v>Already clear and direct; suggested wording intentionally keeps the current copy.</x:v>
      </x:c>
      <x:c r="S672" s="75" t="str">
        <x:v>Not applied — review required</x:v>
      </x:c>
    </x:row>
    <x:row r="673">
      <x:c r="A673" s="71" t="str">
        <x:v>MRV-245AC4BB97</x:v>
      </x:c>
      <x:c r="B673" s="71" t="str">
        <x:v>Planning</x:v>
      </x:c>
      <x:c r="C673" s="71" t="str">
        <x:v>New trip builder</x:v>
      </x:c>
      <x:c r="D673" s="71" t="str">
        <x:v>/journey/new/trip-builder</x:v>
      </x:c>
      <x:c r="E673" s="71" t="str">
        <x:v>TripBuilderDocument</x:v>
      </x:c>
      <x:c r="F673" s="71" t="str">
        <x:v>Accessibility / input support</x:v>
      </x:c>
      <x:c r="G673" s="71" t="str">
        <x:v>Accessibility label</x:v>
      </x:c>
      <x:c r="H673" s="71" t="str">
        <x:v>Ruta recomendada</x:v>
      </x:c>
      <x:c r="I673" s="71" t="str">
        <x:v>Ruta recomendada</x:v>
      </x:c>
      <x:c r="J673" s="73"/>
      <x:c r="K673" s="74" t="str">
        <x:f>IF(J673="",H673,IF(J673=I673,I673,J673))</x:f>
        <x:v>Ruta recomendada</x:v>
      </x:c>
      <x:c r="L673" s="74" t="str">
        <x:f>IF(J673="","Keep current",IF(J673=I673,"Use suggestion","Custom"))</x:f>
        <x:v>Keep current</x:v>
      </x:c>
      <x:c r="M673" s="71" t="str">
        <x:v>Pending review</x:v>
      </x:c>
      <x:c r="N673" s="71" t="str">
        <x:v>Medium</x:v>
      </x:c>
      <x:c r="O673" s="71" t="str">
        <x:v>app/journey/new/trip-builder.tsx</x:v>
      </x:c>
      <x:c r="P673" s="71" t="str">
        <x:v>TripBuilderDocument:1958</x:v>
      </x:c>
      <x:c r="Q673" s="71" t="str">
        <x:v>ES</x:v>
      </x:c>
      <x:c r="R673" s="71" t="str">
        <x:v>Already clear and direct; suggested wording intentionally keeps the current copy.</x:v>
      </x:c>
      <x:c r="S673" s="75" t="str">
        <x:v>Not applied — review required</x:v>
      </x:c>
    </x:row>
    <x:row r="674">
      <x:c r="A674" s="71" t="str">
        <x:v>MRV-E1B607F976</x:v>
      </x:c>
      <x:c r="B674" s="71" t="str">
        <x:v>Planning</x:v>
      </x:c>
      <x:c r="C674" s="71" t="str">
        <x:v>New trip builder</x:v>
      </x:c>
      <x:c r="D674" s="71" t="str">
        <x:v>/journey/new/trip-builder</x:v>
      </x:c>
      <x:c r="E674" s="71" t="str">
        <x:v>TripBuilderDocument</x:v>
      </x:c>
      <x:c r="F674" s="71" t="str">
        <x:v>Accessibility / input support</x:v>
      </x:c>
      <x:c r="G674" s="71" t="str">
        <x:v>Accessibility label</x:v>
      </x:c>
      <x:c r="H674" s="71" t="str">
        <x:v>Recommended route</x:v>
      </x:c>
      <x:c r="I674" s="71" t="str">
        <x:v>Recommended route</x:v>
      </x:c>
      <x:c r="J674" s="73"/>
      <x:c r="K674" s="74" t="str">
        <x:f>IF(J674="",H674,IF(J674=I674,I674,J674))</x:f>
        <x:v>Recommended route</x:v>
      </x:c>
      <x:c r="L674" s="74" t="str">
        <x:f>IF(J674="","Keep current",IF(J674=I674,"Use suggestion","Custom"))</x:f>
        <x:v>Keep current</x:v>
      </x:c>
      <x:c r="M674" s="71" t="str">
        <x:v>Pending review</x:v>
      </x:c>
      <x:c r="N674" s="71" t="str">
        <x:v>Medium</x:v>
      </x:c>
      <x:c r="O674" s="71" t="str">
        <x:v>app/journey/new/trip-builder.tsx</x:v>
      </x:c>
      <x:c r="P674" s="71" t="str">
        <x:v>TripBuilderDocument:1958</x:v>
      </x:c>
      <x:c r="Q674" s="71" t="str">
        <x:v>EN</x:v>
      </x:c>
      <x:c r="R674" s="71" t="str">
        <x:v>Already clear and direct; suggested wording intentionally keeps the current copy.</x:v>
      </x:c>
      <x:c r="S674" s="75" t="str">
        <x:v>Not applied — review required</x:v>
      </x:c>
    </x:row>
    <x:row r="675">
      <x:c r="A675" s="71" t="str">
        <x:v>MRV-1E85B023E8</x:v>
      </x:c>
      <x:c r="B675" s="71" t="str">
        <x:v>Planning</x:v>
      </x:c>
      <x:c r="C675" s="71" t="str">
        <x:v>New trip builder</x:v>
      </x:c>
      <x:c r="D675" s="71" t="str">
        <x:v>/journey/new/trip-builder</x:v>
      </x:c>
      <x:c r="E675" s="71" t="str">
        <x:v>routeArrivalDate</x:v>
      </x:c>
      <x:c r="F675" s="71" t="str">
        <x:v>Default</x:v>
      </x:c>
      <x:c r="G675" s="71" t="str">
        <x:v>Label</x:v>
      </x:c>
      <x:c r="H675" s="71" t="str">
        <x:v>{startDate}T00:00:00</x:v>
      </x:c>
      <x:c r="I675" s="71" t="str">
        <x:v>{startDate}T00:00:00</x:v>
      </x:c>
      <x:c r="J675" s="73"/>
      <x:c r="K675" s="74" t="str">
        <x:f>IF(J675="",H675,IF(J675=I675,I675,J675))</x:f>
        <x:v>{startDate}T00:00:00</x:v>
      </x:c>
      <x:c r="L675" s="74" t="str">
        <x:f>IF(J675="","Keep current",IF(J675=I675,"Use suggestion","Custom"))</x:f>
        <x:v>Keep current</x:v>
      </x:c>
      <x:c r="M675" s="71" t="str">
        <x:v>Pending review</x:v>
      </x:c>
      <x:c r="N675" s="71" t="str">
        <x:v>Normal</x:v>
      </x:c>
      <x:c r="O675" s="71" t="str">
        <x:v>app/journey/new/trip-builder.tsx</x:v>
      </x:c>
      <x:c r="P675" s="71" t="str">
        <x:v>routeArrivalDate:1963</x:v>
      </x:c>
      <x:c r="Q675" s="71" t="str">
        <x:v>EN (default / shared)</x:v>
      </x:c>
      <x:c r="R675" s="71" t="str">
        <x:v>Already clear and direct; suggested wording intentionally keeps the current copy. Duplicate wording: appears 5 times. Dynamic traveller or trip value is represented as a token; user-generated values are excluded.</x:v>
      </x:c>
      <x:c r="S675" s="75" t="str">
        <x:v>Not applied — review required</x:v>
      </x:c>
    </x:row>
    <x:row r="676">
      <x:c r="A676" s="71" t="str">
        <x:v>MRV-2D18484082</x:v>
      </x:c>
      <x:c r="B676" s="71" t="str">
        <x:v>Planning</x:v>
      </x:c>
      <x:c r="C676" s="71" t="str">
        <x:v>New trip builder</x:v>
      </x:c>
      <x:c r="D676" s="71" t="str">
        <x:v>/journey/new/trip-builder</x:v>
      </x:c>
      <x:c r="E676" s="71" t="str">
        <x:v>departure</x:v>
      </x:c>
      <x:c r="F676" s="71" t="str">
        <x:v>Default</x:v>
      </x:c>
      <x:c r="G676" s="71" t="str">
        <x:v>Label</x:v>
      </x:c>
      <x:c r="H676" s="71" t="str">
        <x:v>{arrival}T00:00:00</x:v>
      </x:c>
      <x:c r="I676" s="71" t="str">
        <x:v>{arrival}T00:00:00</x:v>
      </x:c>
      <x:c r="J676" s="73"/>
      <x:c r="K676" s="74" t="str">
        <x:f>IF(J676="",H676,IF(J676=I676,I676,J676))</x:f>
        <x:v>{arrival}T00:00:00</x:v>
      </x:c>
      <x:c r="L676" s="74" t="str">
        <x:f>IF(J676="","Keep current",IF(J676=I676,"Use suggestion","Custom"))</x:f>
        <x:v>Keep current</x:v>
      </x:c>
      <x:c r="M676" s="71" t="str">
        <x:v>Pending review</x:v>
      </x:c>
      <x:c r="N676" s="71" t="str">
        <x:v>Normal</x:v>
      </x:c>
      <x:c r="O676" s="71" t="str">
        <x:v>app/journey/new/trip-builder.tsx</x:v>
      </x:c>
      <x:c r="P676" s="71" t="str">
        <x:v>departure:1966</x:v>
      </x:c>
      <x:c r="Q676" s="71" t="str">
        <x:v>EN (default / shared)</x:v>
      </x:c>
      <x:c r="R676" s="71" t="str">
        <x:v>Already clear and direct; suggested wording intentionally keeps the current copy. Dynamic traveller or trip value is represented as a token; user-generated values are excluded.</x:v>
      </x:c>
      <x:c r="S676" s="75" t="str">
        <x:v>Not applied — review required</x:v>
      </x:c>
    </x:row>
    <x:row r="677">
      <x:c r="A677" s="71" t="str">
        <x:v>MRV-52588E9CDB</x:v>
      </x:c>
      <x:c r="B677" s="71" t="str">
        <x:v>Planning</x:v>
      </x:c>
      <x:c r="C677" s="71" t="str">
        <x:v>New trip builder</x:v>
      </x:c>
      <x:c r="D677" s="71" t="str">
        <x:v>/journey/new/trip-builder</x:v>
      </x:c>
      <x:c r="E677" s="71" t="str">
        <x:v>durationReason</x:v>
      </x:c>
      <x:c r="F677" s="71" t="str">
        <x:v>Default</x:v>
      </x:c>
      <x:c r="G677" s="71" t="str">
        <x:v>Body copy</x:v>
      </x:c>
      <x:c r="H677" s="71" t="str">
        <x:v>Tiempo suficiente para instalarte y disfrutar del lugar.</x:v>
      </x:c>
      <x:c r="I677" s="71" t="str">
        <x:v>Tiempo suficiente para instalarte y disfrutar del lugar.</x:v>
      </x:c>
      <x:c r="J677" s="73"/>
      <x:c r="K677" s="74" t="str">
        <x:f>IF(J677="",H677,IF(J677=I677,I677,J677))</x:f>
        <x:v>Tiempo suficiente para instalarte y disfrutar del lugar.</x:v>
      </x:c>
      <x:c r="L677" s="74" t="str">
        <x:f>IF(J677="","Keep current",IF(J677=I677,"Use suggestion","Custom"))</x:f>
        <x:v>Keep current</x:v>
      </x:c>
      <x:c r="M677" s="71" t="str">
        <x:v>Pending review</x:v>
      </x:c>
      <x:c r="N677" s="71" t="str">
        <x:v>Normal</x:v>
      </x:c>
      <x:c r="O677" s="71" t="str">
        <x:v>app/journey/new/trip-builder.tsx</x:v>
      </x:c>
      <x:c r="P677" s="71" t="str">
        <x:v>durationReason:1970</x:v>
      </x:c>
      <x:c r="Q677" s="71" t="str">
        <x:v>ES</x:v>
      </x:c>
      <x:c r="R677" s="71" t="str">
        <x:v>Already clear and direct; suggested wording intentionally keeps the current copy.</x:v>
      </x:c>
      <x:c r="S677" s="75" t="str">
        <x:v>Not applied — review required</x:v>
      </x:c>
    </x:row>
    <x:row r="678">
      <x:c r="A678" s="71" t="str">
        <x:v>MRV-D6570C831F</x:v>
      </x:c>
      <x:c r="B678" s="71" t="str">
        <x:v>Planning</x:v>
      </x:c>
      <x:c r="C678" s="71" t="str">
        <x:v>New trip builder</x:v>
      </x:c>
      <x:c r="D678" s="71" t="str">
        <x:v>/journey/new/trip-builder</x:v>
      </x:c>
      <x:c r="E678" s="71" t="str">
        <x:v>durationReason</x:v>
      </x:c>
      <x:c r="F678" s="71" t="str">
        <x:v>Default</x:v>
      </x:c>
      <x:c r="G678" s="71" t="str">
        <x:v>Body copy</x:v>
      </x:c>
      <x:c r="H678" s="71" t="str">
        <x:v>Enough time to settle in and experience the place.</x:v>
      </x:c>
      <x:c r="I678" s="71" t="str">
        <x:v>Enough time to settle in and experience the place.</x:v>
      </x:c>
      <x:c r="J678" s="73"/>
      <x:c r="K678" s="74" t="str">
        <x:f>IF(J678="",H678,IF(J678=I678,I678,J678))</x:f>
        <x:v>Enough time to settle in and experience the place.</x:v>
      </x:c>
      <x:c r="L678" s="74" t="str">
        <x:f>IF(J678="","Keep current",IF(J678=I678,"Use suggestion","Custom"))</x:f>
        <x:v>Keep current</x:v>
      </x:c>
      <x:c r="M678" s="71" t="str">
        <x:v>Pending review</x:v>
      </x:c>
      <x:c r="N678" s="71" t="str">
        <x:v>Normal</x:v>
      </x:c>
      <x:c r="O678" s="71" t="str">
        <x:v>app/journey/new/trip-builder.tsx</x:v>
      </x:c>
      <x:c r="P678" s="71" t="str">
        <x:v>durationReason:1970</x:v>
      </x:c>
      <x:c r="Q678" s="71" t="str">
        <x:v>EN</x:v>
      </x:c>
      <x:c r="R678" s="71" t="str">
        <x:v>Already clear and direct; suggested wording intentionally keeps the current copy. Terminology watch: ‘trip’ and ‘journey’ both describe the same plan. Terminology watch: ‘stops’, ‘destinations’ and ‘places’ overlap.</x:v>
      </x:c>
      <x:c r="S678" s="75" t="str">
        <x:v>Not applied — review required</x:v>
      </x:c>
    </x:row>
    <x:row r="679">
      <x:c r="A679" s="71" t="str">
        <x:v>MRV-887E1668CD</x:v>
      </x:c>
      <x:c r="B679" s="71" t="str">
        <x:v>Planning</x:v>
      </x:c>
      <x:c r="C679" s="71" t="str">
        <x:v>New trip builder</x:v>
      </x:c>
      <x:c r="D679" s="71" t="str">
        <x:v>/journey/new/trip-builder</x:v>
      </x:c>
      <x:c r="E679" s="71" t="str">
        <x:v>TripBuilderDocument</x:v>
      </x:c>
      <x:c r="F679" s="71" t="str">
        <x:v>Default</x:v>
      </x:c>
      <x:c r="G679" s="71" t="str">
        <x:v>Label</x:v>
      </x:c>
      <x:c r="H679" s="71" t="str">
        <x:v>verified stop</x:v>
      </x:c>
      <x:c r="I679" s="71" t="str">
        <x:v>verified stop</x:v>
      </x:c>
      <x:c r="J679" s="73"/>
      <x:c r="K679" s="74" t="str">
        <x:f>IF(J679="",H679,IF(J679=I679,I679,J679))</x:f>
        <x:v>verified stop</x:v>
      </x:c>
      <x:c r="L679" s="74" t="str">
        <x:f>IF(J679="","Keep current",IF(J679=I679,"Use suggestion","Custom"))</x:f>
        <x:v>Keep current</x:v>
      </x:c>
      <x:c r="M679" s="71" t="str">
        <x:v>Pending review</x:v>
      </x:c>
      <x:c r="N679" s="71" t="str">
        <x:v>Normal</x:v>
      </x:c>
      <x:c r="O679" s="71" t="str">
        <x:v>app/journey/new/trip-builder.tsx</x:v>
      </x:c>
      <x:c r="P679" s="71" t="str">
        <x:v>TripBuilderDocument:1974</x:v>
      </x:c>
      <x:c r="Q679" s="71" t="str">
        <x:v>EN (default / shared)</x:v>
      </x:c>
      <x:c r="R679" s="71" t="str">
        <x:v>Already clear and direct; suggested wording intentionally keeps the current copy. Duplicate wording: appears 2 times. Terminology watch: ‘trip’ and ‘journey’ both describe the same plan. Terminology watch: ‘stops’, ‘destinations’ and ‘places’ overlap.</x:v>
      </x:c>
      <x:c r="S679" s="75" t="str">
        <x:v>Not applied — review required</x:v>
      </x:c>
    </x:row>
    <x:row r="680">
      <x:c r="A680" s="71" t="str">
        <x:v>MRV-6A5499C573</x:v>
      </x:c>
      <x:c r="B680" s="71" t="str">
        <x:v>Planning</x:v>
      </x:c>
      <x:c r="C680" s="71" t="str">
        <x:v>New trip builder</x:v>
      </x:c>
      <x:c r="D680" s="71" t="str">
        <x:v>/journey/new/trip-builder</x:v>
      </x:c>
      <x:c r="E680" s="71" t="str">
        <x:v>TripBuilderDocument</x:v>
      </x:c>
      <x:c r="F680" s="71" t="str">
        <x:v>Accessibility / input support</x:v>
      </x:c>
      <x:c r="G680" s="71" t="str">
        <x:v>Accessibility label</x:v>
      </x:c>
      <x:c r="H680" s="71" t="str">
        <x:v>Nights in {stop.name}</x:v>
      </x:c>
      <x:c r="I680" s="71" t="str">
        <x:v>Nights in {stop.name}</x:v>
      </x:c>
      <x:c r="J680" s="73"/>
      <x:c r="K680" s="74" t="str">
        <x:f>IF(J680="",H680,IF(J680=I680,I680,J680))</x:f>
        <x:v>Nights in {stop.name}</x:v>
      </x:c>
      <x:c r="L680" s="74" t="str">
        <x:f>IF(J680="","Keep current",IF(J680=I680,"Use suggestion","Custom"))</x:f>
        <x:v>Keep current</x:v>
      </x:c>
      <x:c r="M680" s="71" t="str">
        <x:v>Pending review</x:v>
      </x:c>
      <x:c r="N680" s="71" t="str">
        <x:v>Medium</x:v>
      </x:c>
      <x:c r="O680" s="71" t="str">
        <x:v>app/journey/new/trip-builder.tsx</x:v>
      </x:c>
      <x:c r="P680" s="71" t="str">
        <x:v>TripBuilderDocument:1975</x:v>
      </x:c>
      <x:c r="Q680" s="71" t="str">
        <x:v>EN (default / shared)</x:v>
      </x:c>
      <x:c r="R680"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680" s="75" t="str">
        <x:v>Not applied — review required</x:v>
      </x:c>
    </x:row>
    <x:row r="681">
      <x:c r="A681" s="71" t="str">
        <x:v>MRV-760DA191DD</x:v>
      </x:c>
      <x:c r="B681" s="71" t="str">
        <x:v>Planning</x:v>
      </x:c>
      <x:c r="C681" s="71" t="str">
        <x:v>New trip builder</x:v>
      </x:c>
      <x:c r="D681" s="71" t="str">
        <x:v>/journey/new/trip-builder</x:v>
      </x:c>
      <x:c r="E681" s="71" t="str">
        <x:v>TripBuilderDocument</x:v>
      </x:c>
      <x:c r="F681" s="71" t="str">
        <x:v>Accessibility / input support</x:v>
      </x:c>
      <x:c r="G681" s="71" t="str">
        <x:v>Accessibility label</x:v>
      </x:c>
      <x:c r="H681" s="71" t="str">
        <x:v>Move {stop.name} up</x:v>
      </x:c>
      <x:c r="I681" s="71" t="str">
        <x:v>Move {stop.name} up</x:v>
      </x:c>
      <x:c r="J681" s="73"/>
      <x:c r="K681" s="74" t="str">
        <x:f>IF(J681="",H681,IF(J681=I681,I681,J681))</x:f>
        <x:v>Move {stop.name} up</x:v>
      </x:c>
      <x:c r="L681" s="74" t="str">
        <x:f>IF(J681="","Keep current",IF(J681=I681,"Use suggestion","Custom"))</x:f>
        <x:v>Keep current</x:v>
      </x:c>
      <x:c r="M681" s="71" t="str">
        <x:v>Pending review</x:v>
      </x:c>
      <x:c r="N681" s="71" t="str">
        <x:v>Medium</x:v>
      </x:c>
      <x:c r="O681" s="71" t="str">
        <x:v>app/journey/new/trip-builder.tsx</x:v>
      </x:c>
      <x:c r="P681" s="71" t="str">
        <x:v>TripBuilderDocument:1977</x:v>
      </x:c>
      <x:c r="Q681" s="71" t="str">
        <x:v>EN (default / shared)</x:v>
      </x:c>
      <x:c r="R681"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681" s="75" t="str">
        <x:v>Not applied — review required</x:v>
      </x:c>
    </x:row>
    <x:row r="682">
      <x:c r="A682" s="71" t="str">
        <x:v>MRV-98EE4E05B7</x:v>
      </x:c>
      <x:c r="B682" s="71" t="str">
        <x:v>Planning</x:v>
      </x:c>
      <x:c r="C682" s="71" t="str">
        <x:v>New trip builder</x:v>
      </x:c>
      <x:c r="D682" s="71" t="str">
        <x:v>/journey/new/trip-builder</x:v>
      </x:c>
      <x:c r="E682" s="71" t="str">
        <x:v>TripBuilderDocument</x:v>
      </x:c>
      <x:c r="F682" s="71" t="str">
        <x:v>Accessibility / input support</x:v>
      </x:c>
      <x:c r="G682" s="71" t="str">
        <x:v>Accessibility label</x:v>
      </x:c>
      <x:c r="H682" s="71" t="str">
        <x:v>Move {stop.name} down</x:v>
      </x:c>
      <x:c r="I682" s="71" t="str">
        <x:v>Move {stop.name} down</x:v>
      </x:c>
      <x:c r="J682" s="73"/>
      <x:c r="K682" s="74" t="str">
        <x:f>IF(J682="",H682,IF(J682=I682,I682,J682))</x:f>
        <x:v>Move {stop.name} down</x:v>
      </x:c>
      <x:c r="L682" s="74" t="str">
        <x:f>IF(J682="","Keep current",IF(J682=I682,"Use suggestion","Custom"))</x:f>
        <x:v>Keep current</x:v>
      </x:c>
      <x:c r="M682" s="71" t="str">
        <x:v>Pending review</x:v>
      </x:c>
      <x:c r="N682" s="71" t="str">
        <x:v>Medium</x:v>
      </x:c>
      <x:c r="O682" s="71" t="str">
        <x:v>app/journey/new/trip-builder.tsx</x:v>
      </x:c>
      <x:c r="P682" s="71" t="str">
        <x:v>TripBuilderDocument:1977</x:v>
      </x:c>
      <x:c r="Q682" s="71" t="str">
        <x:v>EN (default / shared)</x:v>
      </x:c>
      <x:c r="R682"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682" s="75" t="str">
        <x:v>Not applied — review required</x:v>
      </x:c>
    </x:row>
    <x:row r="683">
      <x:c r="A683" s="71" t="str">
        <x:v>MRV-D0BD46EBBA</x:v>
      </x:c>
      <x:c r="B683" s="71" t="str">
        <x:v>Planning</x:v>
      </x:c>
      <x:c r="C683" s="71" t="str">
        <x:v>New trip builder</x:v>
      </x:c>
      <x:c r="D683" s="71" t="str">
        <x:v>/journey/new/trip-builder</x:v>
      </x:c>
      <x:c r="E683" s="71" t="str">
        <x:v>TripBuilderDocument</x:v>
      </x:c>
      <x:c r="F683" s="71" t="str">
        <x:v>Default</x:v>
      </x:c>
      <x:c r="G683" s="71" t="str">
        <x:v>Label</x:v>
      </x:c>
      <x:c r="H683" s="71" t="str">
        <x:v>Quitar</x:v>
      </x:c>
      <x:c r="I683" s="71" t="str">
        <x:v>Quitar</x:v>
      </x:c>
      <x:c r="J683" s="73"/>
      <x:c r="K683" s="74" t="str">
        <x:f>IF(J683="",H683,IF(J683=I683,I683,J683))</x:f>
        <x:v>Quitar</x:v>
      </x:c>
      <x:c r="L683" s="74" t="str">
        <x:f>IF(J683="","Keep current",IF(J683=I683,"Use suggestion","Custom"))</x:f>
        <x:v>Keep current</x:v>
      </x:c>
      <x:c r="M683" s="71" t="str">
        <x:v>Pending review</x:v>
      </x:c>
      <x:c r="N683" s="71" t="str">
        <x:v>Normal</x:v>
      </x:c>
      <x:c r="O683" s="71" t="str">
        <x:v>app/journey/new/trip-builder.tsx</x:v>
      </x:c>
      <x:c r="P683" s="71" t="str">
        <x:v>TripBuilderDocument:1977</x:v>
      </x:c>
      <x:c r="Q683" s="71" t="str">
        <x:v>ES</x:v>
      </x:c>
      <x:c r="R683" s="71" t="str">
        <x:v>Already clear and direct; suggested wording intentionally keeps the current copy. Duplicate wording: appears 3 times.</x:v>
      </x:c>
      <x:c r="S683" s="75" t="str">
        <x:v>Not applied — review required</x:v>
      </x:c>
    </x:row>
    <x:row r="684">
      <x:c r="A684" s="71" t="str">
        <x:v>MRV-DB4E90A05F</x:v>
      </x:c>
      <x:c r="B684" s="71" t="str">
        <x:v>Planning</x:v>
      </x:c>
      <x:c r="C684" s="71" t="str">
        <x:v>New trip builder</x:v>
      </x:c>
      <x:c r="D684" s="71" t="str">
        <x:v>/journey/new/trip-builder</x:v>
      </x:c>
      <x:c r="E684" s="71" t="str">
        <x:v>TripBuilderDocument</x:v>
      </x:c>
      <x:c r="F684" s="71" t="str">
        <x:v>Default</x:v>
      </x:c>
      <x:c r="G684" s="71" t="str">
        <x:v>CTA / button</x:v>
      </x:c>
      <x:c r="H684" s="71" t="str">
        <x:v>Remove</x:v>
      </x:c>
      <x:c r="I684" s="71" t="str">
        <x:v>Remove</x:v>
      </x:c>
      <x:c r="J684" s="73"/>
      <x:c r="K684" s="74" t="str">
        <x:f>IF(J684="",H684,IF(J684=I684,I684,J684))</x:f>
        <x:v>Remove</x:v>
      </x:c>
      <x:c r="L684" s="74" t="str">
        <x:f>IF(J684="","Keep current",IF(J684=I684,"Use suggestion","Custom"))</x:f>
        <x:v>Keep current</x:v>
      </x:c>
      <x:c r="M684" s="71" t="str">
        <x:v>Pending review</x:v>
      </x:c>
      <x:c r="N684" s="71" t="str">
        <x:v>Medium</x:v>
      </x:c>
      <x:c r="O684" s="71" t="str">
        <x:v>app/journey/new/trip-builder.tsx</x:v>
      </x:c>
      <x:c r="P684" s="71" t="str">
        <x:v>TripBuilderDocument:1977</x:v>
      </x:c>
      <x:c r="Q684" s="71" t="str">
        <x:v>EN</x:v>
      </x:c>
      <x:c r="R684" s="71" t="str">
        <x:v>Already clear and direct; suggested wording intentionally keeps the current copy. Duplicate wording: appears 3 times.</x:v>
      </x:c>
      <x:c r="S684" s="75" t="str">
        <x:v>Not applied — review required</x:v>
      </x:c>
    </x:row>
    <x:row r="685">
      <x:c r="A685" s="71" t="str">
        <x:v>MRV-474C50303E</x:v>
      </x:c>
      <x:c r="B685" s="71" t="str">
        <x:v>Planning</x:v>
      </x:c>
      <x:c r="C685" s="71" t="str">
        <x:v>New trip builder</x:v>
      </x:c>
      <x:c r="D685" s="71" t="str">
        <x:v>/journey/new/trip-builder</x:v>
      </x:c>
      <x:c r="E685" s="71" t="str">
        <x:v>TripBuilderDocument</x:v>
      </x:c>
      <x:c r="F685" s="71" t="str">
        <x:v>Default</x:v>
      </x:c>
      <x:c r="G685" s="71" t="str">
        <x:v>Label</x:v>
      </x:c>
      <x:c r="H685" s="71" t="str">
        <x:v>Listo</x:v>
      </x:c>
      <x:c r="I685" s="71" t="str">
        <x:v>Listo</x:v>
      </x:c>
      <x:c r="J685" s="73"/>
      <x:c r="K685" s="74" t="str">
        <x:f>IF(J685="",H685,IF(J685=I685,I685,J685))</x:f>
        <x:v>Listo</x:v>
      </x:c>
      <x:c r="L685" s="74" t="str">
        <x:f>IF(J685="","Keep current",IF(J685=I685,"Use suggestion","Custom"))</x:f>
        <x:v>Keep current</x:v>
      </x:c>
      <x:c r="M685" s="71" t="str">
        <x:v>Pending review</x:v>
      </x:c>
      <x:c r="N685" s="71" t="str">
        <x:v>Normal</x:v>
      </x:c>
      <x:c r="O685" s="71" t="str">
        <x:v>app/journey/new/trip-builder.tsx</x:v>
      </x:c>
      <x:c r="P685" s="71" t="str">
        <x:v>TripBuilderDocument:1977</x:v>
      </x:c>
      <x:c r="Q685" s="71" t="str">
        <x:v>ES</x:v>
      </x:c>
      <x:c r="R685" s="71" t="str">
        <x:v>Already clear and direct; suggested wording intentionally keeps the current copy. Duplicate wording: appears 3 times.</x:v>
      </x:c>
      <x:c r="S685" s="75" t="str">
        <x:v>Not applied — review required</x:v>
      </x:c>
    </x:row>
    <x:row r="686">
      <x:c r="A686" s="71" t="str">
        <x:v>MRV-50F460FCE7</x:v>
      </x:c>
      <x:c r="B686" s="71" t="str">
        <x:v>Planning</x:v>
      </x:c>
      <x:c r="C686" s="71" t="str">
        <x:v>New trip builder</x:v>
      </x:c>
      <x:c r="D686" s="71" t="str">
        <x:v>/journey/new/trip-builder</x:v>
      </x:c>
      <x:c r="E686" s="71" t="str">
        <x:v>TripBuilderDocument</x:v>
      </x:c>
      <x:c r="F686" s="71" t="str">
        <x:v>Default</x:v>
      </x:c>
      <x:c r="G686" s="71" t="str">
        <x:v>CTA / button</x:v>
      </x:c>
      <x:c r="H686" s="71" t="str">
        <x:v>Done</x:v>
      </x:c>
      <x:c r="I686" s="71" t="str">
        <x:v>Done</x:v>
      </x:c>
      <x:c r="J686" s="73"/>
      <x:c r="K686" s="74" t="str">
        <x:f>IF(J686="",H686,IF(J686=I686,I686,J686))</x:f>
        <x:v>Done</x:v>
      </x:c>
      <x:c r="L686" s="74" t="str">
        <x:f>IF(J686="","Keep current",IF(J686=I686,"Use suggestion","Custom"))</x:f>
        <x:v>Keep current</x:v>
      </x:c>
      <x:c r="M686" s="71" t="str">
        <x:v>Pending review</x:v>
      </x:c>
      <x:c r="N686" s="71" t="str">
        <x:v>Medium</x:v>
      </x:c>
      <x:c r="O686" s="71" t="str">
        <x:v>app/journey/new/trip-builder.tsx</x:v>
      </x:c>
      <x:c r="P686" s="71" t="str">
        <x:v>TripBuilderDocument:1977</x:v>
      </x:c>
      <x:c r="Q686" s="71" t="str">
        <x:v>EN</x:v>
      </x:c>
      <x:c r="R686" s="71" t="str">
        <x:v>Already clear and direct; suggested wording intentionally keeps the current copy. Duplicate wording: appears 3 times.</x:v>
      </x:c>
      <x:c r="S686" s="75" t="str">
        <x:v>Not applied — review required</x:v>
      </x:c>
    </x:row>
    <x:row r="687">
      <x:c r="A687" s="71" t="str">
        <x:v>MRV-8DE073C365</x:v>
      </x:c>
      <x:c r="B687" s="71" t="str">
        <x:v>Planning</x:v>
      </x:c>
      <x:c r="C687" s="71" t="str">
        <x:v>New trip builder</x:v>
      </x:c>
      <x:c r="D687" s="71" t="str">
        <x:v>/journey/new/trip-builder</x:v>
      </x:c>
      <x:c r="E687" s="71" t="str">
        <x:v>TripBuilderDocument</x:v>
      </x:c>
      <x:c r="F687" s="71" t="str">
        <x:v>Default</x:v>
      </x:c>
      <x:c r="G687" s="71" t="str">
        <x:v>CTA / button</x:v>
      </x:c>
      <x:c r="H687" s="71" t="str">
        <x:v>Editar</x:v>
      </x:c>
      <x:c r="I687" s="71" t="str">
        <x:v>Editar</x:v>
      </x:c>
      <x:c r="J687" s="73"/>
      <x:c r="K687" s="74" t="str">
        <x:f>IF(J687="",H687,IF(J687=I687,I687,J687))</x:f>
        <x:v>Editar</x:v>
      </x:c>
      <x:c r="L687" s="74" t="str">
        <x:f>IF(J687="","Keep current",IF(J687=I687,"Use suggestion","Custom"))</x:f>
        <x:v>Keep current</x:v>
      </x:c>
      <x:c r="M687" s="71" t="str">
        <x:v>Pending review</x:v>
      </x:c>
      <x:c r="N687" s="71" t="str">
        <x:v>Medium</x:v>
      </x:c>
      <x:c r="O687" s="71" t="str">
        <x:v>app/journey/new/trip-builder.tsx</x:v>
      </x:c>
      <x:c r="P687" s="71" t="str">
        <x:v>TripBuilderDocument:1977</x:v>
      </x:c>
      <x:c r="Q687" s="71" t="str">
        <x:v>ES</x:v>
      </x:c>
      <x:c r="R687" s="71" t="str">
        <x:v>Already clear and direct; suggested wording intentionally keeps the current copy. Duplicate wording: appears 4 times.</x:v>
      </x:c>
      <x:c r="S687" s="75" t="str">
        <x:v>Not applied — review required</x:v>
      </x:c>
    </x:row>
    <x:row r="688">
      <x:c r="A688" s="71" t="str">
        <x:v>MRV-07BA78574B</x:v>
      </x:c>
      <x:c r="B688" s="71" t="str">
        <x:v>Planning</x:v>
      </x:c>
      <x:c r="C688" s="71" t="str">
        <x:v>New trip builder</x:v>
      </x:c>
      <x:c r="D688" s="71" t="str">
        <x:v>/journey/new/trip-builder</x:v>
      </x:c>
      <x:c r="E688" s="71" t="str">
        <x:v>TripBuilderDocument</x:v>
      </x:c>
      <x:c r="F688" s="71" t="str">
        <x:v>Default</x:v>
      </x:c>
      <x:c r="G688" s="71" t="str">
        <x:v>CTA / button</x:v>
      </x:c>
      <x:c r="H688" s="71" t="str">
        <x:v>Edit</x:v>
      </x:c>
      <x:c r="I688" s="71" t="str">
        <x:v>Edit</x:v>
      </x:c>
      <x:c r="J688" s="73"/>
      <x:c r="K688" s="74" t="str">
        <x:f>IF(J688="",H688,IF(J688=I688,I688,J688))</x:f>
        <x:v>Edit</x:v>
      </x:c>
      <x:c r="L688" s="74" t="str">
        <x:f>IF(J688="","Keep current",IF(J688=I688,"Use suggestion","Custom"))</x:f>
        <x:v>Keep current</x:v>
      </x:c>
      <x:c r="M688" s="71" t="str">
        <x:v>Pending review</x:v>
      </x:c>
      <x:c r="N688" s="71" t="str">
        <x:v>Medium</x:v>
      </x:c>
      <x:c r="O688" s="71" t="str">
        <x:v>app/journey/new/trip-builder.tsx</x:v>
      </x:c>
      <x:c r="P688" s="71" t="str">
        <x:v>TripBuilderDocument:1977</x:v>
      </x:c>
      <x:c r="Q688" s="71" t="str">
        <x:v>EN</x:v>
      </x:c>
      <x:c r="R688" s="71" t="str">
        <x:v>Already clear and direct; suggested wording intentionally keeps the current copy. Duplicate wording: appears 4 times.</x:v>
      </x:c>
      <x:c r="S688" s="75" t="str">
        <x:v>Not applied — review required</x:v>
      </x:c>
    </x:row>
    <x:row r="689">
      <x:c r="A689" s="71" t="str">
        <x:v>MRV-A821D55FFB</x:v>
      </x:c>
      <x:c r="B689" s="71" t="str">
        <x:v>Planning</x:v>
      </x:c>
      <x:c r="C689" s="71" t="str">
        <x:v>New trip builder</x:v>
      </x:c>
      <x:c r="D689" s="71" t="str">
        <x:v>/journey/new/trip-builder</x:v>
      </x:c>
      <x:c r="E689" s="71" t="str">
        <x:v>TripBuilderDocument</x:v>
      </x:c>
      <x:c r="F689" s="71" t="str">
        <x:v>Accessibility / input support</x:v>
      </x:c>
      <x:c r="G689" s="71" t="str">
        <x:v>Accessibility label</x:v>
      </x:c>
      <x:c r="H689" s="71" t="str">
        <x:v>Train</x:v>
      </x:c>
      <x:c r="I689" s="71" t="str">
        <x:v>Train</x:v>
      </x:c>
      <x:c r="J689" s="73"/>
      <x:c r="K689" s="74" t="str">
        <x:f>IF(J689="",H689,IF(J689=I689,I689,J689))</x:f>
        <x:v>Train</x:v>
      </x:c>
      <x:c r="L689" s="74" t="str">
        <x:f>IF(J689="","Keep current",IF(J689=I689,"Use suggestion","Custom"))</x:f>
        <x:v>Keep current</x:v>
      </x:c>
      <x:c r="M689" s="71" t="str">
        <x:v>Pending review</x:v>
      </x:c>
      <x:c r="N689" s="71" t="str">
        <x:v>Medium</x:v>
      </x:c>
      <x:c r="O689" s="71" t="str">
        <x:v>app/journey/new/trip-builder.tsx</x:v>
      </x:c>
      <x:c r="P689" s="71" t="str">
        <x:v>TripBuilderDocument:1979</x:v>
      </x:c>
      <x:c r="Q689" s="71" t="str">
        <x:v>EN (default / shared)</x:v>
      </x:c>
      <x:c r="R689" s="71" t="str">
        <x:v>Already clear and direct; suggested wording intentionally keeps the current copy. Duplicate wording: appears 2 times.</x:v>
      </x:c>
      <x:c r="S689" s="75" t="str">
        <x:v>Not applied — review required</x:v>
      </x:c>
    </x:row>
    <x:row r="690">
      <x:c r="A690" s="71" t="str">
        <x:v>MRV-5FBEB7292D</x:v>
      </x:c>
      <x:c r="B690" s="71" t="str">
        <x:v>Planning</x:v>
      </x:c>
      <x:c r="C690" s="71" t="str">
        <x:v>New trip builder</x:v>
      </x:c>
      <x:c r="D690" s="71" t="str">
        <x:v>/journey/new/trip-builder</x:v>
      </x:c>
      <x:c r="E690" s="71" t="str">
        <x:v>TripBuilderDocument</x:v>
      </x:c>
      <x:c r="F690" s="71" t="str">
        <x:v>Accessibility / input support</x:v>
      </x:c>
      <x:c r="G690" s="71" t="str">
        <x:v>Accessibility label</x:v>
      </x:c>
      <x:c r="H690" s="71" t="str">
        <x:v>Flight</x:v>
      </x:c>
      <x:c r="I690" s="71" t="str">
        <x:v>Flight</x:v>
      </x:c>
      <x:c r="J690" s="73"/>
      <x:c r="K690" s="74" t="str">
        <x:f>IF(J690="",H690,IF(J690=I690,I690,J690))</x:f>
        <x:v>Flight</x:v>
      </x:c>
      <x:c r="L690" s="74" t="str">
        <x:f>IF(J690="","Keep current",IF(J690=I690,"Use suggestion","Custom"))</x:f>
        <x:v>Keep current</x:v>
      </x:c>
      <x:c r="M690" s="71" t="str">
        <x:v>Pending review</x:v>
      </x:c>
      <x:c r="N690" s="71" t="str">
        <x:v>Medium</x:v>
      </x:c>
      <x:c r="O690" s="71" t="str">
        <x:v>app/journey/new/trip-builder.tsx</x:v>
      </x:c>
      <x:c r="P690" s="71" t="str">
        <x:v>TripBuilderDocument:1979</x:v>
      </x:c>
      <x:c r="Q690" s="71" t="str">
        <x:v>EN (default / shared)</x:v>
      </x:c>
      <x:c r="R690" s="71" t="str">
        <x:v>Already clear and direct; suggested wording intentionally keeps the current copy. Duplicate wording: appears 2 times.</x:v>
      </x:c>
      <x:c r="S690" s="75" t="str">
        <x:v>Not applied — review required</x:v>
      </x:c>
    </x:row>
    <x:row r="691">
      <x:c r="A691" s="71" t="str">
        <x:v>MRV-8BE6E297F1</x:v>
      </x:c>
      <x:c r="B691" s="71" t="str">
        <x:v>Planning</x:v>
      </x:c>
      <x:c r="C691" s="71" t="str">
        <x:v>New trip builder</x:v>
      </x:c>
      <x:c r="D691" s="71" t="str">
        <x:v>/journey/new/trip-builder</x:v>
      </x:c>
      <x:c r="E691" s="71" t="str">
        <x:v>TripBuilderDocument</x:v>
      </x:c>
      <x:c r="F691" s="71" t="str">
        <x:v>Default</x:v>
      </x:c>
      <x:c r="G691" s="71" t="str">
        <x:v>Body copy</x:v>
      </x:c>
      <x:c r="H691" s="71" t="str">
        <x:v>Tren a {next.name}</x:v>
      </x:c>
      <x:c r="I691" s="71" t="str">
        <x:v>Tren a {next.name}</x:v>
      </x:c>
      <x:c r="J691" s="73"/>
      <x:c r="K691" s="74" t="str">
        <x:f>IF(J691="",H691,IF(J691=I691,I691,J691))</x:f>
        <x:v>Tren a {next.name}</x:v>
      </x:c>
      <x:c r="L691" s="74" t="str">
        <x:f>IF(J691="","Keep current",IF(J691=I691,"Use suggestion","Custom"))</x:f>
        <x:v>Keep current</x:v>
      </x:c>
      <x:c r="M691" s="71" t="str">
        <x:v>Pending review</x:v>
      </x:c>
      <x:c r="N691" s="71" t="str">
        <x:v>Normal</x:v>
      </x:c>
      <x:c r="O691" s="71" t="str">
        <x:v>app/journey/new/trip-builder.tsx</x:v>
      </x:c>
      <x:c r="P691" s="71" t="str">
        <x:v>TripBuilderDocument:1979</x:v>
      </x:c>
      <x:c r="Q691" s="71" t="str">
        <x:v>ES</x:v>
      </x:c>
      <x:c r="R691" s="71" t="str">
        <x:v>Already clear and direct; suggested wording intentionally keeps the current copy. Dynamic traveller or trip value is represented as a token; user-generated values are excluded.</x:v>
      </x:c>
      <x:c r="S691" s="75" t="str">
        <x:v>Not applied — review required</x:v>
      </x:c>
    </x:row>
    <x:row r="692">
      <x:c r="A692" s="71" t="str">
        <x:v>MRV-CAA43BE958</x:v>
      </x:c>
      <x:c r="B692" s="71" t="str">
        <x:v>Planning</x:v>
      </x:c>
      <x:c r="C692" s="71" t="str">
        <x:v>New trip builder</x:v>
      </x:c>
      <x:c r="D692" s="71" t="str">
        <x:v>/journey/new/trip-builder</x:v>
      </x:c>
      <x:c r="E692" s="71" t="str">
        <x:v>TripBuilderDocument</x:v>
      </x:c>
      <x:c r="F692" s="71" t="str">
        <x:v>Default</x:v>
      </x:c>
      <x:c r="G692" s="71" t="str">
        <x:v>Body copy</x:v>
      </x:c>
      <x:c r="H692" s="71" t="str">
        <x:v>Train to {next.name}</x:v>
      </x:c>
      <x:c r="I692" s="71" t="str">
        <x:v>Train to {next.name}</x:v>
      </x:c>
      <x:c r="J692" s="73"/>
      <x:c r="K692" s="74" t="str">
        <x:f>IF(J692="",H692,IF(J692=I692,I692,J692))</x:f>
        <x:v>Train to {next.name}</x:v>
      </x:c>
      <x:c r="L692" s="74" t="str">
        <x:f>IF(J692="","Keep current",IF(J692=I692,"Use suggestion","Custom"))</x:f>
        <x:v>Keep current</x:v>
      </x:c>
      <x:c r="M692" s="71" t="str">
        <x:v>Pending review</x:v>
      </x:c>
      <x:c r="N692" s="71" t="str">
        <x:v>Normal</x:v>
      </x:c>
      <x:c r="O692" s="71" t="str">
        <x:v>app/journey/new/trip-builder.tsx</x:v>
      </x:c>
      <x:c r="P692" s="71" t="str">
        <x:v>TripBuilderDocument:1979</x:v>
      </x:c>
      <x:c r="Q692" s="71" t="str">
        <x:v>EN</x:v>
      </x:c>
      <x:c r="R692" s="71" t="str">
        <x:v>Already clear and direct; suggested wording intentionally keeps the current copy. Dynamic traveller or trip value is represented as a token; user-generated values are excluded.</x:v>
      </x:c>
      <x:c r="S692" s="75" t="str">
        <x:v>Not applied — review required</x:v>
      </x:c>
    </x:row>
    <x:row r="693">
      <x:c r="A693" s="71" t="str">
        <x:v>MRV-8B0DEF5840</x:v>
      </x:c>
      <x:c r="B693" s="71" t="str">
        <x:v>Planning</x:v>
      </x:c>
      <x:c r="C693" s="71" t="str">
        <x:v>New trip builder</x:v>
      </x:c>
      <x:c r="D693" s="71" t="str">
        <x:v>/journey/new/trip-builder</x:v>
      </x:c>
      <x:c r="E693" s="71" t="str">
        <x:v>TripBuilderDocument</x:v>
      </x:c>
      <x:c r="F693" s="71" t="str">
        <x:v>Default</x:v>
      </x:c>
      <x:c r="G693" s="71" t="str">
        <x:v>Body copy</x:v>
      </x:c>
      <x:c r="H693" s="71" t="str">
        <x:v>Vuelo a {next.name}</x:v>
      </x:c>
      <x:c r="I693" s="71" t="str">
        <x:v>Vuelo a {next.name}</x:v>
      </x:c>
      <x:c r="J693" s="73"/>
      <x:c r="K693" s="74" t="str">
        <x:f>IF(J693="",H693,IF(J693=I693,I693,J693))</x:f>
        <x:v>Vuelo a {next.name}</x:v>
      </x:c>
      <x:c r="L693" s="74" t="str">
        <x:f>IF(J693="","Keep current",IF(J693=I693,"Use suggestion","Custom"))</x:f>
        <x:v>Keep current</x:v>
      </x:c>
      <x:c r="M693" s="71" t="str">
        <x:v>Pending review</x:v>
      </x:c>
      <x:c r="N693" s="71" t="str">
        <x:v>Normal</x:v>
      </x:c>
      <x:c r="O693" s="71" t="str">
        <x:v>app/journey/new/trip-builder.tsx</x:v>
      </x:c>
      <x:c r="P693" s="71" t="str">
        <x:v>TripBuilderDocument:1979</x:v>
      </x:c>
      <x:c r="Q693" s="71" t="str">
        <x:v>ES</x:v>
      </x:c>
      <x:c r="R693" s="71" t="str">
        <x:v>Already clear and direct; suggested wording intentionally keeps the current copy. Dynamic traveller or trip value is represented as a token; user-generated values are excluded.</x:v>
      </x:c>
      <x:c r="S693" s="75" t="str">
        <x:v>Not applied — review required</x:v>
      </x:c>
    </x:row>
    <x:row r="694">
      <x:c r="A694" s="71" t="str">
        <x:v>MRV-7D6CD44143</x:v>
      </x:c>
      <x:c r="B694" s="71" t="str">
        <x:v>Planning</x:v>
      </x:c>
      <x:c r="C694" s="71" t="str">
        <x:v>New trip builder</x:v>
      </x:c>
      <x:c r="D694" s="71" t="str">
        <x:v>/journey/new/trip-builder</x:v>
      </x:c>
      <x:c r="E694" s="71" t="str">
        <x:v>TripBuilderDocument</x:v>
      </x:c>
      <x:c r="F694" s="71" t="str">
        <x:v>Default</x:v>
      </x:c>
      <x:c r="G694" s="71" t="str">
        <x:v>Body copy</x:v>
      </x:c>
      <x:c r="H694" s="71" t="str">
        <x:v>Flight to {next.name}</x:v>
      </x:c>
      <x:c r="I694" s="71" t="str">
        <x:v>Flight to {next.name}</x:v>
      </x:c>
      <x:c r="J694" s="73"/>
      <x:c r="K694" s="74" t="str">
        <x:f>IF(J694="",H694,IF(J694=I694,I694,J694))</x:f>
        <x:v>Flight to {next.name}</x:v>
      </x:c>
      <x:c r="L694" s="74" t="str">
        <x:f>IF(J694="","Keep current",IF(J694=I694,"Use suggestion","Custom"))</x:f>
        <x:v>Keep current</x:v>
      </x:c>
      <x:c r="M694" s="71" t="str">
        <x:v>Pending review</x:v>
      </x:c>
      <x:c r="N694" s="71" t="str">
        <x:v>Normal</x:v>
      </x:c>
      <x:c r="O694" s="71" t="str">
        <x:v>app/journey/new/trip-builder.tsx</x:v>
      </x:c>
      <x:c r="P694" s="71" t="str">
        <x:v>TripBuilderDocument:1979</x:v>
      </x:c>
      <x:c r="Q694" s="71" t="str">
        <x:v>EN</x:v>
      </x:c>
      <x:c r="R694" s="71" t="str">
        <x:v>Already clear and direct; suggested wording intentionally keeps the current copy. Dynamic traveller or trip value is represented as a token; user-generated values are excluded.</x:v>
      </x:c>
      <x:c r="S694" s="75" t="str">
        <x:v>Not applied — review required</x:v>
      </x:c>
    </x:row>
    <x:row r="695">
      <x:c r="A695" s="71" t="str">
        <x:v>MRV-1AC4B68683</x:v>
      </x:c>
      <x:c r="B695" s="71" t="str">
        <x:v>Planning</x:v>
      </x:c>
      <x:c r="C695" s="71" t="str">
        <x:v>New trip builder</x:v>
      </x:c>
      <x:c r="D695" s="71" t="str">
        <x:v>/journey/new/trip-builder</x:v>
      </x:c>
      <x:c r="E695" s="71" t="str">
        <x:v>TripBuilderDocument</x:v>
      </x:c>
      <x:c r="F695" s="71" t="str">
        <x:v>Default</x:v>
      </x:c>
      <x:c r="G695" s="71" t="str">
        <x:v>Body copy</x:v>
      </x:c>
      <x:c r="H695" s="71" t="str">
        <x:v>Traslado a {next.name}</x:v>
      </x:c>
      <x:c r="I695" s="71" t="str">
        <x:v>Traslado a {next.name}</x:v>
      </x:c>
      <x:c r="J695" s="73"/>
      <x:c r="K695" s="74" t="str">
        <x:f>IF(J695="",H695,IF(J695=I695,I695,J695))</x:f>
        <x:v>Traslado a {next.name}</x:v>
      </x:c>
      <x:c r="L695" s="74" t="str">
        <x:f>IF(J695="","Keep current",IF(J695=I695,"Use suggestion","Custom"))</x:f>
        <x:v>Keep current</x:v>
      </x:c>
      <x:c r="M695" s="71" t="str">
        <x:v>Pending review</x:v>
      </x:c>
      <x:c r="N695" s="71" t="str">
        <x:v>Normal</x:v>
      </x:c>
      <x:c r="O695" s="71" t="str">
        <x:v>app/journey/new/trip-builder.tsx</x:v>
      </x:c>
      <x:c r="P695" s="71" t="str">
        <x:v>TripBuilderDocument:1979</x:v>
      </x:c>
      <x:c r="Q695" s="71" t="str">
        <x:v>ES</x:v>
      </x:c>
      <x:c r="R695" s="71" t="str">
        <x:v>Already clear and direct; suggested wording intentionally keeps the current copy. Dynamic traveller or trip value is represented as a token; user-generated values are excluded.</x:v>
      </x:c>
      <x:c r="S695" s="75" t="str">
        <x:v>Not applied — review required</x:v>
      </x:c>
    </x:row>
    <x:row r="696">
      <x:c r="A696" s="71" t="str">
        <x:v>MRV-5B793DD384</x:v>
      </x:c>
      <x:c r="B696" s="71" t="str">
        <x:v>Planning</x:v>
      </x:c>
      <x:c r="C696" s="71" t="str">
        <x:v>New trip builder</x:v>
      </x:c>
      <x:c r="D696" s="71" t="str">
        <x:v>/journey/new/trip-builder</x:v>
      </x:c>
      <x:c r="E696" s="71" t="str">
        <x:v>TripBuilderDocument</x:v>
      </x:c>
      <x:c r="F696" s="71" t="str">
        <x:v>Default</x:v>
      </x:c>
      <x:c r="G696" s="71" t="str">
        <x:v>Body copy</x:v>
      </x:c>
      <x:c r="H696" s="71" t="str">
        <x:v>Transfer to {next.name}</x:v>
      </x:c>
      <x:c r="I696" s="71" t="str">
        <x:v>Transfer to {next.name}</x:v>
      </x:c>
      <x:c r="J696" s="73"/>
      <x:c r="K696" s="74" t="str">
        <x:f>IF(J696="",H696,IF(J696=I696,I696,J696))</x:f>
        <x:v>Transfer to {next.name}</x:v>
      </x:c>
      <x:c r="L696" s="74" t="str">
        <x:f>IF(J696="","Keep current",IF(J696=I696,"Use suggestion","Custom"))</x:f>
        <x:v>Keep current</x:v>
      </x:c>
      <x:c r="M696" s="71" t="str">
        <x:v>Pending review</x:v>
      </x:c>
      <x:c r="N696" s="71" t="str">
        <x:v>Normal</x:v>
      </x:c>
      <x:c r="O696" s="71" t="str">
        <x:v>app/journey/new/trip-builder.tsx</x:v>
      </x:c>
      <x:c r="P696" s="71" t="str">
        <x:v>TripBuilderDocument:1979</x:v>
      </x:c>
      <x:c r="Q696" s="71" t="str">
        <x:v>EN</x:v>
      </x:c>
      <x:c r="R696" s="71" t="str">
        <x:v>Already clear and direct; suggested wording intentionally keeps the current copy. Dynamic traveller or trip value is represented as a token; user-generated values are excluded.</x:v>
      </x:c>
      <x:c r="S696" s="75" t="str">
        <x:v>Not applied — review required</x:v>
      </x:c>
    </x:row>
    <x:row r="697">
      <x:c r="A697" s="71" t="str">
        <x:v>MRV-5EA48E6A78</x:v>
      </x:c>
      <x:c r="B697" s="71" t="str">
        <x:v>Planning</x:v>
      </x:c>
      <x:c r="C697" s="71" t="str">
        <x:v>New trip builder</x:v>
      </x:c>
      <x:c r="D697" s="71" t="str">
        <x:v>/journey/new/trip-builder</x:v>
      </x:c>
      <x:c r="E697" s="71" t="str">
        <x:v>TripBuilderDocument</x:v>
      </x:c>
      <x:c r="F697" s="71" t="str">
        <x:v>Default</x:v>
      </x:c>
      <x:c r="G697" s="71" t="str">
        <x:v>Body copy</x:v>
      </x:c>
      <x:c r="H697" s="71" t="str">
        <x:v>~{Math.floor(leg.durationMinutes / 60)}h {leg.durationMinutes % 60}m</x:v>
      </x:c>
      <x:c r="I697" s="71" t="str">
        <x:v>~{Math.floor(leg.durationMinutes / 60)}h {leg.durationMinutes % 60}m</x:v>
      </x:c>
      <x:c r="J697" s="73"/>
      <x:c r="K697" s="74" t="str">
        <x:f>IF(J697="",H697,IF(J697=I697,I697,J697))</x:f>
        <x:v>~{Math.floor(leg.durationMinutes / 60)}h {leg.durationMinutes % 60}m</x:v>
      </x:c>
      <x:c r="L697" s="74" t="str">
        <x:f>IF(J697="","Keep current",IF(J697=I697,"Use suggestion","Custom"))</x:f>
        <x:v>Keep current</x:v>
      </x:c>
      <x:c r="M697" s="71" t="str">
        <x:v>Pending review</x:v>
      </x:c>
      <x:c r="N697" s="71" t="str">
        <x:v>Normal</x:v>
      </x:c>
      <x:c r="O697" s="71" t="str">
        <x:v>app/journey/new/trip-builder.tsx</x:v>
      </x:c>
      <x:c r="P697" s="71" t="str">
        <x:v>TripBuilderDocument:1979</x:v>
      </x:c>
      <x:c r="Q697" s="71" t="str">
        <x:v>EN (default / shared)</x:v>
      </x:c>
      <x:c r="R697" s="71" t="str">
        <x:v>Already clear and direct; suggested wording intentionally keeps the current copy. Dynamic traveller or trip value is represented as a token; user-generated values are excluded.</x:v>
      </x:c>
      <x:c r="S697" s="75" t="str">
        <x:v>Not applied — review required</x:v>
      </x:c>
    </x:row>
    <x:row r="698">
      <x:c r="A698" s="71" t="str">
        <x:v>MRV-59AFD708B2</x:v>
      </x:c>
      <x:c r="B698" s="71" t="str">
        <x:v>Planning</x:v>
      </x:c>
      <x:c r="C698" s="71" t="str">
        <x:v>New trip builder</x:v>
      </x:c>
      <x:c r="D698" s="71" t="str">
        <x:v>/journey/new/trip-builder</x:v>
      </x:c>
      <x:c r="E698" s="71" t="str">
        <x:v>TripBuilderDocument</x:v>
      </x:c>
      <x:c r="F698" s="71" t="str">
        <x:v>Default</x:v>
      </x:c>
      <x:c r="G698" s="71" t="str">
        <x:v>Label</x:v>
      </x:c>
      <x:c r="H698" s="71" t="str">
        <x:v>Tiempo por confirmar</x:v>
      </x:c>
      <x:c r="I698" s="71" t="str">
        <x:v>Tiempo por confirmar</x:v>
      </x:c>
      <x:c r="J698" s="73"/>
      <x:c r="K698" s="74" t="str">
        <x:f>IF(J698="",H698,IF(J698=I698,I698,J698))</x:f>
        <x:v>Tiempo por confirmar</x:v>
      </x:c>
      <x:c r="L698" s="74" t="str">
        <x:f>IF(J698="","Keep current",IF(J698=I698,"Use suggestion","Custom"))</x:f>
        <x:v>Keep current</x:v>
      </x:c>
      <x:c r="M698" s="71" t="str">
        <x:v>Pending review</x:v>
      </x:c>
      <x:c r="N698" s="71" t="str">
        <x:v>Normal</x:v>
      </x:c>
      <x:c r="O698" s="71" t="str">
        <x:v>app/journey/new/trip-builder.tsx</x:v>
      </x:c>
      <x:c r="P698" s="71" t="str">
        <x:v>TripBuilderDocument:1979</x:v>
      </x:c>
      <x:c r="Q698" s="71" t="str">
        <x:v>ES</x:v>
      </x:c>
      <x:c r="R698" s="71" t="str">
        <x:v>Already clear and direct; suggested wording intentionally keeps the current copy.</x:v>
      </x:c>
      <x:c r="S698" s="75" t="str">
        <x:v>Not applied — review required</x:v>
      </x:c>
    </x:row>
    <x:row r="699">
      <x:c r="A699" s="71" t="str">
        <x:v>MRV-FF0227959D</x:v>
      </x:c>
      <x:c r="B699" s="71" t="str">
        <x:v>Planning</x:v>
      </x:c>
      <x:c r="C699" s="71" t="str">
        <x:v>New trip builder</x:v>
      </x:c>
      <x:c r="D699" s="71" t="str">
        <x:v>/journey/new/trip-builder</x:v>
      </x:c>
      <x:c r="E699" s="71" t="str">
        <x:v>TripBuilderDocument</x:v>
      </x:c>
      <x:c r="F699" s="71" t="str">
        <x:v>Default</x:v>
      </x:c>
      <x:c r="G699" s="71" t="str">
        <x:v>Label</x:v>
      </x:c>
      <x:c r="H699" s="71" t="str">
        <x:v>Time to confirm</x:v>
      </x:c>
      <x:c r="I699" s="71" t="str">
        <x:v>Time to confirm</x:v>
      </x:c>
      <x:c r="J699" s="73"/>
      <x:c r="K699" s="74" t="str">
        <x:f>IF(J699="",H699,IF(J699=I699,I699,J699))</x:f>
        <x:v>Time to confirm</x:v>
      </x:c>
      <x:c r="L699" s="74" t="str">
        <x:f>IF(J699="","Keep current",IF(J699=I699,"Use suggestion","Custom"))</x:f>
        <x:v>Keep current</x:v>
      </x:c>
      <x:c r="M699" s="71" t="str">
        <x:v>Pending review</x:v>
      </x:c>
      <x:c r="N699" s="71" t="str">
        <x:v>Normal</x:v>
      </x:c>
      <x:c r="O699" s="71" t="str">
        <x:v>app/journey/new/trip-builder.tsx</x:v>
      </x:c>
      <x:c r="P699" s="71" t="str">
        <x:v>TripBuilderDocument:1979</x:v>
      </x:c>
      <x:c r="Q699" s="71" t="str">
        <x:v>EN</x:v>
      </x:c>
      <x:c r="R699" s="71" t="str">
        <x:v>Already clear and direct; suggested wording intentionally keeps the current copy.</x:v>
      </x:c>
      <x:c r="S699" s="75" t="str">
        <x:v>Not applied — review required</x:v>
      </x:c>
    </x:row>
    <x:row r="700">
      <x:c r="A700" s="71" t="str">
        <x:v>MRV-998F8B87C9</x:v>
      </x:c>
      <x:c r="B700" s="71" t="str">
        <x:v>Planning</x:v>
      </x:c>
      <x:c r="C700" s="71" t="str">
        <x:v>New trip builder</x:v>
      </x:c>
      <x:c r="D700" s="71" t="str">
        <x:v>/journey/new/trip-builder</x:v>
      </x:c>
      <x:c r="E700" s="71" t="str">
        <x:v>TripBuilderDocument</x:v>
      </x:c>
      <x:c r="F700" s="71" t="str">
        <x:v>Default</x:v>
      </x:c>
      <x:c r="G700" s="71" t="str">
        <x:v>Body copy</x:v>
      </x:c>
      <x:c r="H700" s="71" t="str">
        <x:v>{routeNightDifference} noches superan las fechas actuales.</x:v>
      </x:c>
      <x:c r="I700" s="71" t="str">
        <x:v>{routeNightDifference} noches superan las fechas actuales.</x:v>
      </x:c>
      <x:c r="J700" s="73"/>
      <x:c r="K700" s="74" t="str">
        <x:f>IF(J700="",H700,IF(J700=I700,I700,J700))</x:f>
        <x:v>{routeNightDifference} noches superan las fechas actuales.</x:v>
      </x:c>
      <x:c r="L700" s="74" t="str">
        <x:f>IF(J700="","Keep current",IF(J700=I700,"Use suggestion","Custom"))</x:f>
        <x:v>Keep current</x:v>
      </x:c>
      <x:c r="M700" s="71" t="str">
        <x:v>Pending review</x:v>
      </x:c>
      <x:c r="N700" s="71" t="str">
        <x:v>Normal</x:v>
      </x:c>
      <x:c r="O700" s="71" t="str">
        <x:v>app/journey/new/trip-builder.tsx</x:v>
      </x:c>
      <x:c r="P700" s="71" t="str">
        <x:v>TripBuilderDocument:1982</x:v>
      </x:c>
      <x:c r="Q700" s="71" t="str">
        <x:v>ES</x:v>
      </x:c>
      <x:c r="R700" s="71" t="str">
        <x:v>Already clear and direct; suggested wording intentionally keeps the current copy. Dynamic traveller or trip value is represented as a token; user-generated values are excluded.</x:v>
      </x:c>
      <x:c r="S700" s="75" t="str">
        <x:v>Not applied — review required</x:v>
      </x:c>
    </x:row>
    <x:row r="701">
      <x:c r="A701" s="71" t="str">
        <x:v>MRV-803231A812</x:v>
      </x:c>
      <x:c r="B701" s="71" t="str">
        <x:v>Planning</x:v>
      </x:c>
      <x:c r="C701" s="71" t="str">
        <x:v>New trip builder</x:v>
      </x:c>
      <x:c r="D701" s="71" t="str">
        <x:v>/journey/new/trip-builder</x:v>
      </x:c>
      <x:c r="E701" s="71" t="str">
        <x:v>TripBuilderDocument</x:v>
      </x:c>
      <x:c r="F701" s="71" t="str">
        <x:v>Default</x:v>
      </x:c>
      <x:c r="G701" s="71" t="str">
        <x:v>Body copy</x:v>
      </x:c>
      <x:c r="H701" s="71" t="str">
        <x:v>{routeNightDifference} nights exceed the current dates.</x:v>
      </x:c>
      <x:c r="I701" s="71" t="str">
        <x:v>{routeNightDifference} nights exceed the current dates.</x:v>
      </x:c>
      <x:c r="J701" s="73"/>
      <x:c r="K701" s="74" t="str">
        <x:f>IF(J701="",H701,IF(J701=I701,I701,J701))</x:f>
        <x:v>{routeNightDifference} nights exceed the current dates.</x:v>
      </x:c>
      <x:c r="L701" s="74" t="str">
        <x:f>IF(J701="","Keep current",IF(J701=I701,"Use suggestion","Custom"))</x:f>
        <x:v>Keep current</x:v>
      </x:c>
      <x:c r="M701" s="71" t="str">
        <x:v>Pending review</x:v>
      </x:c>
      <x:c r="N701" s="71" t="str">
        <x:v>Normal</x:v>
      </x:c>
      <x:c r="O701" s="71" t="str">
        <x:v>app/journey/new/trip-builder.tsx</x:v>
      </x:c>
      <x:c r="P701" s="71" t="str">
        <x:v>TripBuilderDocument:1982</x:v>
      </x:c>
      <x:c r="Q701" s="71" t="str">
        <x:v>EN</x:v>
      </x:c>
      <x:c r="R701" s="71" t="str">
        <x:v>Already clear and direct; suggested wording intentionally keeps the current copy. Dynamic traveller or trip value is represented as a token; user-generated values are excluded.</x:v>
      </x:c>
      <x:c r="S701" s="75" t="str">
        <x:v>Not applied — review required</x:v>
      </x:c>
    </x:row>
    <x:row r="702">
      <x:c r="A702" s="71" t="str">
        <x:v>MRV-0010B774A9</x:v>
      </x:c>
      <x:c r="B702" s="71" t="str">
        <x:v>Planning</x:v>
      </x:c>
      <x:c r="C702" s="71" t="str">
        <x:v>New trip builder</x:v>
      </x:c>
      <x:c r="D702" s="71" t="str">
        <x:v>/journey/new/trip-builder</x:v>
      </x:c>
      <x:c r="E702" s="71" t="str">
        <x:v>TripBuilderDocument</x:v>
      </x:c>
      <x:c r="F702" s="71" t="str">
        <x:v>Default</x:v>
      </x:c>
      <x:c r="G702" s="71" t="str">
        <x:v>Body copy</x:v>
      </x:c>
      <x:c r="H702" s="71" t="str">
        <x:v>{Math.abs(routeNightDifference)} noches siguen sin asignar.</x:v>
      </x:c>
      <x:c r="I702" s="71" t="str">
        <x:v>{Math.abs(routeNightDifference)} noches siguen sin asignar.</x:v>
      </x:c>
      <x:c r="J702" s="73"/>
      <x:c r="K702" s="74" t="str">
        <x:f>IF(J702="",H702,IF(J702=I702,I702,J702))</x:f>
        <x:v>{Math.abs(routeNightDifference)} noches siguen sin asignar.</x:v>
      </x:c>
      <x:c r="L702" s="74" t="str">
        <x:f>IF(J702="","Keep current",IF(J702=I702,"Use suggestion","Custom"))</x:f>
        <x:v>Keep current</x:v>
      </x:c>
      <x:c r="M702" s="71" t="str">
        <x:v>Pending review</x:v>
      </x:c>
      <x:c r="N702" s="71" t="str">
        <x:v>Normal</x:v>
      </x:c>
      <x:c r="O702" s="71" t="str">
        <x:v>app/journey/new/trip-builder.tsx</x:v>
      </x:c>
      <x:c r="P702" s="71" t="str">
        <x:v>TripBuilderDocument:1982</x:v>
      </x:c>
      <x:c r="Q702" s="71" t="str">
        <x:v>ES</x:v>
      </x:c>
      <x:c r="R702" s="71" t="str">
        <x:v>Already clear and direct; suggested wording intentionally keeps the current copy. Dynamic traveller or trip value is represented as a token; user-generated values are excluded.</x:v>
      </x:c>
      <x:c r="S702" s="75" t="str">
        <x:v>Not applied — review required</x:v>
      </x:c>
    </x:row>
    <x:row r="703">
      <x:c r="A703" s="71" t="str">
        <x:v>MRV-56D5630472</x:v>
      </x:c>
      <x:c r="B703" s="71" t="str">
        <x:v>Planning</x:v>
      </x:c>
      <x:c r="C703" s="71" t="str">
        <x:v>New trip builder</x:v>
      </x:c>
      <x:c r="D703" s="71" t="str">
        <x:v>/journey/new/trip-builder</x:v>
      </x:c>
      <x:c r="E703" s="71" t="str">
        <x:v>TripBuilderDocument</x:v>
      </x:c>
      <x:c r="F703" s="71" t="str">
        <x:v>Default</x:v>
      </x:c>
      <x:c r="G703" s="71" t="str">
        <x:v>Body copy</x:v>
      </x:c>
      <x:c r="H703" s="71" t="str">
        <x:v>{Math.abs(routeNightDifference)} nights are still unassigned.</x:v>
      </x:c>
      <x:c r="I703" s="71" t="str">
        <x:v>{Math.abs(routeNightDifference)} nights are still unassigned.</x:v>
      </x:c>
      <x:c r="J703" s="73"/>
      <x:c r="K703" s="74" t="str">
        <x:f>IF(J703="",H703,IF(J703=I703,I703,J703))</x:f>
        <x:v>{Math.abs(routeNightDifference)} nights are still unassigned.</x:v>
      </x:c>
      <x:c r="L703" s="74" t="str">
        <x:f>IF(J703="","Keep current",IF(J703=I703,"Use suggestion","Custom"))</x:f>
        <x:v>Keep current</x:v>
      </x:c>
      <x:c r="M703" s="71" t="str">
        <x:v>Pending review</x:v>
      </x:c>
      <x:c r="N703" s="71" t="str">
        <x:v>Normal</x:v>
      </x:c>
      <x:c r="O703" s="71" t="str">
        <x:v>app/journey/new/trip-builder.tsx</x:v>
      </x:c>
      <x:c r="P703" s="71" t="str">
        <x:v>TripBuilderDocument:1982</x:v>
      </x:c>
      <x:c r="Q703" s="71" t="str">
        <x:v>EN</x:v>
      </x:c>
      <x:c r="R703" s="71" t="str">
        <x:v>Already clear and direct; suggested wording intentionally keeps the current copy. Dynamic traveller or trip value is represented as a token; user-generated values are excluded.</x:v>
      </x:c>
      <x:c r="S703" s="75" t="str">
        <x:v>Not applied — review required</x:v>
      </x:c>
    </x:row>
    <x:row r="704">
      <x:c r="A704" s="71" t="str">
        <x:v>MRV-11BC4D6C71</x:v>
      </x:c>
      <x:c r="B704" s="71" t="str">
        <x:v>Planning</x:v>
      </x:c>
      <x:c r="C704" s="71" t="str">
        <x:v>New trip builder</x:v>
      </x:c>
      <x:c r="D704" s="71" t="str">
        <x:v>/journey/new/trip-builder</x:v>
      </x:c>
      <x:c r="E704" s="71" t="str">
        <x:v>TripBuilderDocument</x:v>
      </x:c>
      <x:c r="F704" s="71" t="str">
        <x:v>Default</x:v>
      </x:c>
      <x:c r="G704" s="71" t="str">
        <x:v>Body copy</x:v>
      </x:c>
      <x:c r="H704" s="71" t="str">
        <x:v>La nueva distribución conserva tus fechas.</x:v>
      </x:c>
      <x:c r="I704" s="71" t="str">
        <x:v>La nueva distribución conserva tus fechas.</x:v>
      </x:c>
      <x:c r="J704" s="73"/>
      <x:c r="K704" s="74" t="str">
        <x:f>IF(J704="",H704,IF(J704=I704,I704,J704))</x:f>
        <x:v>La nueva distribución conserva tus fechas.</x:v>
      </x:c>
      <x:c r="L704" s="74" t="str">
        <x:f>IF(J704="","Keep current",IF(J704=I704,"Use suggestion","Custom"))</x:f>
        <x:v>Keep current</x:v>
      </x:c>
      <x:c r="M704" s="71" t="str">
        <x:v>Pending review</x:v>
      </x:c>
      <x:c r="N704" s="71" t="str">
        <x:v>Normal</x:v>
      </x:c>
      <x:c r="O704" s="71" t="str">
        <x:v>app/journey/new/trip-builder.tsx</x:v>
      </x:c>
      <x:c r="P704" s="71" t="str">
        <x:v>TripBuilderDocument:1982</x:v>
      </x:c>
      <x:c r="Q704" s="71" t="str">
        <x:v>ES</x:v>
      </x:c>
      <x:c r="R704" s="71" t="str">
        <x:v>Already clear and direct; suggested wording intentionally keeps the current copy.</x:v>
      </x:c>
      <x:c r="S704" s="75" t="str">
        <x:v>Not applied — review required</x:v>
      </x:c>
    </x:row>
    <x:row r="705">
      <x:c r="A705" s="71" t="str">
        <x:v>MRV-39D401E0FC</x:v>
      </x:c>
      <x:c r="B705" s="71" t="str">
        <x:v>Planning</x:v>
      </x:c>
      <x:c r="C705" s="71" t="str">
        <x:v>New trip builder</x:v>
      </x:c>
      <x:c r="D705" s="71" t="str">
        <x:v>/journey/new/trip-builder</x:v>
      </x:c>
      <x:c r="E705" s="71" t="str">
        <x:v>TripBuilderDocument</x:v>
      </x:c>
      <x:c r="F705" s="71" t="str">
        <x:v>Default</x:v>
      </x:c>
      <x:c r="G705" s="71" t="str">
        <x:v>Body copy</x:v>
      </x:c>
      <x:c r="H705" s="71" t="str">
        <x:v>This new night split keeps your dates.</x:v>
      </x:c>
      <x:c r="I705" s="71" t="str">
        <x:v>This new night split keeps your dates.</x:v>
      </x:c>
      <x:c r="J705" s="73"/>
      <x:c r="K705" s="74" t="str">
        <x:f>IF(J705="",H705,IF(J705=I705,I705,J705))</x:f>
        <x:v>This new night split keeps your dates.</x:v>
      </x:c>
      <x:c r="L705" s="74" t="str">
        <x:f>IF(J705="","Keep current",IF(J705=I705,"Use suggestion","Custom"))</x:f>
        <x:v>Keep current</x:v>
      </x:c>
      <x:c r="M705" s="71" t="str">
        <x:v>Pending review</x:v>
      </x:c>
      <x:c r="N705" s="71" t="str">
        <x:v>Normal</x:v>
      </x:c>
      <x:c r="O705" s="71" t="str">
        <x:v>app/journey/new/trip-builder.tsx</x:v>
      </x:c>
      <x:c r="P705" s="71" t="str">
        <x:v>TripBuilderDocument:1982</x:v>
      </x:c>
      <x:c r="Q705" s="71" t="str">
        <x:v>EN</x:v>
      </x:c>
      <x:c r="R705" s="71" t="str">
        <x:v>Already clear and direct; suggested wording intentionally keeps the current copy.</x:v>
      </x:c>
      <x:c r="S705" s="75" t="str">
        <x:v>Not applied — review required</x:v>
      </x:c>
    </x:row>
    <x:row r="706">
      <x:c r="A706" s="71" t="str">
        <x:v>MRV-E4D19532E8</x:v>
      </x:c>
      <x:c r="B706" s="71" t="str">
        <x:v>Planning</x:v>
      </x:c>
      <x:c r="C706" s="71" t="str">
        <x:v>New trip builder</x:v>
      </x:c>
      <x:c r="D706" s="71" t="str">
        <x:v>/journey/new/trip-builder</x:v>
      </x:c>
      <x:c r="E706" s="71" t="str">
        <x:v>TripBuilderDocument</x:v>
      </x:c>
      <x:c r="F706" s="71" t="str">
        <x:v>Default</x:v>
      </x:c>
      <x:c r="G706" s="71" t="str">
        <x:v>Body copy</x:v>
      </x:c>
      <x:c r="H706" s="71" t="str">
        <x:v>Acepta el cambio de duración antes de continuar.</x:v>
      </x:c>
      <x:c r="I706" s="71" t="str">
        <x:v>Acepta el cambio de duración antes de continuar.</x:v>
      </x:c>
      <x:c r="J706" s="73"/>
      <x:c r="K706" s="74" t="str">
        <x:f>IF(J706="",H706,IF(J706=I706,I706,J706))</x:f>
        <x:v>Acepta el cambio de duración antes de continuar.</x:v>
      </x:c>
      <x:c r="L706" s="74" t="str">
        <x:f>IF(J706="","Keep current",IF(J706=I706,"Use suggestion","Custom"))</x:f>
        <x:v>Keep current</x:v>
      </x:c>
      <x:c r="M706" s="71" t="str">
        <x:v>Pending review</x:v>
      </x:c>
      <x:c r="N706" s="71" t="str">
        <x:v>Normal</x:v>
      </x:c>
      <x:c r="O706" s="71" t="str">
        <x:v>app/journey/new/trip-builder.tsx</x:v>
      </x:c>
      <x:c r="P706" s="71" t="str">
        <x:v>TripBuilderDocument:1982</x:v>
      </x:c>
      <x:c r="Q706" s="71" t="str">
        <x:v>ES</x:v>
      </x:c>
      <x:c r="R706" s="71" t="str">
        <x:v>Already clear and direct; suggested wording intentionally keeps the current copy.</x:v>
      </x:c>
      <x:c r="S706" s="75" t="str">
        <x:v>Not applied — review required</x:v>
      </x:c>
    </x:row>
    <x:row r="707">
      <x:c r="A707" s="71" t="str">
        <x:v>MRV-DCD93E6215</x:v>
      </x:c>
      <x:c r="B707" s="71" t="str">
        <x:v>Planning</x:v>
      </x:c>
      <x:c r="C707" s="71" t="str">
        <x:v>New trip builder</x:v>
      </x:c>
      <x:c r="D707" s="71" t="str">
        <x:v>/journey/new/trip-builder</x:v>
      </x:c>
      <x:c r="E707" s="71" t="str">
        <x:v>TripBuilderDocument</x:v>
      </x:c>
      <x:c r="F707" s="71" t="str">
        <x:v>Default</x:v>
      </x:c>
      <x:c r="G707" s="71" t="str">
        <x:v>Body copy</x:v>
      </x:c>
      <x:c r="H707" s="71" t="str">
        <x:v>Accept the trip-length change before continuing.</x:v>
      </x:c>
      <x:c r="I707" s="71" t="str">
        <x:v>Accept the trip-length change before continuing.</x:v>
      </x:c>
      <x:c r="J707" s="73"/>
      <x:c r="K707" s="74" t="str">
        <x:f>IF(J707="",H707,IF(J707=I707,I707,J707))</x:f>
        <x:v>Accept the trip-length change before continuing.</x:v>
      </x:c>
      <x:c r="L707" s="74" t="str">
        <x:f>IF(J707="","Keep current",IF(J707=I707,"Use suggestion","Custom"))</x:f>
        <x:v>Keep current</x:v>
      </x:c>
      <x:c r="M707" s="71" t="str">
        <x:v>Pending review</x:v>
      </x:c>
      <x:c r="N707" s="71" t="str">
        <x:v>Normal</x:v>
      </x:c>
      <x:c r="O707" s="71" t="str">
        <x:v>app/journey/new/trip-builder.tsx</x:v>
      </x:c>
      <x:c r="P707" s="71" t="str">
        <x:v>TripBuilderDocument:1982</x:v>
      </x:c>
      <x:c r="Q707" s="71" t="str">
        <x:v>EN</x:v>
      </x:c>
      <x:c r="R707" s="71" t="str">
        <x:v>Already clear and direct; suggested wording intentionally keeps the current copy. Terminology watch: ‘trip’ and ‘journey’ both describe the same plan. Terminology watch: ‘stops’, ‘destinations’ and ‘places’ overlap.</x:v>
      </x:c>
      <x:c r="S707" s="75" t="str">
        <x:v>Not applied — review required</x:v>
      </x:c>
    </x:row>
    <x:row r="708">
      <x:c r="A708" s="71" t="str">
        <x:v>MRV-E06FA0F035</x:v>
      </x:c>
      <x:c r="B708" s="71" t="str">
        <x:v>Planning</x:v>
      </x:c>
      <x:c r="C708" s="71" t="str">
        <x:v>New trip builder</x:v>
      </x:c>
      <x:c r="D708" s="71" t="str">
        <x:v>/journey/new/trip-builder</x:v>
      </x:c>
      <x:c r="E708" s="71" t="str">
        <x:v>TripBuilderDocument</x:v>
      </x:c>
      <x:c r="F708" s="71" t="str">
        <x:v>Default</x:v>
      </x:c>
      <x:c r="G708" s="71" t="str">
        <x:v>Body copy</x:v>
      </x:c>
      <x:c r="H708" s="71" t="str">
        <x:v>Añádelas a una parada o acepta unas fechas más cortas.</x:v>
      </x:c>
      <x:c r="I708" s="71" t="str">
        <x:v>Añádelas a una parada o acepta unas fechas más cortas.</x:v>
      </x:c>
      <x:c r="J708" s="73"/>
      <x:c r="K708" s="74" t="str">
        <x:f>IF(J708="",H708,IF(J708=I708,I708,J708))</x:f>
        <x:v>Añádelas a una parada o acepta unas fechas más cortas.</x:v>
      </x:c>
      <x:c r="L708" s="74" t="str">
        <x:f>IF(J708="","Keep current",IF(J708=I708,"Use suggestion","Custom"))</x:f>
        <x:v>Keep current</x:v>
      </x:c>
      <x:c r="M708" s="71" t="str">
        <x:v>Pending review</x:v>
      </x:c>
      <x:c r="N708" s="71" t="str">
        <x:v>Normal</x:v>
      </x:c>
      <x:c r="O708" s="71" t="str">
        <x:v>app/journey/new/trip-builder.tsx</x:v>
      </x:c>
      <x:c r="P708" s="71" t="str">
        <x:v>TripBuilderDocument:1982</x:v>
      </x:c>
      <x:c r="Q708" s="71" t="str">
        <x:v>ES</x:v>
      </x:c>
      <x:c r="R708" s="71" t="str">
        <x:v>Already clear and direct; suggested wording intentionally keeps the current copy.</x:v>
      </x:c>
      <x:c r="S708" s="75" t="str">
        <x:v>Not applied — review required</x:v>
      </x:c>
    </x:row>
    <x:row r="709">
      <x:c r="A709" s="71" t="str">
        <x:v>MRV-3578352777</x:v>
      </x:c>
      <x:c r="B709" s="71" t="str">
        <x:v>Planning</x:v>
      </x:c>
      <x:c r="C709" s="71" t="str">
        <x:v>New trip builder</x:v>
      </x:c>
      <x:c r="D709" s="71" t="str">
        <x:v>/journey/new/trip-builder</x:v>
      </x:c>
      <x:c r="E709" s="71" t="str">
        <x:v>TripBuilderDocument</x:v>
      </x:c>
      <x:c r="F709" s="71" t="str">
        <x:v>Default</x:v>
      </x:c>
      <x:c r="G709" s="71" t="str">
        <x:v>CTA / button</x:v>
      </x:c>
      <x:c r="H709" s="71" t="str">
        <x:v>Add them to a stop or accept shorter dates.</x:v>
      </x:c>
      <x:c r="I709" s="71" t="str">
        <x:v>Add them to a stop or accept shorter dates.</x:v>
      </x:c>
      <x:c r="J709" s="73"/>
      <x:c r="K709" s="74" t="str">
        <x:f>IF(J709="",H709,IF(J709=I709,I709,J709))</x:f>
        <x:v>Add them to a stop or accept shorter dates.</x:v>
      </x:c>
      <x:c r="L709" s="74" t="str">
        <x:f>IF(J709="","Keep current",IF(J709=I709,"Use suggestion","Custom"))</x:f>
        <x:v>Keep current</x:v>
      </x:c>
      <x:c r="M709" s="71" t="str">
        <x:v>Pending review</x:v>
      </x:c>
      <x:c r="N709" s="71" t="str">
        <x:v>Medium</x:v>
      </x:c>
      <x:c r="O709" s="71" t="str">
        <x:v>app/journey/new/trip-builder.tsx</x:v>
      </x:c>
      <x:c r="P709" s="71" t="str">
        <x:v>TripBuilderDocument:1982</x:v>
      </x:c>
      <x:c r="Q709" s="71" t="str">
        <x:v>EN</x:v>
      </x:c>
      <x:c r="R709" s="71" t="str">
        <x:v>Already clear and direct; suggested wording intentionally keeps the current copy. Terminology watch: ‘trip’ and ‘journey’ both describe the same plan. Terminology watch: ‘stops’, ‘destinations’ and ‘places’ overlap.</x:v>
      </x:c>
      <x:c r="S709" s="75" t="str">
        <x:v>Not applied — review required</x:v>
      </x:c>
    </x:row>
    <x:row r="710">
      <x:c r="A710" s="71" t="str">
        <x:v>MRV-06A81FDAA4</x:v>
      </x:c>
      <x:c r="B710" s="71" t="str">
        <x:v>Planning</x:v>
      </x:c>
      <x:c r="C710" s="71" t="str">
        <x:v>New trip builder</x:v>
      </x:c>
      <x:c r="D710" s="71" t="str">
        <x:v>/journey/new/trip-builder</x:v>
      </x:c>
      <x:c r="E710" s="71" t="str">
        <x:v>TripBuilderDocument</x:v>
      </x:c>
      <x:c r="F710" s="71" t="str">
        <x:v>Default</x:v>
      </x:c>
      <x:c r="G710" s="71" t="str">
        <x:v>Body copy</x:v>
      </x:c>
      <x:c r="H710" s="71" t="str">
        <x:v>Aplica esta distribución para actualizar el plan.</x:v>
      </x:c>
      <x:c r="I710" s="71" t="str">
        <x:v>Aplica esta distribución para actualizar el plan.</x:v>
      </x:c>
      <x:c r="J710" s="73"/>
      <x:c r="K710" s="74" t="str">
        <x:f>IF(J710="",H710,IF(J710=I710,I710,J710))</x:f>
        <x:v>Aplica esta distribución para actualizar el plan.</x:v>
      </x:c>
      <x:c r="L710" s="74" t="str">
        <x:f>IF(J710="","Keep current",IF(J710=I710,"Use suggestion","Custom"))</x:f>
        <x:v>Keep current</x:v>
      </x:c>
      <x:c r="M710" s="71" t="str">
        <x:v>Pending review</x:v>
      </x:c>
      <x:c r="N710" s="71" t="str">
        <x:v>Normal</x:v>
      </x:c>
      <x:c r="O710" s="71" t="str">
        <x:v>app/journey/new/trip-builder.tsx</x:v>
      </x:c>
      <x:c r="P710" s="71" t="str">
        <x:v>TripBuilderDocument:1982</x:v>
      </x:c>
      <x:c r="Q710" s="71" t="str">
        <x:v>ES</x:v>
      </x:c>
      <x:c r="R710" s="71" t="str">
        <x:v>Already clear and direct; suggested wording intentionally keeps the current copy.</x:v>
      </x:c>
      <x:c r="S710" s="75" t="str">
        <x:v>Not applied — review required</x:v>
      </x:c>
    </x:row>
    <x:row r="711">
      <x:c r="A711" s="71" t="str">
        <x:v>MRV-7BA1EEDBF8</x:v>
      </x:c>
      <x:c r="B711" s="71" t="str">
        <x:v>Planning</x:v>
      </x:c>
      <x:c r="C711" s="71" t="str">
        <x:v>New trip builder</x:v>
      </x:c>
      <x:c r="D711" s="71" t="str">
        <x:v>/journey/new/trip-builder</x:v>
      </x:c>
      <x:c r="E711" s="71" t="str">
        <x:v>TripBuilderDocument</x:v>
      </x:c>
      <x:c r="F711" s="71" t="str">
        <x:v>Default</x:v>
      </x:c>
      <x:c r="G711" s="71" t="str">
        <x:v>Body copy</x:v>
      </x:c>
      <x:c r="H711" s="71" t="str">
        <x:v>Apply this split to update the plan.</x:v>
      </x:c>
      <x:c r="I711" s="71" t="str">
        <x:v>Apply this split to update the plan.</x:v>
      </x:c>
      <x:c r="J711" s="73"/>
      <x:c r="K711" s="74" t="str">
        <x:f>IF(J711="",H711,IF(J711=I711,I711,J711))</x:f>
        <x:v>Apply this split to update the plan.</x:v>
      </x:c>
      <x:c r="L711" s="74" t="str">
        <x:f>IF(J711="","Keep current",IF(J711=I711,"Use suggestion","Custom"))</x:f>
        <x:v>Keep current</x:v>
      </x:c>
      <x:c r="M711" s="71" t="str">
        <x:v>Pending review</x:v>
      </x:c>
      <x:c r="N711" s="71" t="str">
        <x:v>Normal</x:v>
      </x:c>
      <x:c r="O711" s="71" t="str">
        <x:v>app/journey/new/trip-builder.tsx</x:v>
      </x:c>
      <x:c r="P711" s="71" t="str">
        <x:v>TripBuilderDocument:1982</x:v>
      </x:c>
      <x:c r="Q711" s="71" t="str">
        <x:v>EN</x:v>
      </x:c>
      <x:c r="R711" s="71" t="str">
        <x:v>Already clear and direct; suggested wording intentionally keeps the current copy.</x:v>
      </x:c>
      <x:c r="S711" s="75" t="str">
        <x:v>Not applied — review required</x:v>
      </x:c>
    </x:row>
    <x:row r="712">
      <x:c r="A712" s="71" t="str">
        <x:v>MRV-BAB6152529</x:v>
      </x:c>
      <x:c r="B712" s="71" t="str">
        <x:v>Planning</x:v>
      </x:c>
      <x:c r="C712" s="71" t="str">
        <x:v>New trip builder</x:v>
      </x:c>
      <x:c r="D712" s="71" t="str">
        <x:v>/journey/new/trip-builder</x:v>
      </x:c>
      <x:c r="E712" s="71" t="str">
        <x:v>TripBuilderDocument</x:v>
      </x:c>
      <x:c r="F712" s="71" t="str">
        <x:v>Default</x:v>
      </x:c>
      <x:c r="G712" s="71" t="str">
        <x:v>Label</x:v>
      </x:c>
      <x:c r="H712" s="71" t="str">
        <x:v>Mantener fechas</x:v>
      </x:c>
      <x:c r="I712" s="71" t="str">
        <x:v>Mantener fechas</x:v>
      </x:c>
      <x:c r="J712" s="73"/>
      <x:c r="K712" s="74" t="str">
        <x:f>IF(J712="",H712,IF(J712=I712,I712,J712))</x:f>
        <x:v>Mantener fechas</x:v>
      </x:c>
      <x:c r="L712" s="74" t="str">
        <x:f>IF(J712="","Keep current",IF(J712=I712,"Use suggestion","Custom"))</x:f>
        <x:v>Keep current</x:v>
      </x:c>
      <x:c r="M712" s="71" t="str">
        <x:v>Pending review</x:v>
      </x:c>
      <x:c r="N712" s="71" t="str">
        <x:v>Normal</x:v>
      </x:c>
      <x:c r="O712" s="71" t="str">
        <x:v>app/journey/new/trip-builder.tsx</x:v>
      </x:c>
      <x:c r="P712" s="71" t="str">
        <x:v>TripBuilderDocument:1982</x:v>
      </x:c>
      <x:c r="Q712" s="71" t="str">
        <x:v>ES</x:v>
      </x:c>
      <x:c r="R712" s="71" t="str">
        <x:v>Already clear and direct; suggested wording intentionally keeps the current copy.</x:v>
      </x:c>
      <x:c r="S712" s="75" t="str">
        <x:v>Not applied — review required</x:v>
      </x:c>
    </x:row>
    <x:row r="713">
      <x:c r="A713" s="71" t="str">
        <x:v>MRV-E53CB15B9F</x:v>
      </x:c>
      <x:c r="B713" s="71" t="str">
        <x:v>Planning</x:v>
      </x:c>
      <x:c r="C713" s="71" t="str">
        <x:v>New trip builder</x:v>
      </x:c>
      <x:c r="D713" s="71" t="str">
        <x:v>/journey/new/trip-builder</x:v>
      </x:c>
      <x:c r="E713" s="71" t="str">
        <x:v>TripBuilderDocument</x:v>
      </x:c>
      <x:c r="F713" s="71" t="str">
        <x:v>Default</x:v>
      </x:c>
      <x:c r="G713" s="71" t="str">
        <x:v>Label</x:v>
      </x:c>
      <x:c r="H713" s="71" t="str">
        <x:v>Keep current dates</x:v>
      </x:c>
      <x:c r="I713" s="71" t="str">
        <x:v>Keep current dates</x:v>
      </x:c>
      <x:c r="J713" s="73"/>
      <x:c r="K713" s="74" t="str">
        <x:f>IF(J713="",H713,IF(J713=I713,I713,J713))</x:f>
        <x:v>Keep current dates</x:v>
      </x:c>
      <x:c r="L713" s="74" t="str">
        <x:f>IF(J713="","Keep current",IF(J713=I713,"Use suggestion","Custom"))</x:f>
        <x:v>Keep current</x:v>
      </x:c>
      <x:c r="M713" s="71" t="str">
        <x:v>Pending review</x:v>
      </x:c>
      <x:c r="N713" s="71" t="str">
        <x:v>Normal</x:v>
      </x:c>
      <x:c r="O713" s="71" t="str">
        <x:v>app/journey/new/trip-builder.tsx</x:v>
      </x:c>
      <x:c r="P713" s="71" t="str">
        <x:v>TripBuilderDocument:1982</x:v>
      </x:c>
      <x:c r="Q713" s="71" t="str">
        <x:v>EN</x:v>
      </x:c>
      <x:c r="R713" s="71" t="str">
        <x:v>Already clear and direct; suggested wording intentionally keeps the current copy.</x:v>
      </x:c>
      <x:c r="S713" s="75" t="str">
        <x:v>Not applied — review required</x:v>
      </x:c>
    </x:row>
    <x:row r="714">
      <x:c r="A714" s="71" t="str">
        <x:v>MRV-33E4B6A9B0</x:v>
      </x:c>
      <x:c r="B714" s="71" t="str">
        <x:v>Planning</x:v>
      </x:c>
      <x:c r="C714" s="71" t="str">
        <x:v>New trip builder</x:v>
      </x:c>
      <x:c r="D714" s="71" t="str">
        <x:v>/journey/new/trip-builder</x:v>
      </x:c>
      <x:c r="E714" s="71" t="str">
        <x:v>TripBuilderDocument</x:v>
      </x:c>
      <x:c r="F714" s="71" t="str">
        <x:v>Default</x:v>
      </x:c>
      <x:c r="G714" s="71" t="str">
        <x:v>Label</x:v>
      </x:c>
      <x:c r="H714" s="71" t="str">
        <x:v>Aceptar nueva duración</x:v>
      </x:c>
      <x:c r="I714" s="71" t="str">
        <x:v>Aceptar nueva duración</x:v>
      </x:c>
      <x:c r="J714" s="73"/>
      <x:c r="K714" s="74" t="str">
        <x:f>IF(J714="",H714,IF(J714=I714,I714,J714))</x:f>
        <x:v>Aceptar nueva duración</x:v>
      </x:c>
      <x:c r="L714" s="74" t="str">
        <x:f>IF(J714="","Keep current",IF(J714=I714,"Use suggestion","Custom"))</x:f>
        <x:v>Keep current</x:v>
      </x:c>
      <x:c r="M714" s="71" t="str">
        <x:v>Pending review</x:v>
      </x:c>
      <x:c r="N714" s="71" t="str">
        <x:v>Normal</x:v>
      </x:c>
      <x:c r="O714" s="71" t="str">
        <x:v>app/journey/new/trip-builder.tsx</x:v>
      </x:c>
      <x:c r="P714" s="71" t="str">
        <x:v>TripBuilderDocument:1982</x:v>
      </x:c>
      <x:c r="Q714" s="71" t="str">
        <x:v>ES</x:v>
      </x:c>
      <x:c r="R714" s="71" t="str">
        <x:v>Already clear and direct; suggested wording intentionally keeps the current copy.</x:v>
      </x:c>
      <x:c r="S714" s="75" t="str">
        <x:v>Not applied — review required</x:v>
      </x:c>
    </x:row>
    <x:row r="715">
      <x:c r="A715" s="71" t="str">
        <x:v>MRV-295B5F8947</x:v>
      </x:c>
      <x:c r="B715" s="71" t="str">
        <x:v>Planning</x:v>
      </x:c>
      <x:c r="C715" s="71" t="str">
        <x:v>New trip builder</x:v>
      </x:c>
      <x:c r="D715" s="71" t="str">
        <x:v>/journey/new/trip-builder</x:v>
      </x:c>
      <x:c r="E715" s="71" t="str">
        <x:v>TripBuilderDocument</x:v>
      </x:c>
      <x:c r="F715" s="71" t="str">
        <x:v>Default</x:v>
      </x:c>
      <x:c r="G715" s="71" t="str">
        <x:v>Label</x:v>
      </x:c>
      <x:c r="H715" s="71" t="str">
        <x:v>Accept new trip length</x:v>
      </x:c>
      <x:c r="I715" s="71" t="str">
        <x:v>Accept new trip length</x:v>
      </x:c>
      <x:c r="J715" s="73"/>
      <x:c r="K715" s="74" t="str">
        <x:f>IF(J715="",H715,IF(J715=I715,I715,J715))</x:f>
        <x:v>Accept new trip length</x:v>
      </x:c>
      <x:c r="L715" s="74" t="str">
        <x:f>IF(J715="","Keep current",IF(J715=I715,"Use suggestion","Custom"))</x:f>
        <x:v>Keep current</x:v>
      </x:c>
      <x:c r="M715" s="71" t="str">
        <x:v>Pending review</x:v>
      </x:c>
      <x:c r="N715" s="71" t="str">
        <x:v>Normal</x:v>
      </x:c>
      <x:c r="O715" s="71" t="str">
        <x:v>app/journey/new/trip-builder.tsx</x:v>
      </x:c>
      <x:c r="P715" s="71" t="str">
        <x:v>TripBuilderDocument:1982</x:v>
      </x:c>
      <x:c r="Q715" s="71" t="str">
        <x:v>EN</x:v>
      </x:c>
      <x:c r="R715" s="71" t="str">
        <x:v>Already clear and direct; suggested wording intentionally keeps the current copy. Terminology watch: ‘trip’ and ‘journey’ both describe the same plan. Terminology watch: ‘stops’, ‘destinations’ and ‘places’ overlap.</x:v>
      </x:c>
      <x:c r="S715" s="75" t="str">
        <x:v>Not applied — review required</x:v>
      </x:c>
    </x:row>
    <x:row r="716">
      <x:c r="A716" s="71" t="str">
        <x:v>MRV-2238506540</x:v>
      </x:c>
      <x:c r="B716" s="71" t="str">
        <x:v>Planning</x:v>
      </x:c>
      <x:c r="C716" s="71" t="str">
        <x:v>New trip builder</x:v>
      </x:c>
      <x:c r="D716" s="71" t="str">
        <x:v>/journey/new/trip-builder</x:v>
      </x:c>
      <x:c r="E716" s="71" t="str">
        <x:v>TripBuilderDocument</x:v>
      </x:c>
      <x:c r="F716" s="71" t="str">
        <x:v>Default</x:v>
      </x:c>
      <x:c r="G716" s="71" t="str">
        <x:v>Label</x:v>
      </x:c>
      <x:c r="H716" s="71" t="str">
        <x:v>Aceptar fechas más cortas</x:v>
      </x:c>
      <x:c r="I716" s="71" t="str">
        <x:v>Aceptar fechas más cortas</x:v>
      </x:c>
      <x:c r="J716" s="73"/>
      <x:c r="K716" s="74" t="str">
        <x:f>IF(J716="",H716,IF(J716=I716,I716,J716))</x:f>
        <x:v>Aceptar fechas más cortas</x:v>
      </x:c>
      <x:c r="L716" s="74" t="str">
        <x:f>IF(J716="","Keep current",IF(J716=I716,"Use suggestion","Custom"))</x:f>
        <x:v>Keep current</x:v>
      </x:c>
      <x:c r="M716" s="71" t="str">
        <x:v>Pending review</x:v>
      </x:c>
      <x:c r="N716" s="71" t="str">
        <x:v>Normal</x:v>
      </x:c>
      <x:c r="O716" s="71" t="str">
        <x:v>app/journey/new/trip-builder.tsx</x:v>
      </x:c>
      <x:c r="P716" s="71" t="str">
        <x:v>TripBuilderDocument:1982</x:v>
      </x:c>
      <x:c r="Q716" s="71" t="str">
        <x:v>ES</x:v>
      </x:c>
      <x:c r="R716" s="71" t="str">
        <x:v>Already clear and direct; suggested wording intentionally keeps the current copy.</x:v>
      </x:c>
      <x:c r="S716" s="75" t="str">
        <x:v>Not applied — review required</x:v>
      </x:c>
    </x:row>
    <x:row r="717">
      <x:c r="A717" s="71" t="str">
        <x:v>MRV-1127D39CC8</x:v>
      </x:c>
      <x:c r="B717" s="71" t="str">
        <x:v>Planning</x:v>
      </x:c>
      <x:c r="C717" s="71" t="str">
        <x:v>New trip builder</x:v>
      </x:c>
      <x:c r="D717" s="71" t="str">
        <x:v>/journey/new/trip-builder</x:v>
      </x:c>
      <x:c r="E717" s="71" t="str">
        <x:v>TripBuilderDocument</x:v>
      </x:c>
      <x:c r="F717" s="71" t="str">
        <x:v>Default</x:v>
      </x:c>
      <x:c r="G717" s="71" t="str">
        <x:v>Label</x:v>
      </x:c>
      <x:c r="H717" s="71" t="str">
        <x:v>Accept shorter dates</x:v>
      </x:c>
      <x:c r="I717" s="71" t="str">
        <x:v>Accept shorter dates</x:v>
      </x:c>
      <x:c r="J717" s="73"/>
      <x:c r="K717" s="74" t="str">
        <x:f>IF(J717="",H717,IF(J717=I717,I717,J717))</x:f>
        <x:v>Accept shorter dates</x:v>
      </x:c>
      <x:c r="L717" s="74" t="str">
        <x:f>IF(J717="","Keep current",IF(J717=I717,"Use suggestion","Custom"))</x:f>
        <x:v>Keep current</x:v>
      </x:c>
      <x:c r="M717" s="71" t="str">
        <x:v>Pending review</x:v>
      </x:c>
      <x:c r="N717" s="71" t="str">
        <x:v>Normal</x:v>
      </x:c>
      <x:c r="O717" s="71" t="str">
        <x:v>app/journey/new/trip-builder.tsx</x:v>
      </x:c>
      <x:c r="P717" s="71" t="str">
        <x:v>TripBuilderDocument:1982</x:v>
      </x:c>
      <x:c r="Q717" s="71" t="str">
        <x:v>EN</x:v>
      </x:c>
      <x:c r="R717" s="71" t="str">
        <x:v>Already clear and direct; suggested wording intentionally keeps the current copy.</x:v>
      </x:c>
      <x:c r="S717" s="75" t="str">
        <x:v>Not applied — review required</x:v>
      </x:c>
    </x:row>
    <x:row r="718">
      <x:c r="A718" s="71" t="str">
        <x:v>MRV-336C40C084</x:v>
      </x:c>
      <x:c r="B718" s="71" t="str">
        <x:v>Planning</x:v>
      </x:c>
      <x:c r="C718" s="71" t="str">
        <x:v>New trip builder</x:v>
      </x:c>
      <x:c r="D718" s="71" t="str">
        <x:v>/journey/new/trip-builder</x:v>
      </x:c>
      <x:c r="E718" s="71" t="str">
        <x:v>TripBuilderDocument</x:v>
      </x:c>
      <x:c r="F718" s="71" t="str">
        <x:v>Default</x:v>
      </x:c>
      <x:c r="G718" s="71" t="str">
        <x:v>Label</x:v>
      </x:c>
      <x:c r="H718" s="71" t="str">
        <x:v>Aplicar noches</x:v>
      </x:c>
      <x:c r="I718" s="71" t="str">
        <x:v>Aplicar noches</x:v>
      </x:c>
      <x:c r="J718" s="73"/>
      <x:c r="K718" s="74" t="str">
        <x:f>IF(J718="",H718,IF(J718=I718,I718,J718))</x:f>
        <x:v>Aplicar noches</x:v>
      </x:c>
      <x:c r="L718" s="74" t="str">
        <x:f>IF(J718="","Keep current",IF(J718=I718,"Use suggestion","Custom"))</x:f>
        <x:v>Keep current</x:v>
      </x:c>
      <x:c r="M718" s="71" t="str">
        <x:v>Pending review</x:v>
      </x:c>
      <x:c r="N718" s="71" t="str">
        <x:v>Normal</x:v>
      </x:c>
      <x:c r="O718" s="71" t="str">
        <x:v>app/journey/new/trip-builder.tsx</x:v>
      </x:c>
      <x:c r="P718" s="71" t="str">
        <x:v>TripBuilderDocument:1982</x:v>
      </x:c>
      <x:c r="Q718" s="71" t="str">
        <x:v>ES</x:v>
      </x:c>
      <x:c r="R718" s="71" t="str">
        <x:v>Already clear and direct; suggested wording intentionally keeps the current copy.</x:v>
      </x:c>
      <x:c r="S718" s="75" t="str">
        <x:v>Not applied — review required</x:v>
      </x:c>
    </x:row>
    <x:row r="719">
      <x:c r="A719" s="71" t="str">
        <x:v>MRV-F272B661D3</x:v>
      </x:c>
      <x:c r="B719" s="71" t="str">
        <x:v>Planning</x:v>
      </x:c>
      <x:c r="C719" s="71" t="str">
        <x:v>New trip builder</x:v>
      </x:c>
      <x:c r="D719" s="71" t="str">
        <x:v>/journey/new/trip-builder</x:v>
      </x:c>
      <x:c r="E719" s="71" t="str">
        <x:v>TripBuilderDocument</x:v>
      </x:c>
      <x:c r="F719" s="71" t="str">
        <x:v>Default</x:v>
      </x:c>
      <x:c r="G719" s="71" t="str">
        <x:v>Label</x:v>
      </x:c>
      <x:c r="H719" s="71" t="str">
        <x:v>Apply nights</x:v>
      </x:c>
      <x:c r="I719" s="71" t="str">
        <x:v>Apply nights</x:v>
      </x:c>
      <x:c r="J719" s="73"/>
      <x:c r="K719" s="74" t="str">
        <x:f>IF(J719="",H719,IF(J719=I719,I719,J719))</x:f>
        <x:v>Apply nights</x:v>
      </x:c>
      <x:c r="L719" s="74" t="str">
        <x:f>IF(J719="","Keep current",IF(J719=I719,"Use suggestion","Custom"))</x:f>
        <x:v>Keep current</x:v>
      </x:c>
      <x:c r="M719" s="71" t="str">
        <x:v>Pending review</x:v>
      </x:c>
      <x:c r="N719" s="71" t="str">
        <x:v>Normal</x:v>
      </x:c>
      <x:c r="O719" s="71" t="str">
        <x:v>app/journey/new/trip-builder.tsx</x:v>
      </x:c>
      <x:c r="P719" s="71" t="str">
        <x:v>TripBuilderDocument:1982</x:v>
      </x:c>
      <x:c r="Q719" s="71" t="str">
        <x:v>EN</x:v>
      </x:c>
      <x:c r="R719" s="71" t="str">
        <x:v>Already clear and direct; suggested wording intentionally keeps the current copy.</x:v>
      </x:c>
      <x:c r="S719" s="75" t="str">
        <x:v>Not applied — review required</x:v>
      </x:c>
    </x:row>
    <x:row r="720">
      <x:c r="A720" s="71" t="str">
        <x:v>MRV-A75265EB9A</x:v>
      </x:c>
      <x:c r="B720" s="71" t="str">
        <x:v>Planning</x:v>
      </x:c>
      <x:c r="C720" s="71" t="str">
        <x:v>New trip builder</x:v>
      </x:c>
      <x:c r="D720" s="71" t="str">
        <x:v>/journey/new/trip-builder</x:v>
      </x:c>
      <x:c r="E720" s="71" t="str">
        <x:v>TripBuilderDocument</x:v>
      </x:c>
      <x:c r="F720" s="71" t="str">
        <x:v>Default</x:v>
      </x:c>
      <x:c r="G720" s="71" t="str">
        <x:v>Label</x:v>
      </x:c>
      <x:c r="H720" s="71" t="str">
        <x:v>Por qué este orden:</x:v>
      </x:c>
      <x:c r="I720" s="71" t="str">
        <x:v>Por qué este orden:</x:v>
      </x:c>
      <x:c r="J720" s="73"/>
      <x:c r="K720" s="74" t="str">
        <x:f>IF(J720="",H720,IF(J720=I720,I720,J720))</x:f>
        <x:v>Por qué este orden:</x:v>
      </x:c>
      <x:c r="L720" s="74" t="str">
        <x:f>IF(J720="","Keep current",IF(J720=I720,"Use suggestion","Custom"))</x:f>
        <x:v>Keep current</x:v>
      </x:c>
      <x:c r="M720" s="71" t="str">
        <x:v>Pending review</x:v>
      </x:c>
      <x:c r="N720" s="71" t="str">
        <x:v>Normal</x:v>
      </x:c>
      <x:c r="O720" s="71" t="str">
        <x:v>app/journey/new/trip-builder.tsx</x:v>
      </x:c>
      <x:c r="P720" s="71" t="str">
        <x:v>TripBuilderDocument:1983</x:v>
      </x:c>
      <x:c r="Q720" s="71" t="str">
        <x:v>ES</x:v>
      </x:c>
      <x:c r="R720" s="71" t="str">
        <x:v>Already clear and direct; suggested wording intentionally keeps the current copy.</x:v>
      </x:c>
      <x:c r="S720" s="75" t="str">
        <x:v>Not applied — review required</x:v>
      </x:c>
    </x:row>
    <x:row r="721">
      <x:c r="A721" s="71" t="str">
        <x:v>MRV-6CDE065A53</x:v>
      </x:c>
      <x:c r="B721" s="71" t="str">
        <x:v>Planning</x:v>
      </x:c>
      <x:c r="C721" s="71" t="str">
        <x:v>New trip builder</x:v>
      </x:c>
      <x:c r="D721" s="71" t="str">
        <x:v>/journey/new/trip-builder</x:v>
      </x:c>
      <x:c r="E721" s="71" t="str">
        <x:v>TripBuilderDocument</x:v>
      </x:c>
      <x:c r="F721" s="71" t="str">
        <x:v>Default</x:v>
      </x:c>
      <x:c r="G721" s="71" t="str">
        <x:v>Label</x:v>
      </x:c>
      <x:c r="H721" s="71" t="str">
        <x:v>Why this order:</x:v>
      </x:c>
      <x:c r="I721" s="71" t="str">
        <x:v>Why this order:</x:v>
      </x:c>
      <x:c r="J721" s="73"/>
      <x:c r="K721" s="74" t="str">
        <x:f>IF(J721="",H721,IF(J721=I721,I721,J721))</x:f>
        <x:v>Why this order:</x:v>
      </x:c>
      <x:c r="L721" s="74" t="str">
        <x:f>IF(J721="","Keep current",IF(J721=I721,"Use suggestion","Custom"))</x:f>
        <x:v>Keep current</x:v>
      </x:c>
      <x:c r="M721" s="71" t="str">
        <x:v>Pending review</x:v>
      </x:c>
      <x:c r="N721" s="71" t="str">
        <x:v>Normal</x:v>
      </x:c>
      <x:c r="O721" s="71" t="str">
        <x:v>app/journey/new/trip-builder.tsx</x:v>
      </x:c>
      <x:c r="P721" s="71" t="str">
        <x:v>TripBuilderDocument:1983</x:v>
      </x:c>
      <x:c r="Q721" s="71" t="str">
        <x:v>EN</x:v>
      </x:c>
      <x:c r="R721" s="71" t="str">
        <x:v>Already clear and direct; suggested wording intentionally keeps the current copy.</x:v>
      </x:c>
      <x:c r="S721" s="75" t="str">
        <x:v>Not applied — review required</x:v>
      </x:c>
    </x:row>
    <x:row r="722">
      <x:c r="A722" s="71" t="str">
        <x:v>MRV-4D64CBA198</x:v>
      </x:c>
      <x:c r="B722" s="71" t="str">
        <x:v>Planning</x:v>
      </x:c>
      <x:c r="C722" s="71" t="str">
        <x:v>New trip builder</x:v>
      </x:c>
      <x:c r="D722" s="71" t="str">
        <x:v>/journey/new/trip-builder</x:v>
      </x:c>
      <x:c r="E722" s="71" t="str">
        <x:v>TripBuilderDocument</x:v>
      </x:c>
      <x:c r="F722" s="71" t="str">
        <x:v>Default</x:v>
      </x:c>
      <x:c r="G722" s="71" t="str">
        <x:v>Body copy</x:v>
      </x:c>
      <x:c r="H722" s="71" t="str">
        <x:v>La ruta reduce retrocesos y deja espacio para cada parada.</x:v>
      </x:c>
      <x:c r="I722" s="71" t="str">
        <x:v>La ruta reduce retrocesos y deja espacio para cada parada.</x:v>
      </x:c>
      <x:c r="J722" s="73"/>
      <x:c r="K722" s="74" t="str">
        <x:f>IF(J722="",H722,IF(J722=I722,I722,J722))</x:f>
        <x:v>La ruta reduce retrocesos y deja espacio para cada parada.</x:v>
      </x:c>
      <x:c r="L722" s="74" t="str">
        <x:f>IF(J722="","Keep current",IF(J722=I722,"Use suggestion","Custom"))</x:f>
        <x:v>Keep current</x:v>
      </x:c>
      <x:c r="M722" s="71" t="str">
        <x:v>Pending review</x:v>
      </x:c>
      <x:c r="N722" s="71" t="str">
        <x:v>Normal</x:v>
      </x:c>
      <x:c r="O722" s="71" t="str">
        <x:v>app/journey/new/trip-builder.tsx</x:v>
      </x:c>
      <x:c r="P722" s="71" t="str">
        <x:v>TripBuilderDocument:1983</x:v>
      </x:c>
      <x:c r="Q722" s="71" t="str">
        <x:v>ES</x:v>
      </x:c>
      <x:c r="R722" s="71" t="str">
        <x:v>Already clear and direct; suggested wording intentionally keeps the current copy.</x:v>
      </x:c>
      <x:c r="S722" s="75" t="str">
        <x:v>Not applied — review required</x:v>
      </x:c>
    </x:row>
    <x:row r="723">
      <x:c r="A723" s="71" t="str">
        <x:v>MRV-255AE37C09</x:v>
      </x:c>
      <x:c r="B723" s="71" t="str">
        <x:v>Planning</x:v>
      </x:c>
      <x:c r="C723" s="71" t="str">
        <x:v>New trip builder</x:v>
      </x:c>
      <x:c r="D723" s="71" t="str">
        <x:v>/journey/new/trip-builder</x:v>
      </x:c>
      <x:c r="E723" s="71" t="str">
        <x:v>TripBuilderDocument</x:v>
      </x:c>
      <x:c r="F723" s="71" t="str">
        <x:v>Default</x:v>
      </x:c>
      <x:c r="G723" s="71" t="str">
        <x:v>Body copy</x:v>
      </x:c>
      <x:c r="H723" s="71" t="str">
        <x:v>This order reduces backtracking and leaves room for every stop.</x:v>
      </x:c>
      <x:c r="I723" s="71" t="str">
        <x:v>This order reduces backtracking and leaves room for every stop.</x:v>
      </x:c>
      <x:c r="J723" s="73"/>
      <x:c r="K723" s="74" t="str">
        <x:f>IF(J723="",H723,IF(J723=I723,I723,J723))</x:f>
        <x:v>This order reduces backtracking and leaves room for every stop.</x:v>
      </x:c>
      <x:c r="L723" s="74" t="str">
        <x:f>IF(J723="","Keep current",IF(J723=I723,"Use suggestion","Custom"))</x:f>
        <x:v>Keep current</x:v>
      </x:c>
      <x:c r="M723" s="71" t="str">
        <x:v>Pending review</x:v>
      </x:c>
      <x:c r="N723" s="71" t="str">
        <x:v>Normal</x:v>
      </x:c>
      <x:c r="O723" s="71" t="str">
        <x:v>app/journey/new/trip-builder.tsx</x:v>
      </x:c>
      <x:c r="P723" s="71" t="str">
        <x:v>TripBuilderDocument:1983</x:v>
      </x:c>
      <x:c r="Q723" s="71" t="str">
        <x:v>EN</x:v>
      </x:c>
      <x:c r="R723" s="71" t="str">
        <x:v>Already clear and direct; suggested wording intentionally keeps the current copy. Terminology watch: ‘trip’ and ‘journey’ both describe the same plan. Terminology watch: ‘stops’, ‘destinations’ and ‘places’ overlap.</x:v>
      </x:c>
      <x:c r="S723" s="75" t="str">
        <x:v>Not applied — review required</x:v>
      </x:c>
    </x:row>
    <x:row r="724">
      <x:c r="A724" s="71" t="str">
        <x:v>MRV-626FD9EB8D</x:v>
      </x:c>
      <x:c r="B724" s="71" t="str">
        <x:v>Planning</x:v>
      </x:c>
      <x:c r="C724" s="71" t="str">
        <x:v>New trip builder</x:v>
      </x:c>
      <x:c r="D724" s="71" t="str">
        <x:v>/journey/new/trip-builder</x:v>
      </x:c>
      <x:c r="E724" s="71" t="str">
        <x:v>TripBuilderDocument</x:v>
      </x:c>
      <x:c r="F724" s="71" t="str">
        <x:v>Default</x:v>
      </x:c>
      <x:c r="G724" s="71" t="str">
        <x:v>Label</x:v>
      </x:c>
      <x:c r="H724" s="71" t="str">
        <x:v>Usar el orden recomendado</x:v>
      </x:c>
      <x:c r="I724" s="71" t="str">
        <x:v>Usar el orden recomendado</x:v>
      </x:c>
      <x:c r="J724" s="73"/>
      <x:c r="K724" s="74" t="str">
        <x:f>IF(J724="",H724,IF(J724=I724,I724,J724))</x:f>
        <x:v>Usar el orden recomendado</x:v>
      </x:c>
      <x:c r="L724" s="74" t="str">
        <x:f>IF(J724="","Keep current",IF(J724=I724,"Use suggestion","Custom"))</x:f>
        <x:v>Keep current</x:v>
      </x:c>
      <x:c r="M724" s="71" t="str">
        <x:v>Pending review</x:v>
      </x:c>
      <x:c r="N724" s="71" t="str">
        <x:v>Normal</x:v>
      </x:c>
      <x:c r="O724" s="71" t="str">
        <x:v>app/journey/new/trip-builder.tsx</x:v>
      </x:c>
      <x:c r="P724" s="71" t="str">
        <x:v>TripBuilderDocument:1985</x:v>
      </x:c>
      <x:c r="Q724" s="71" t="str">
        <x:v>ES</x:v>
      </x:c>
      <x:c r="R724" s="71" t="str">
        <x:v>Already clear and direct; suggested wording intentionally keeps the current copy.</x:v>
      </x:c>
      <x:c r="S724" s="75" t="str">
        <x:v>Not applied — review required</x:v>
      </x:c>
    </x:row>
    <x:row r="725">
      <x:c r="A725" s="71" t="str">
        <x:v>MRV-8157AC7622</x:v>
      </x:c>
      <x:c r="B725" s="71" t="str">
        <x:v>Planning</x:v>
      </x:c>
      <x:c r="C725" s="71" t="str">
        <x:v>New trip builder</x:v>
      </x:c>
      <x:c r="D725" s="71" t="str">
        <x:v>/journey/new/trip-builder</x:v>
      </x:c>
      <x:c r="E725" s="71" t="str">
        <x:v>TripBuilderDocument</x:v>
      </x:c>
      <x:c r="F725" s="71" t="str">
        <x:v>Default</x:v>
      </x:c>
      <x:c r="G725" s="71" t="str">
        <x:v>CTA / button</x:v>
      </x:c>
      <x:c r="H725" s="71" t="str">
        <x:v>Use Morrovia’s order</x:v>
      </x:c>
      <x:c r="I725" s="71" t="str">
        <x:v>Use Morrovia’s order</x:v>
      </x:c>
      <x:c r="J725" s="73"/>
      <x:c r="K725" s="74" t="str">
        <x:f>IF(J725="",H725,IF(J725=I725,I725,J725))</x:f>
        <x:v>Use Morrovia’s order</x:v>
      </x:c>
      <x:c r="L725" s="74" t="str">
        <x:f>IF(J725="","Keep current",IF(J725=I725,"Use suggestion","Custom"))</x:f>
        <x:v>Keep current</x:v>
      </x:c>
      <x:c r="M725" s="71" t="str">
        <x:v>Pending review</x:v>
      </x:c>
      <x:c r="N725" s="71" t="str">
        <x:v>Medium</x:v>
      </x:c>
      <x:c r="O725" s="71" t="str">
        <x:v>app/journey/new/trip-builder.tsx</x:v>
      </x:c>
      <x:c r="P725" s="71" t="str">
        <x:v>TripBuilderDocument:1985</x:v>
      </x:c>
      <x:c r="Q725" s="71" t="str">
        <x:v>EN</x:v>
      </x:c>
      <x:c r="R725" s="71" t="str">
        <x:v>Already clear and direct; suggested wording intentionally keeps the current copy.</x:v>
      </x:c>
      <x:c r="S725" s="75" t="str">
        <x:v>Not applied — review required</x:v>
      </x:c>
    </x:row>
    <x:row r="726">
      <x:c r="A726" s="71" t="str">
        <x:v>MRV-D2D8CBEE1A</x:v>
      </x:c>
      <x:c r="B726" s="71" t="str">
        <x:v>Planning</x:v>
      </x:c>
      <x:c r="C726" s="71" t="str">
        <x:v>New trip builder</x:v>
      </x:c>
      <x:c r="D726" s="71" t="str">
        <x:v>/journey/new/trip-builder</x:v>
      </x:c>
      <x:c r="E726" s="71" t="str">
        <x:v>TripBuilderDocument</x:v>
      </x:c>
      <x:c r="F726" s="71" t="str">
        <x:v>Default</x:v>
      </x:c>
      <x:c r="G726" s="71" t="str">
        <x:v>Label</x:v>
      </x:c>
      <x:c r="H726" s="71" t="str">
        <x:v>Este orden ya funciona</x:v>
      </x:c>
      <x:c r="I726" s="71" t="str">
        <x:v>Este orden ya funciona</x:v>
      </x:c>
      <x:c r="J726" s="73"/>
      <x:c r="K726" s="74" t="str">
        <x:f>IF(J726="",H726,IF(J726=I726,I726,J726))</x:f>
        <x:v>Este orden ya funciona</x:v>
      </x:c>
      <x:c r="L726" s="74" t="str">
        <x:f>IF(J726="","Keep current",IF(J726=I726,"Use suggestion","Custom"))</x:f>
        <x:v>Keep current</x:v>
      </x:c>
      <x:c r="M726" s="71" t="str">
        <x:v>Pending review</x:v>
      </x:c>
      <x:c r="N726" s="71" t="str">
        <x:v>Normal</x:v>
      </x:c>
      <x:c r="O726" s="71" t="str">
        <x:v>app/journey/new/trip-builder.tsx</x:v>
      </x:c>
      <x:c r="P726" s="71" t="str">
        <x:v>TripBuilderDocument:1985</x:v>
      </x:c>
      <x:c r="Q726" s="71" t="str">
        <x:v>ES</x:v>
      </x:c>
      <x:c r="R726" s="71" t="str">
        <x:v>Already clear and direct; suggested wording intentionally keeps the current copy.</x:v>
      </x:c>
      <x:c r="S726" s="75" t="str">
        <x:v>Not applied — review required</x:v>
      </x:c>
    </x:row>
    <x:row r="727">
      <x:c r="A727" s="71" t="str">
        <x:v>MRV-7077727F99</x:v>
      </x:c>
      <x:c r="B727" s="71" t="str">
        <x:v>Planning</x:v>
      </x:c>
      <x:c r="C727" s="71" t="str">
        <x:v>New trip builder</x:v>
      </x:c>
      <x:c r="D727" s="71" t="str">
        <x:v>/journey/new/trip-builder</x:v>
      </x:c>
      <x:c r="E727" s="71" t="str">
        <x:v>TripBuilderDocument</x:v>
      </x:c>
      <x:c r="F727" s="71" t="str">
        <x:v>Default</x:v>
      </x:c>
      <x:c r="G727" s="71" t="str">
        <x:v>Label</x:v>
      </x:c>
      <x:c r="H727" s="71" t="str">
        <x:v>This order already works</x:v>
      </x:c>
      <x:c r="I727" s="71" t="str">
        <x:v>This order already works</x:v>
      </x:c>
      <x:c r="J727" s="73"/>
      <x:c r="K727" s="74" t="str">
        <x:f>IF(J727="",H727,IF(J727=I727,I727,J727))</x:f>
        <x:v>This order already works</x:v>
      </x:c>
      <x:c r="L727" s="74" t="str">
        <x:f>IF(J727="","Keep current",IF(J727=I727,"Use suggestion","Custom"))</x:f>
        <x:v>Keep current</x:v>
      </x:c>
      <x:c r="M727" s="71" t="str">
        <x:v>Pending review</x:v>
      </x:c>
      <x:c r="N727" s="71" t="str">
        <x:v>Normal</x:v>
      </x:c>
      <x:c r="O727" s="71" t="str">
        <x:v>app/journey/new/trip-builder.tsx</x:v>
      </x:c>
      <x:c r="P727" s="71" t="str">
        <x:v>TripBuilderDocument:1985</x:v>
      </x:c>
      <x:c r="Q727" s="71" t="str">
        <x:v>EN</x:v>
      </x:c>
      <x:c r="R727" s="71" t="str">
        <x:v>Already clear and direct; suggested wording intentionally keeps the current copy.</x:v>
      </x:c>
      <x:c r="S727" s="75" t="str">
        <x:v>Not applied — review required</x:v>
      </x:c>
    </x:row>
    <x:row r="728">
      <x:c r="A728" s="71" t="str">
        <x:v>MRV-75A7E2DBD6</x:v>
      </x:c>
      <x:c r="B728" s="71" t="str">
        <x:v>Planning</x:v>
      </x:c>
      <x:c r="C728" s="71" t="str">
        <x:v>New trip builder</x:v>
      </x:c>
      <x:c r="D728" s="71" t="str">
        <x:v>/journey/new/trip-builder</x:v>
      </x:c>
      <x:c r="E728" s="71" t="str">
        <x:v>TripBuilderDocument</x:v>
      </x:c>
      <x:c r="F728" s="71" t="str">
        <x:v>Default</x:v>
      </x:c>
      <x:c r="G728" s="71" t="str">
        <x:v>Label</x:v>
      </x:c>
      <x:c r="H728" s="71" t="str">
        <x:v>Mantener mi orden</x:v>
      </x:c>
      <x:c r="I728" s="71" t="str">
        <x:v>Mantener mi orden</x:v>
      </x:c>
      <x:c r="J728" s="73"/>
      <x:c r="K728" s="74" t="str">
        <x:f>IF(J728="",H728,IF(J728=I728,I728,J728))</x:f>
        <x:v>Mantener mi orden</x:v>
      </x:c>
      <x:c r="L728" s="74" t="str">
        <x:f>IF(J728="","Keep current",IF(J728=I728,"Use suggestion","Custom"))</x:f>
        <x:v>Keep current</x:v>
      </x:c>
      <x:c r="M728" s="71" t="str">
        <x:v>Pending review</x:v>
      </x:c>
      <x:c r="N728" s="71" t="str">
        <x:v>Normal</x:v>
      </x:c>
      <x:c r="O728" s="71" t="str">
        <x:v>app/journey/new/trip-builder.tsx</x:v>
      </x:c>
      <x:c r="P728" s="71" t="str">
        <x:v>TripBuilderDocument:1986</x:v>
      </x:c>
      <x:c r="Q728" s="71" t="str">
        <x:v>ES</x:v>
      </x:c>
      <x:c r="R728" s="71" t="str">
        <x:v>Already clear and direct; suggested wording intentionally keeps the current copy.</x:v>
      </x:c>
      <x:c r="S728" s="75" t="str">
        <x:v>Not applied — review required</x:v>
      </x:c>
    </x:row>
    <x:row r="729">
      <x:c r="A729" s="71" t="str">
        <x:v>MRV-105327D936</x:v>
      </x:c>
      <x:c r="B729" s="71" t="str">
        <x:v>Planning</x:v>
      </x:c>
      <x:c r="C729" s="71" t="str">
        <x:v>New trip builder</x:v>
      </x:c>
      <x:c r="D729" s="71" t="str">
        <x:v>/journey/new/trip-builder</x:v>
      </x:c>
      <x:c r="E729" s="71" t="str">
        <x:v>TripBuilderDocument</x:v>
      </x:c>
      <x:c r="F729" s="71" t="str">
        <x:v>Default</x:v>
      </x:c>
      <x:c r="G729" s="71" t="str">
        <x:v>Label</x:v>
      </x:c>
      <x:c r="H729" s="71" t="str">
        <x:v>Keep my order</x:v>
      </x:c>
      <x:c r="I729" s="71" t="str">
        <x:v>Keep my order</x:v>
      </x:c>
      <x:c r="J729" s="73"/>
      <x:c r="K729" s="74" t="str">
        <x:f>IF(J729="",H729,IF(J729=I729,I729,J729))</x:f>
        <x:v>Keep my order</x:v>
      </x:c>
      <x:c r="L729" s="74" t="str">
        <x:f>IF(J729="","Keep current",IF(J729=I729,"Use suggestion","Custom"))</x:f>
        <x:v>Keep current</x:v>
      </x:c>
      <x:c r="M729" s="71" t="str">
        <x:v>Pending review</x:v>
      </x:c>
      <x:c r="N729" s="71" t="str">
        <x:v>Normal</x:v>
      </x:c>
      <x:c r="O729" s="71" t="str">
        <x:v>app/journey/new/trip-builder.tsx</x:v>
      </x:c>
      <x:c r="P729" s="71" t="str">
        <x:v>TripBuilderDocument:1986</x:v>
      </x:c>
      <x:c r="Q729" s="71" t="str">
        <x:v>EN</x:v>
      </x:c>
      <x:c r="R729" s="71" t="str">
        <x:v>Already clear and direct; suggested wording intentionally keeps the current copy.</x:v>
      </x:c>
      <x:c r="S729" s="75" t="str">
        <x:v>Not applied — review required</x:v>
      </x:c>
    </x:row>
    <x:row r="730">
      <x:c r="A730" s="71" t="str">
        <x:v>MRV-F14B385144</x:v>
      </x:c>
      <x:c r="B730" s="71" t="str">
        <x:v>Planning</x:v>
      </x:c>
      <x:c r="C730" s="71" t="str">
        <x:v>New trip builder</x:v>
      </x:c>
      <x:c r="D730" s="71" t="str">
        <x:v>/journey/new/trip-builder</x:v>
      </x:c>
      <x:c r="E730" s="71" t="str">
        <x:v>TripBuilderDocument</x:v>
      </x:c>
      <x:c r="F730" s="71" t="str">
        <x:v>Default</x:v>
      </x:c>
      <x:c r="G730" s="71" t="str">
        <x:v>Label</x:v>
      </x:c>
      <x:c r="H730" s="71" t="str">
        <x:v>LO QUE QUIERES VIVIR</x:v>
      </x:c>
      <x:c r="I730" s="71" t="str">
        <x:v>LO QUE QUIERES VIVIR</x:v>
      </x:c>
      <x:c r="J730" s="73"/>
      <x:c r="K730" s="74" t="str">
        <x:f>IF(J730="",H730,IF(J730=I730,I730,J730))</x:f>
        <x:v>LO QUE QUIERES VIVIR</x:v>
      </x:c>
      <x:c r="L730" s="74" t="str">
        <x:f>IF(J730="","Keep current",IF(J730=I730,"Use suggestion","Custom"))</x:f>
        <x:v>Keep current</x:v>
      </x:c>
      <x:c r="M730" s="71" t="str">
        <x:v>Pending review</x:v>
      </x:c>
      <x:c r="N730" s="71" t="str">
        <x:v>Normal</x:v>
      </x:c>
      <x:c r="O730" s="71" t="str">
        <x:v>app/journey/new/trip-builder.tsx</x:v>
      </x:c>
      <x:c r="P730" s="71" t="str">
        <x:v>TripBuilderDocument:1989</x:v>
      </x:c>
      <x:c r="Q730" s="71" t="str">
        <x:v>ES</x:v>
      </x:c>
      <x:c r="R730" s="71" t="str">
        <x:v>Already clear and direct; suggested wording intentionally keeps the current copy.</x:v>
      </x:c>
      <x:c r="S730" s="75" t="str">
        <x:v>Not applied — review required</x:v>
      </x:c>
    </x:row>
    <x:row r="731">
      <x:c r="A731" s="71" t="str">
        <x:v>MRV-21B2AB7E99</x:v>
      </x:c>
      <x:c r="B731" s="71" t="str">
        <x:v>Planning</x:v>
      </x:c>
      <x:c r="C731" s="71" t="str">
        <x:v>New trip builder</x:v>
      </x:c>
      <x:c r="D731" s="71" t="str">
        <x:v>/journey/new/trip-builder</x:v>
      </x:c>
      <x:c r="E731" s="71" t="str">
        <x:v>TripBuilderDocument</x:v>
      </x:c>
      <x:c r="F731" s="71" t="str">
        <x:v>Default</x:v>
      </x:c>
      <x:c r="G731" s="71" t="str">
        <x:v>Label</x:v>
      </x:c>
      <x:c r="H731" s="71" t="str">
        <x:v>WHAT YOU WANT TO EXPERIENCE</x:v>
      </x:c>
      <x:c r="I731" s="71" t="str">
        <x:v>WHAT YOU WANT TO EXPERIENCE</x:v>
      </x:c>
      <x:c r="J731" s="73"/>
      <x:c r="K731" s="74" t="str">
        <x:f>IF(J731="",H731,IF(J731=I731,I731,J731))</x:f>
        <x:v>WHAT YOU WANT TO EXPERIENCE</x:v>
      </x:c>
      <x:c r="L731" s="74" t="str">
        <x:f>IF(J731="","Keep current",IF(J731=I731,"Use suggestion","Custom"))</x:f>
        <x:v>Keep current</x:v>
      </x:c>
      <x:c r="M731" s="71" t="str">
        <x:v>Pending review</x:v>
      </x:c>
      <x:c r="N731" s="71" t="str">
        <x:v>Normal</x:v>
      </x:c>
      <x:c r="O731" s="71" t="str">
        <x:v>app/journey/new/trip-builder.tsx</x:v>
      </x:c>
      <x:c r="P731" s="71" t="str">
        <x:v>TripBuilderDocument:1989</x:v>
      </x:c>
      <x:c r="Q731" s="71" t="str">
        <x:v>EN</x:v>
      </x:c>
      <x:c r="R731" s="71" t="str">
        <x:v>Already clear and direct; suggested wording intentionally keeps the current copy.</x:v>
      </x:c>
      <x:c r="S731" s="75" t="str">
        <x:v>Not applied — review required</x:v>
      </x:c>
    </x:row>
    <x:row r="732">
      <x:c r="A732" s="71" t="str">
        <x:v>MRV-357148C0E1</x:v>
      </x:c>
      <x:c r="B732" s="71" t="str">
        <x:v>Planning</x:v>
      </x:c>
      <x:c r="C732" s="71" t="str">
        <x:v>New trip builder</x:v>
      </x:c>
      <x:c r="D732" s="71" t="str">
        <x:v>/journey/new/trip-builder</x:v>
      </x:c>
      <x:c r="E732" s="71" t="str">
        <x:v>TripBuilderDocument</x:v>
      </x:c>
      <x:c r="F732" s="71" t="str">
        <x:v>Default</x:v>
      </x:c>
      <x:c r="G732" s="71" t="str">
        <x:v>Body copy</x:v>
      </x:c>
      <x:c r="H732" s="71" t="str">
        <x:v>Elige lo que merece tiempo.</x:v>
      </x:c>
      <x:c r="I732" s="71" t="str">
        <x:v>Elige lo que merece tiempo.</x:v>
      </x:c>
      <x:c r="J732" s="73"/>
      <x:c r="K732" s="74" t="str">
        <x:f>IF(J732="",H732,IF(J732=I732,I732,J732))</x:f>
        <x:v>Elige lo que merece tiempo.</x:v>
      </x:c>
      <x:c r="L732" s="74" t="str">
        <x:f>IF(J732="","Keep current",IF(J732=I732,"Use suggestion","Custom"))</x:f>
        <x:v>Keep current</x:v>
      </x:c>
      <x:c r="M732" s="71" t="str">
        <x:v>Pending review</x:v>
      </x:c>
      <x:c r="N732" s="71" t="str">
        <x:v>Normal</x:v>
      </x:c>
      <x:c r="O732" s="71" t="str">
        <x:v>app/journey/new/trip-builder.tsx</x:v>
      </x:c>
      <x:c r="P732" s="71" t="str">
        <x:v>TripBuilderDocument:1989</x:v>
      </x:c>
      <x:c r="Q732" s="71" t="str">
        <x:v>ES</x:v>
      </x:c>
      <x:c r="R732" s="71" t="str">
        <x:v>Already clear and direct; suggested wording intentionally keeps the current copy.</x:v>
      </x:c>
      <x:c r="S732" s="75" t="str">
        <x:v>Not applied — review required</x:v>
      </x:c>
    </x:row>
    <x:row r="733">
      <x:c r="A733" s="71" t="str">
        <x:v>MRV-BE4330C2A5</x:v>
      </x:c>
      <x:c r="B733" s="71" t="str">
        <x:v>Planning</x:v>
      </x:c>
      <x:c r="C733" s="71" t="str">
        <x:v>New trip builder</x:v>
      </x:c>
      <x:c r="D733" s="71" t="str">
        <x:v>/journey/new/trip-builder</x:v>
      </x:c>
      <x:c r="E733" s="71" t="str">
        <x:v>TripBuilderDocument</x:v>
      </x:c>
      <x:c r="F733" s="71" t="str">
        <x:v>Default</x:v>
      </x:c>
      <x:c r="G733" s="71" t="str">
        <x:v>Body copy</x:v>
      </x:c>
      <x:c r="H733" s="71" t="str">
        <x:v>Choose what deserves time.</x:v>
      </x:c>
      <x:c r="I733" s="71" t="str">
        <x:v>Choose what deserves time.</x:v>
      </x:c>
      <x:c r="J733" s="73"/>
      <x:c r="K733" s="74" t="str">
        <x:f>IF(J733="",H733,IF(J733=I733,I733,J733))</x:f>
        <x:v>Choose what deserves time.</x:v>
      </x:c>
      <x:c r="L733" s="74" t="str">
        <x:f>IF(J733="","Keep current",IF(J733=I733,"Use suggestion","Custom"))</x:f>
        <x:v>Keep current</x:v>
      </x:c>
      <x:c r="M733" s="71" t="str">
        <x:v>Pending review</x:v>
      </x:c>
      <x:c r="N733" s="71" t="str">
        <x:v>Normal</x:v>
      </x:c>
      <x:c r="O733" s="71" t="str">
        <x:v>app/journey/new/trip-builder.tsx</x:v>
      </x:c>
      <x:c r="P733" s="71" t="str">
        <x:v>TripBuilderDocument:1989</x:v>
      </x:c>
      <x:c r="Q733" s="71" t="str">
        <x:v>EN</x:v>
      </x:c>
      <x:c r="R733" s="71" t="str">
        <x:v>Already clear and direct; suggested wording intentionally keeps the current copy.</x:v>
      </x:c>
      <x:c r="S733" s="75" t="str">
        <x:v>Not applied — review required</x:v>
      </x:c>
    </x:row>
    <x:row r="734">
      <x:c r="A734" s="71" t="str">
        <x:v>MRV-CDD68DBF1F</x:v>
      </x:c>
      <x:c r="B734" s="71" t="str">
        <x:v>Planning</x:v>
      </x:c>
      <x:c r="C734" s="71" t="str">
        <x:v>New trip builder</x:v>
      </x:c>
      <x:c r="D734" s="71" t="str">
        <x:v>/journey/new/trip-builder</x:v>
      </x:c>
      <x:c r="E734" s="71" t="str">
        <x:v>TripBuilderDocument</x:v>
      </x:c>
      <x:c r="F734" s="71" t="str">
        <x:v>Default</x:v>
      </x:c>
      <x:c r="G734" s="71" t="str">
        <x:v>Body copy</x:v>
      </x:c>
      <x:c r="H734" s="71" t="str">
        <x:v>Tus elecciones ajustan las noches recomendadas en el siguiente paso.</x:v>
      </x:c>
      <x:c r="I734" s="71" t="str">
        <x:v>Tus elecciones ajustan las noches recomendadas en el siguiente paso.</x:v>
      </x:c>
      <x:c r="J734" s="73"/>
      <x:c r="K734" s="74" t="str">
        <x:f>IF(J734="",H734,IF(J734=I734,I734,J734))</x:f>
        <x:v>Tus elecciones ajustan las noches recomendadas en el siguiente paso.</x:v>
      </x:c>
      <x:c r="L734" s="74" t="str">
        <x:f>IF(J734="","Keep current",IF(J734=I734,"Use suggestion","Custom"))</x:f>
        <x:v>Keep current</x:v>
      </x:c>
      <x:c r="M734" s="71" t="str">
        <x:v>Pending review</x:v>
      </x:c>
      <x:c r="N734" s="71" t="str">
        <x:v>Normal</x:v>
      </x:c>
      <x:c r="O734" s="71" t="str">
        <x:v>app/journey/new/trip-builder.tsx</x:v>
      </x:c>
      <x:c r="P734" s="71" t="str">
        <x:v>TripBuilderDocument:1989</x:v>
      </x:c>
      <x:c r="Q734" s="71" t="str">
        <x:v>ES</x:v>
      </x:c>
      <x:c r="R734" s="71" t="str">
        <x:v>Already clear and direct; suggested wording intentionally keeps the current copy.</x:v>
      </x:c>
      <x:c r="S734" s="75" t="str">
        <x:v>Not applied — review required</x:v>
      </x:c>
    </x:row>
    <x:row r="735">
      <x:c r="A735" s="71" t="str">
        <x:v>MRV-AADC2CADEA</x:v>
      </x:c>
      <x:c r="B735" s="71" t="str">
        <x:v>Planning</x:v>
      </x:c>
      <x:c r="C735" s="71" t="str">
        <x:v>New trip builder</x:v>
      </x:c>
      <x:c r="D735" s="71" t="str">
        <x:v>/journey/new/trip-builder</x:v>
      </x:c>
      <x:c r="E735" s="71" t="str">
        <x:v>TripBuilderDocument</x:v>
      </x:c>
      <x:c r="F735" s="71" t="str">
        <x:v>Default</x:v>
      </x:c>
      <x:c r="G735" s="71" t="str">
        <x:v>Body copy</x:v>
      </x:c>
      <x:c r="H735" s="71" t="str">
        <x:v>Your choices shape the night recommendations in the next step.</x:v>
      </x:c>
      <x:c r="I735" s="71" t="str">
        <x:v>Your choices shape the night recommendations in the next step.</x:v>
      </x:c>
      <x:c r="J735" s="73"/>
      <x:c r="K735" s="74" t="str">
        <x:f>IF(J735="",H735,IF(J735=I735,I735,J735))</x:f>
        <x:v>Your choices shape the night recommendations in the next step.</x:v>
      </x:c>
      <x:c r="L735" s="74" t="str">
        <x:f>IF(J735="","Keep current",IF(J735=I735,"Use suggestion","Custom"))</x:f>
        <x:v>Keep current</x:v>
      </x:c>
      <x:c r="M735" s="71" t="str">
        <x:v>Pending review</x:v>
      </x:c>
      <x:c r="N735" s="71" t="str">
        <x:v>Normal</x:v>
      </x:c>
      <x:c r="O735" s="71" t="str">
        <x:v>app/journey/new/trip-builder.tsx</x:v>
      </x:c>
      <x:c r="P735" s="71" t="str">
        <x:v>TripBuilderDocument:1989</x:v>
      </x:c>
      <x:c r="Q735" s="71" t="str">
        <x:v>EN</x:v>
      </x:c>
      <x:c r="R735" s="71" t="str">
        <x:v>Already clear and direct; suggested wording intentionally keeps the current copy.</x:v>
      </x:c>
      <x:c r="S735" s="75" t="str">
        <x:v>Not applied — review required</x:v>
      </x:c>
    </x:row>
    <x:row r="736">
      <x:c r="A736" s="71" t="str">
        <x:v>MRV-45DEEEFEA1</x:v>
      </x:c>
      <x:c r="B736" s="71" t="str">
        <x:v>Planning</x:v>
      </x:c>
      <x:c r="C736" s="71" t="str">
        <x:v>New trip builder</x:v>
      </x:c>
      <x:c r="D736" s="71" t="str">
        <x:v>/journey/new/trip-builder</x:v>
      </x:c>
      <x:c r="E736" s="71" t="str">
        <x:v>list</x:v>
      </x:c>
      <x:c r="F736" s="71" t="str">
        <x:v>Default</x:v>
      </x:c>
      <x:c r="G736" s="71" t="str">
        <x:v>Label</x:v>
      </x:c>
      <x:c r="H736" s="71" t="str">
        <x:v>All</x:v>
      </x:c>
      <x:c r="I736" s="71" t="str">
        <x:v>All</x:v>
      </x:c>
      <x:c r="J736" s="73"/>
      <x:c r="K736" s="74" t="str">
        <x:f>IF(J736="",H736,IF(J736=I736,I736,J736))</x:f>
        <x:v>All</x:v>
      </x:c>
      <x:c r="L736" s="74" t="str">
        <x:f>IF(J736="","Keep current",IF(J736=I736,"Use suggestion","Custom"))</x:f>
        <x:v>Keep current</x:v>
      </x:c>
      <x:c r="M736" s="71" t="str">
        <x:v>Pending review</x:v>
      </x:c>
      <x:c r="N736" s="71" t="str">
        <x:v>Normal</x:v>
      </x:c>
      <x:c r="O736" s="71" t="str">
        <x:v>app/journey/new/trip-builder.tsx</x:v>
      </x:c>
      <x:c r="P736" s="71" t="str">
        <x:v>list:1999</x:v>
      </x:c>
      <x:c r="Q736" s="71" t="str">
        <x:v>EN (default / shared)</x:v>
      </x:c>
      <x:c r="R736" s="71" t="str">
        <x:v>Already clear and direct; suggested wording intentionally keeps the current copy. Duplicate wording: appears 6 times.</x:v>
      </x:c>
      <x:c r="S736" s="75" t="str">
        <x:v>Not applied — review required</x:v>
      </x:c>
    </x:row>
    <x:row r="737">
      <x:c r="A737" s="71" t="str">
        <x:v>MRV-C96F435845</x:v>
      </x:c>
      <x:c r="B737" s="71" t="str">
        <x:v>Planning</x:v>
      </x:c>
      <x:c r="C737" s="71" t="str">
        <x:v>New trip builder</x:v>
      </x:c>
      <x:c r="D737" s="71" t="str">
        <x:v>/journey/new/trip-builder</x:v>
      </x:c>
      <x:c r="E737" s="71" t="str">
        <x:v>TripBuilderDocument</x:v>
      </x:c>
      <x:c r="F737" s="71" t="str">
        <x:v>Default</x:v>
      </x:c>
      <x:c r="G737" s="71" t="str">
        <x:v>Label</x:v>
      </x:c>
      <x:c r="H737" s="71" t="str">
        <x:v>verified stop</x:v>
      </x:c>
      <x:c r="I737" s="71" t="str">
        <x:v>verified stop</x:v>
      </x:c>
      <x:c r="J737" s="73"/>
      <x:c r="K737" s="74" t="str">
        <x:f>IF(J737="",H737,IF(J737=I737,I737,J737))</x:f>
        <x:v>verified stop</x:v>
      </x:c>
      <x:c r="L737" s="74" t="str">
        <x:f>IF(J737="","Keep current",IF(J737=I737,"Use suggestion","Custom"))</x:f>
        <x:v>Keep current</x:v>
      </x:c>
      <x:c r="M737" s="71" t="str">
        <x:v>Pending review</x:v>
      </x:c>
      <x:c r="N737" s="71" t="str">
        <x:v>Normal</x:v>
      </x:c>
      <x:c r="O737" s="71" t="str">
        <x:v>app/journey/new/trip-builder.tsx</x:v>
      </x:c>
      <x:c r="P737" s="71" t="str">
        <x:v>TripBuilderDocument:2004</x:v>
      </x:c>
      <x:c r="Q737" s="71" t="str">
        <x:v>EN (default / shared)</x:v>
      </x:c>
      <x:c r="R737" s="71" t="str">
        <x:v>Already clear and direct; suggested wording intentionally keeps the current copy. Duplicate wording: appears 2 times. Terminology watch: ‘trip’ and ‘journey’ both describe the same plan. Terminology watch: ‘stops’, ‘destinations’ and ‘places’ overlap.</x:v>
      </x:c>
      <x:c r="S737" s="75" t="str">
        <x:v>Not applied — review required</x:v>
      </x:c>
    </x:row>
    <x:row r="738">
      <x:c r="A738" s="71" t="str">
        <x:v>MRV-A2F507D861</x:v>
      </x:c>
      <x:c r="B738" s="71" t="str">
        <x:v>Planning</x:v>
      </x:c>
      <x:c r="C738" s="71" t="str">
        <x:v>New trip builder</x:v>
      </x:c>
      <x:c r="D738" s="71" t="str">
        <x:v>/journey/new/trip-builder</x:v>
      </x:c>
      <x:c r="E738" s="71" t="str">
        <x:v>TripBuilderDocument</x:v>
      </x:c>
      <x:c r="F738" s="71" t="str">
        <x:v>Default</x:v>
      </x:c>
      <x:c r="G738" s="71" t="str">
        <x:v>Label</x:v>
      </x:c>
      <x:c r="H738" s="71" t="str">
        <x:v>STEP 2 OF 2</x:v>
      </x:c>
      <x:c r="I738" s="71" t="str">
        <x:v>STEP 2 OF 2</x:v>
      </x:c>
      <x:c r="J738" s="73"/>
      <x:c r="K738" s="74" t="str">
        <x:f>IF(J738="",H738,IF(J738=I738,I738,J738))</x:f>
        <x:v>STEP 2 OF 2</x:v>
      </x:c>
      <x:c r="L738" s="74" t="str">
        <x:f>IF(J738="","Keep current",IF(J738=I738,"Use suggestion","Custom"))</x:f>
        <x:v>Keep current</x:v>
      </x:c>
      <x:c r="M738" s="71" t="str">
        <x:v>Pending review</x:v>
      </x:c>
      <x:c r="N738" s="71" t="str">
        <x:v>Normal</x:v>
      </x:c>
      <x:c r="O738" s="71" t="str">
        <x:v>app/journey/new/trip-builder.tsx</x:v>
      </x:c>
      <x:c r="P738" s="71" t="str">
        <x:v>TripBuilderDocument:2040</x:v>
      </x:c>
      <x:c r="Q738" s="71" t="str">
        <x:v>EN (default / shared)</x:v>
      </x:c>
      <x:c r="R738" s="71" t="str">
        <x:v>Already clear and direct; suggested wording intentionally keeps the current copy.</x:v>
      </x:c>
      <x:c r="S738" s="75" t="str">
        <x:v>Not applied — review required</x:v>
      </x:c>
    </x:row>
    <x:row r="739">
      <x:c r="A739" s="71" t="str">
        <x:v>MRV-44B8F1EB6C</x:v>
      </x:c>
      <x:c r="B739" s="71" t="str">
        <x:v>Planning</x:v>
      </x:c>
      <x:c r="C739" s="71" t="str">
        <x:v>New trip builder</x:v>
      </x:c>
      <x:c r="D739" s="71" t="str">
        <x:v>/journey/new/trip-builder</x:v>
      </x:c>
      <x:c r="E739" s="71" t="str">
        <x:v>TripBuilderDocument</x:v>
      </x:c>
      <x:c r="F739" s="71" t="str">
        <x:v>Default</x:v>
      </x:c>
      <x:c r="G739" s="71" t="str">
        <x:v>Body copy</x:v>
      </x:c>
      <x:c r="H739" s="71" t="str">
        <x:v>Make the time feel right.</x:v>
      </x:c>
      <x:c r="I739" s="71" t="str">
        <x:v>Make the time feel right.</x:v>
      </x:c>
      <x:c r="J739" s="73"/>
      <x:c r="K739" s="74" t="str">
        <x:f>IF(J739="",H739,IF(J739=I739,I739,J739))</x:f>
        <x:v>Make the time feel right.</x:v>
      </x:c>
      <x:c r="L739" s="74" t="str">
        <x:f>IF(J739="","Keep current",IF(J739=I739,"Use suggestion","Custom"))</x:f>
        <x:v>Keep current</x:v>
      </x:c>
      <x:c r="M739" s="71" t="str">
        <x:v>Pending review</x:v>
      </x:c>
      <x:c r="N739" s="71" t="str">
        <x:v>Normal</x:v>
      </x:c>
      <x:c r="O739" s="71" t="str">
        <x:v>app/journey/new/trip-builder.tsx</x:v>
      </x:c>
      <x:c r="P739" s="71" t="str">
        <x:v>TripBuilderDocument:2040</x:v>
      </x:c>
      <x:c r="Q739" s="71" t="str">
        <x:v>EN (default / shared)</x:v>
      </x:c>
      <x:c r="R739" s="71" t="str">
        <x:v>Already clear and direct; suggested wording intentionally keeps the current copy.</x:v>
      </x:c>
      <x:c r="S739" s="75" t="str">
        <x:v>Not applied — review required</x:v>
      </x:c>
    </x:row>
    <x:row r="740">
      <x:c r="A740" s="71" t="str">
        <x:v>MRV-F0F3A3530D</x:v>
      </x:c>
      <x:c r="B740" s="71" t="str">
        <x:v>Planning</x:v>
      </x:c>
      <x:c r="C740" s="71" t="str">
        <x:v>New trip builder</x:v>
      </x:c>
      <x:c r="D740" s="71" t="str">
        <x:v>/journey/new/trip-builder</x:v>
      </x:c>
      <x:c r="E740" s="71" t="str">
        <x:v>TripBuilderDocument</x:v>
      </x:c>
      <x:c r="F740" s="71" t="str">
        <x:v>Default</x:v>
      </x:c>
      <x:c r="G740" s="71" t="str">
        <x:v>Body copy</x:v>
      </x:c>
      <x:c r="H740" s="71" t="str">
        <x:v>Set your dates, then Morrovia balances nights around the travel between stops.</x:v>
      </x:c>
      <x:c r="I740" s="71" t="str">
        <x:v>Set your dates, then Morrovia balances nights around the travel between stops.</x:v>
      </x:c>
      <x:c r="J740" s="73"/>
      <x:c r="K740" s="74" t="str">
        <x:f>IF(J740="",H740,IF(J740=I740,I740,J740))</x:f>
        <x:v>Set your dates, then Morrovia balances nights around the travel between stops.</x:v>
      </x:c>
      <x:c r="L740" s="74" t="str">
        <x:f>IF(J740="","Keep current",IF(J740=I740,"Use suggestion","Custom"))</x:f>
        <x:v>Keep current</x:v>
      </x:c>
      <x:c r="M740" s="71" t="str">
        <x:v>Pending review</x:v>
      </x:c>
      <x:c r="N740" s="71" t="str">
        <x:v>Normal</x:v>
      </x:c>
      <x:c r="O740" s="71" t="str">
        <x:v>app/journey/new/trip-builder.tsx</x:v>
      </x:c>
      <x:c r="P740" s="71" t="str">
        <x:v>TripBuilderDocument:2040</x:v>
      </x:c>
      <x:c r="Q740" s="71" t="str">
        <x:v>EN (default / shared)</x:v>
      </x:c>
      <x:c r="R740" s="71" t="str">
        <x:v>Already clear and direct; suggested wording intentionally keeps the current copy. Terminology watch: ‘trip’ and ‘journey’ both describe the same plan. Terminology watch: ‘stops’, ‘destinations’ and ‘places’ overlap.</x:v>
      </x:c>
      <x:c r="S740" s="75" t="str">
        <x:v>Not applied — review required</x:v>
      </x:c>
    </x:row>
    <x:row r="741">
      <x:c r="A741" s="71" t="str">
        <x:v>MRV-985C489E14</x:v>
      </x:c>
      <x:c r="B741" s="71" t="str">
        <x:v>Planning</x:v>
      </x:c>
      <x:c r="C741" s="71" t="str">
        <x:v>New trip builder</x:v>
      </x:c>
      <x:c r="D741" s="71" t="str">
        <x:v>/journey/new/trip-builder</x:v>
      </x:c>
      <x:c r="E741" s="71" t="str">
        <x:v>TripBuilderDocument</x:v>
      </x:c>
      <x:c r="F741" s="71" t="str">
        <x:v>Accessibility / input support</x:v>
      </x:c>
      <x:c r="G741" s="71" t="str">
        <x:v>Accessibility label</x:v>
      </x:c>
      <x:c r="H741" s="71" t="str">
        <x:v>Fechas de viaje</x:v>
      </x:c>
      <x:c r="I741" s="71" t="str">
        <x:v>Fechas de viaje</x:v>
      </x:c>
      <x:c r="J741" s="73"/>
      <x:c r="K741" s="74" t="str">
        <x:f>IF(J741="",H741,IF(J741=I741,I741,J741))</x:f>
        <x:v>Fechas de viaje</x:v>
      </x:c>
      <x:c r="L741" s="74" t="str">
        <x:f>IF(J741="","Keep current",IF(J741=I741,"Use suggestion","Custom"))</x:f>
        <x:v>Keep current</x:v>
      </x:c>
      <x:c r="M741" s="71" t="str">
        <x:v>Pending review</x:v>
      </x:c>
      <x:c r="N741" s="71" t="str">
        <x:v>Medium</x:v>
      </x:c>
      <x:c r="O741" s="71" t="str">
        <x:v>app/journey/new/trip-builder.tsx</x:v>
      </x:c>
      <x:c r="P741" s="71" t="str">
        <x:v>TripBuilderDocument:2042</x:v>
      </x:c>
      <x:c r="Q741" s="71" t="str">
        <x:v>ES</x:v>
      </x:c>
      <x:c r="R741" s="71" t="str">
        <x:v>Already clear and direct; suggested wording intentionally keeps the current copy.</x:v>
      </x:c>
      <x:c r="S741" s="75" t="str">
        <x:v>Not applied — review required</x:v>
      </x:c>
    </x:row>
    <x:row r="742">
      <x:c r="A742" s="71" t="str">
        <x:v>MRV-600EA47D8E</x:v>
      </x:c>
      <x:c r="B742" s="71" t="str">
        <x:v>Planning</x:v>
      </x:c>
      <x:c r="C742" s="71" t="str">
        <x:v>New trip builder</x:v>
      </x:c>
      <x:c r="D742" s="71" t="str">
        <x:v>/journey/new/trip-builder</x:v>
      </x:c>
      <x:c r="E742" s="71" t="str">
        <x:v>TripBuilderDocument</x:v>
      </x:c>
      <x:c r="F742" s="71" t="str">
        <x:v>Accessibility / input support</x:v>
      </x:c>
      <x:c r="G742" s="71" t="str">
        <x:v>Accessibility label</x:v>
      </x:c>
      <x:c r="H742" s="71" t="str">
        <x:v>Travel dates</x:v>
      </x:c>
      <x:c r="I742" s="71" t="str">
        <x:v>Travel dates</x:v>
      </x:c>
      <x:c r="J742" s="73"/>
      <x:c r="K742" s="74" t="str">
        <x:f>IF(J742="",H742,IF(J742=I742,I742,J742))</x:f>
        <x:v>Travel dates</x:v>
      </x:c>
      <x:c r="L742" s="74" t="str">
        <x:f>IF(J742="","Keep current",IF(J742=I742,"Use suggestion","Custom"))</x:f>
        <x:v>Keep current</x:v>
      </x:c>
      <x:c r="M742" s="71" t="str">
        <x:v>Pending review</x:v>
      </x:c>
      <x:c r="N742" s="71" t="str">
        <x:v>Medium</x:v>
      </x:c>
      <x:c r="O742" s="71" t="str">
        <x:v>app/journey/new/trip-builder.tsx</x:v>
      </x:c>
      <x:c r="P742" s="71" t="str">
        <x:v>TripBuilderDocument:2042</x:v>
      </x:c>
      <x:c r="Q742" s="71" t="str">
        <x:v>EN</x:v>
      </x:c>
      <x:c r="R742" s="71" t="str">
        <x:v>Already clear and direct; suggested wording intentionally keeps the current copy.</x:v>
      </x:c>
      <x:c r="S742" s="75" t="str">
        <x:v>Not applied — review required</x:v>
      </x:c>
    </x:row>
    <x:row r="743">
      <x:c r="A743" s="71" t="str">
        <x:v>MRV-6471A493EE</x:v>
      </x:c>
      <x:c r="B743" s="71" t="str">
        <x:v>Planning</x:v>
      </x:c>
      <x:c r="C743" s="71" t="str">
        <x:v>New trip builder</x:v>
      </x:c>
      <x:c r="D743" s="71" t="str">
        <x:v>/journey/new/trip-builder</x:v>
      </x:c>
      <x:c r="E743" s="71" t="str">
        <x:v>TripBuilderDocument</x:v>
      </x:c>
      <x:c r="F743" s="71" t="str">
        <x:v>Accessibility / input support</x:v>
      </x:c>
      <x:c r="G743" s="71" t="str">
        <x:v>Accessibility label</x:v>
      </x:c>
      <x:c r="H743" s="71" t="str">
        <x:v>Presupuesto</x:v>
      </x:c>
      <x:c r="I743" s="71" t="str">
        <x:v>Presupuesto</x:v>
      </x:c>
      <x:c r="J743" s="73"/>
      <x:c r="K743" s="74" t="str">
        <x:f>IF(J743="",H743,IF(J743=I743,I743,J743))</x:f>
        <x:v>Presupuesto</x:v>
      </x:c>
      <x:c r="L743" s="74" t="str">
        <x:f>IF(J743="","Keep current",IF(J743=I743,"Use suggestion","Custom"))</x:f>
        <x:v>Keep current</x:v>
      </x:c>
      <x:c r="M743" s="71" t="str">
        <x:v>Pending review</x:v>
      </x:c>
      <x:c r="N743" s="71" t="str">
        <x:v>Medium</x:v>
      </x:c>
      <x:c r="O743" s="71" t="str">
        <x:v>app/journey/new/trip-builder.tsx</x:v>
      </x:c>
      <x:c r="P743" s="71" t="str">
        <x:v>TripBuilderDocument:2046</x:v>
      </x:c>
      <x:c r="Q743" s="71" t="str">
        <x:v>ES</x:v>
      </x:c>
      <x:c r="R743" s="71" t="str">
        <x:v>Already clear and direct; suggested wording intentionally keeps the current copy.</x:v>
      </x:c>
      <x:c r="S743" s="75" t="str">
        <x:v>Not applied — review required</x:v>
      </x:c>
    </x:row>
    <x:row r="744">
      <x:c r="A744" s="71" t="str">
        <x:v>MRV-B3693C15A1</x:v>
      </x:c>
      <x:c r="B744" s="71" t="str">
        <x:v>Planning</x:v>
      </x:c>
      <x:c r="C744" s="71" t="str">
        <x:v>New trip builder</x:v>
      </x:c>
      <x:c r="D744" s="71" t="str">
        <x:v>/journey/new/trip-builder</x:v>
      </x:c>
      <x:c r="E744" s="71" t="str">
        <x:v>TripBuilderDocument</x:v>
      </x:c>
      <x:c r="F744" s="71" t="str">
        <x:v>Accessibility / input support</x:v>
      </x:c>
      <x:c r="G744" s="71" t="str">
        <x:v>Accessibility label</x:v>
      </x:c>
      <x:c r="H744" s="71" t="str">
        <x:v>Budget</x:v>
      </x:c>
      <x:c r="I744" s="71" t="str">
        <x:v>Budget</x:v>
      </x:c>
      <x:c r="J744" s="73"/>
      <x:c r="K744" s="74" t="str">
        <x:f>IF(J744="",H744,IF(J744=I744,I744,J744))</x:f>
        <x:v>Budget</x:v>
      </x:c>
      <x:c r="L744" s="74" t="str">
        <x:f>IF(J744="","Keep current",IF(J744=I744,"Use suggestion","Custom"))</x:f>
        <x:v>Keep current</x:v>
      </x:c>
      <x:c r="M744" s="71" t="str">
        <x:v>Pending review</x:v>
      </x:c>
      <x:c r="N744" s="71" t="str">
        <x:v>Medium</x:v>
      </x:c>
      <x:c r="O744" s="71" t="str">
        <x:v>app/journey/new/trip-builder.tsx</x:v>
      </x:c>
      <x:c r="P744" s="71" t="str">
        <x:v>TripBuilderDocument:2046</x:v>
      </x:c>
      <x:c r="Q744" s="71" t="str">
        <x:v>EN</x:v>
      </x:c>
      <x:c r="R744" s="71" t="str">
        <x:v>Already clear and direct; suggested wording intentionally keeps the current copy. Duplicate wording: appears 2 times.</x:v>
      </x:c>
      <x:c r="S744" s="75" t="str">
        <x:v>Not applied — review required</x:v>
      </x:c>
    </x:row>
    <x:row r="745">
      <x:c r="A745" s="71" t="str">
        <x:v>MRV-36DC78640F</x:v>
      </x:c>
      <x:c r="B745" s="71" t="str">
        <x:v>Planning</x:v>
      </x:c>
      <x:c r="C745" s="71" t="str">
        <x:v>New trip builder</x:v>
      </x:c>
      <x:c r="D745" s="71" t="str">
        <x:v>/journey/new/trip-builder</x:v>
      </x:c>
      <x:c r="E745" s="71" t="str">
        <x:v>TripBuilderDocument</x:v>
      </x:c>
      <x:c r="F745" s="71" t="str">
        <x:v>Default</x:v>
      </x:c>
      <x:c r="G745" s="71" t="str">
        <x:v>Label</x:v>
      </x:c>
      <x:c r="H745" s="71" t="str">
        <x:v>PRESUPUESTO (OPCIONAL)</x:v>
      </x:c>
      <x:c r="I745" s="71" t="str">
        <x:v>PRESUPUESTO (OPCIONAL)</x:v>
      </x:c>
      <x:c r="J745" s="73"/>
      <x:c r="K745" s="74" t="str">
        <x:f>IF(J745="",H745,IF(J745=I745,I745,J745))</x:f>
        <x:v>PRESUPUESTO (OPCIONAL)</x:v>
      </x:c>
      <x:c r="L745" s="74" t="str">
        <x:f>IF(J745="","Keep current",IF(J745=I745,"Use suggestion","Custom"))</x:f>
        <x:v>Keep current</x:v>
      </x:c>
      <x:c r="M745" s="71" t="str">
        <x:v>Pending review</x:v>
      </x:c>
      <x:c r="N745" s="71" t="str">
        <x:v>Normal</x:v>
      </x:c>
      <x:c r="O745" s="71" t="str">
        <x:v>app/journey/new/trip-builder.tsx</x:v>
      </x:c>
      <x:c r="P745" s="71" t="str">
        <x:v>TripBuilderDocument:2046</x:v>
      </x:c>
      <x:c r="Q745" s="71" t="str">
        <x:v>ES</x:v>
      </x:c>
      <x:c r="R745" s="71" t="str">
        <x:v>Already clear and direct; suggested wording intentionally keeps the current copy.</x:v>
      </x:c>
      <x:c r="S745" s="75" t="str">
        <x:v>Not applied — review required</x:v>
      </x:c>
    </x:row>
    <x:row r="746">
      <x:c r="A746" s="71" t="str">
        <x:v>MRV-7E009F7C45</x:v>
      </x:c>
      <x:c r="B746" s="71" t="str">
        <x:v>Planning</x:v>
      </x:c>
      <x:c r="C746" s="71" t="str">
        <x:v>New trip builder</x:v>
      </x:c>
      <x:c r="D746" s="71" t="str">
        <x:v>/journey/new/trip-builder</x:v>
      </x:c>
      <x:c r="E746" s="71" t="str">
        <x:v>TripBuilderDocument</x:v>
      </x:c>
      <x:c r="F746" s="71" t="str">
        <x:v>Default</x:v>
      </x:c>
      <x:c r="G746" s="71" t="str">
        <x:v>Label</x:v>
      </x:c>
      <x:c r="H746" s="71" t="str">
        <x:v>BUDGET (OPTIONAL)</x:v>
      </x:c>
      <x:c r="I746" s="71" t="str">
        <x:v>BUDGET (OPTIONAL)</x:v>
      </x:c>
      <x:c r="J746" s="73"/>
      <x:c r="K746" s="74" t="str">
        <x:f>IF(J746="",H746,IF(J746=I746,I746,J746))</x:f>
        <x:v>BUDGET (OPTIONAL)</x:v>
      </x:c>
      <x:c r="L746" s="74" t="str">
        <x:f>IF(J746="","Keep current",IF(J746=I746,"Use suggestion","Custom"))</x:f>
        <x:v>Keep current</x:v>
      </x:c>
      <x:c r="M746" s="71" t="str">
        <x:v>Pending review</x:v>
      </x:c>
      <x:c r="N746" s="71" t="str">
        <x:v>Normal</x:v>
      </x:c>
      <x:c r="O746" s="71" t="str">
        <x:v>app/journey/new/trip-builder.tsx</x:v>
      </x:c>
      <x:c r="P746" s="71" t="str">
        <x:v>TripBuilderDocument:2046</x:v>
      </x:c>
      <x:c r="Q746" s="71" t="str">
        <x:v>EN</x:v>
      </x:c>
      <x:c r="R746" s="71" t="str">
        <x:v>Already clear and direct; suggested wording intentionally keeps the current copy.</x:v>
      </x:c>
      <x:c r="S746" s="75" t="str">
        <x:v>Not applied — review required</x:v>
      </x:c>
    </x:row>
    <x:row r="747">
      <x:c r="A747" s="71" t="str">
        <x:v>MRV-78CA6BEC13</x:v>
      </x:c>
      <x:c r="B747" s="71" t="str">
        <x:v>Planning</x:v>
      </x:c>
      <x:c r="C747" s="71" t="str">
        <x:v>New trip builder</x:v>
      </x:c>
      <x:c r="D747" s="71" t="str">
        <x:v>/journey/new/trip-builder</x:v>
      </x:c>
      <x:c r="E747" s="71" t="str">
        <x:v>TripBuilderDocument</x:v>
      </x:c>
      <x:c r="F747" s="71" t="str">
        <x:v>Default</x:v>
      </x:c>
      <x:c r="G747" s="71" t="str">
        <x:v>Body copy</x:v>
      </x:c>
      <x:c r="H747" s="71" t="str">
        <x:v>Usando tu preferencia habitual.</x:v>
      </x:c>
      <x:c r="I747" s="71" t="str">
        <x:v>Usando tu preferencia habitual.</x:v>
      </x:c>
      <x:c r="J747" s="73"/>
      <x:c r="K747" s="74" t="str">
        <x:f>IF(J747="",H747,IF(J747=I747,I747,J747))</x:f>
        <x:v>Usando tu preferencia habitual.</x:v>
      </x:c>
      <x:c r="L747" s="74" t="str">
        <x:f>IF(J747="","Keep current",IF(J747=I747,"Use suggestion","Custom"))</x:f>
        <x:v>Keep current</x:v>
      </x:c>
      <x:c r="M747" s="71" t="str">
        <x:v>Pending review</x:v>
      </x:c>
      <x:c r="N747" s="71" t="str">
        <x:v>Normal</x:v>
      </x:c>
      <x:c r="O747" s="71" t="str">
        <x:v>app/journey/new/trip-builder.tsx</x:v>
      </x:c>
      <x:c r="P747" s="71" t="str">
        <x:v>TripBuilderDocument:2046</x:v>
      </x:c>
      <x:c r="Q747" s="71" t="str">
        <x:v>ES</x:v>
      </x:c>
      <x:c r="R747" s="71" t="str">
        <x:v>Already clear and direct; suggested wording intentionally keeps the current copy.</x:v>
      </x:c>
      <x:c r="S747" s="75" t="str">
        <x:v>Not applied — review required</x:v>
      </x:c>
    </x:row>
    <x:row r="748">
      <x:c r="A748" s="71" t="str">
        <x:v>MRV-4157ABCF37</x:v>
      </x:c>
      <x:c r="B748" s="71" t="str">
        <x:v>Planning</x:v>
      </x:c>
      <x:c r="C748" s="71" t="str">
        <x:v>New trip builder</x:v>
      </x:c>
      <x:c r="D748" s="71" t="str">
        <x:v>/journey/new/trip-builder</x:v>
      </x:c>
      <x:c r="E748" s="71" t="str">
        <x:v>TripBuilderDocument</x:v>
      </x:c>
      <x:c r="F748" s="71" t="str">
        <x:v>Default</x:v>
      </x:c>
      <x:c r="G748" s="71" t="str">
        <x:v>Body copy</x:v>
      </x:c>
      <x:c r="H748" s="71" t="str">
        <x:v>Using your usual preference.</x:v>
      </x:c>
      <x:c r="I748" s="71" t="str">
        <x:v>Using your usual preference.</x:v>
      </x:c>
      <x:c r="J748" s="73"/>
      <x:c r="K748" s="74" t="str">
        <x:f>IF(J748="",H748,IF(J748=I748,I748,J748))</x:f>
        <x:v>Using your usual preference.</x:v>
      </x:c>
      <x:c r="L748" s="74" t="str">
        <x:f>IF(J748="","Keep current",IF(J748=I748,"Use suggestion","Custom"))</x:f>
        <x:v>Keep current</x:v>
      </x:c>
      <x:c r="M748" s="71" t="str">
        <x:v>Pending review</x:v>
      </x:c>
      <x:c r="N748" s="71" t="str">
        <x:v>Normal</x:v>
      </x:c>
      <x:c r="O748" s="71" t="str">
        <x:v>app/journey/new/trip-builder.tsx</x:v>
      </x:c>
      <x:c r="P748" s="71" t="str">
        <x:v>TripBuilderDocument:2046</x:v>
      </x:c>
      <x:c r="Q748" s="71" t="str">
        <x:v>EN</x:v>
      </x:c>
      <x:c r="R748" s="71" t="str">
        <x:v>Already clear and direct; suggested wording intentionally keeps the current copy.</x:v>
      </x:c>
      <x:c r="S748" s="75" t="str">
        <x:v>Not applied — review required</x:v>
      </x:c>
    </x:row>
    <x:row r="749">
      <x:c r="A749" s="71" t="str">
        <x:v>MRV-E22177CE92</x:v>
      </x:c>
      <x:c r="B749" s="71" t="str">
        <x:v>Planning</x:v>
      </x:c>
      <x:c r="C749" s="71" t="str">
        <x:v>New trip builder</x:v>
      </x:c>
      <x:c r="D749" s="71" t="str">
        <x:v>/journey/new/trip-builder</x:v>
      </x:c>
      <x:c r="E749" s="71" t="str">
        <x:v>TripBuilderDocument</x:v>
      </x:c>
      <x:c r="F749" s="71" t="str">
        <x:v>Default</x:v>
      </x:c>
      <x:c r="G749" s="71" t="str">
        <x:v>Label</x:v>
      </x:c>
      <x:c r="H749" s="71" t="str">
        <x:v>Listo</x:v>
      </x:c>
      <x:c r="I749" s="71" t="str">
        <x:v>Listo</x:v>
      </x:c>
      <x:c r="J749" s="73"/>
      <x:c r="K749" s="74" t="str">
        <x:f>IF(J749="",H749,IF(J749=I749,I749,J749))</x:f>
        <x:v>Listo</x:v>
      </x:c>
      <x:c r="L749" s="74" t="str">
        <x:f>IF(J749="","Keep current",IF(J749=I749,"Use suggestion","Custom"))</x:f>
        <x:v>Keep current</x:v>
      </x:c>
      <x:c r="M749" s="71" t="str">
        <x:v>Pending review</x:v>
      </x:c>
      <x:c r="N749" s="71" t="str">
        <x:v>Normal</x:v>
      </x:c>
      <x:c r="O749" s="71" t="str">
        <x:v>app/journey/new/trip-builder.tsx</x:v>
      </x:c>
      <x:c r="P749" s="71" t="str">
        <x:v>TripBuilderDocument:2046</x:v>
      </x:c>
      <x:c r="Q749" s="71" t="str">
        <x:v>ES</x:v>
      </x:c>
      <x:c r="R749" s="71" t="str">
        <x:v>Already clear and direct; suggested wording intentionally keeps the current copy. Duplicate wording: appears 3 times.</x:v>
      </x:c>
      <x:c r="S749" s="75" t="str">
        <x:v>Not applied — review required</x:v>
      </x:c>
    </x:row>
    <x:row r="750">
      <x:c r="A750" s="71" t="str">
        <x:v>MRV-2FC7F4EB99</x:v>
      </x:c>
      <x:c r="B750" s="71" t="str">
        <x:v>Planning</x:v>
      </x:c>
      <x:c r="C750" s="71" t="str">
        <x:v>New trip builder</x:v>
      </x:c>
      <x:c r="D750" s="71" t="str">
        <x:v>/journey/new/trip-builder</x:v>
      </x:c>
      <x:c r="E750" s="71" t="str">
        <x:v>TripBuilderDocument</x:v>
      </x:c>
      <x:c r="F750" s="71" t="str">
        <x:v>Default</x:v>
      </x:c>
      <x:c r="G750" s="71" t="str">
        <x:v>CTA / button</x:v>
      </x:c>
      <x:c r="H750" s="71" t="str">
        <x:v>Done</x:v>
      </x:c>
      <x:c r="I750" s="71" t="str">
        <x:v>Done</x:v>
      </x:c>
      <x:c r="J750" s="73"/>
      <x:c r="K750" s="74" t="str">
        <x:f>IF(J750="",H750,IF(J750=I750,I750,J750))</x:f>
        <x:v>Done</x:v>
      </x:c>
      <x:c r="L750" s="74" t="str">
        <x:f>IF(J750="","Keep current",IF(J750=I750,"Use suggestion","Custom"))</x:f>
        <x:v>Keep current</x:v>
      </x:c>
      <x:c r="M750" s="71" t="str">
        <x:v>Pending review</x:v>
      </x:c>
      <x:c r="N750" s="71" t="str">
        <x:v>Medium</x:v>
      </x:c>
      <x:c r="O750" s="71" t="str">
        <x:v>app/journey/new/trip-builder.tsx</x:v>
      </x:c>
      <x:c r="P750" s="71" t="str">
        <x:v>TripBuilderDocument:2046</x:v>
      </x:c>
      <x:c r="Q750" s="71" t="str">
        <x:v>EN</x:v>
      </x:c>
      <x:c r="R750" s="71" t="str">
        <x:v>Already clear and direct; suggested wording intentionally keeps the current copy. Duplicate wording: appears 3 times.</x:v>
      </x:c>
      <x:c r="S750" s="75" t="str">
        <x:v>Not applied — review required</x:v>
      </x:c>
    </x:row>
    <x:row r="751">
      <x:c r="A751" s="71" t="str">
        <x:v>MRV-D78563E894</x:v>
      </x:c>
      <x:c r="B751" s="71" t="str">
        <x:v>Planning</x:v>
      </x:c>
      <x:c r="C751" s="71" t="str">
        <x:v>New trip builder</x:v>
      </x:c>
      <x:c r="D751" s="71" t="str">
        <x:v>/journey/new/trip-builder</x:v>
      </x:c>
      <x:c r="E751" s="71" t="str">
        <x:v>TripBuilderDocument</x:v>
      </x:c>
      <x:c r="F751" s="71" t="str">
        <x:v>Default</x:v>
      </x:c>
      <x:c r="G751" s="71" t="str">
        <x:v>Label</x:v>
      </x:c>
      <x:c r="H751" s="71" t="str">
        <x:v>Cambiar para este viaje</x:v>
      </x:c>
      <x:c r="I751" s="71" t="str">
        <x:v>Cambiar para este viaje</x:v>
      </x:c>
      <x:c r="J751" s="73"/>
      <x:c r="K751" s="74" t="str">
        <x:f>IF(J751="",H751,IF(J751=I751,I751,J751))</x:f>
        <x:v>Cambiar para este viaje</x:v>
      </x:c>
      <x:c r="L751" s="74" t="str">
        <x:f>IF(J751="","Keep current",IF(J751=I751,"Use suggestion","Custom"))</x:f>
        <x:v>Keep current</x:v>
      </x:c>
      <x:c r="M751" s="71" t="str">
        <x:v>Pending review</x:v>
      </x:c>
      <x:c r="N751" s="71" t="str">
        <x:v>Normal</x:v>
      </x:c>
      <x:c r="O751" s="71" t="str">
        <x:v>app/journey/new/trip-builder.tsx</x:v>
      </x:c>
      <x:c r="P751" s="71" t="str">
        <x:v>TripBuilderDocument:2046</x:v>
      </x:c>
      <x:c r="Q751" s="71" t="str">
        <x:v>ES</x:v>
      </x:c>
      <x:c r="R751" s="71" t="str">
        <x:v>Already clear and direct; suggested wording intentionally keeps the current copy.</x:v>
      </x:c>
      <x:c r="S751" s="75" t="str">
        <x:v>Not applied — review required</x:v>
      </x:c>
    </x:row>
    <x:row r="752">
      <x:c r="A752" s="71" t="str">
        <x:v>MRV-FCB2266EDD</x:v>
      </x:c>
      <x:c r="B752" s="71" t="str">
        <x:v>Planning</x:v>
      </x:c>
      <x:c r="C752" s="71" t="str">
        <x:v>New trip builder</x:v>
      </x:c>
      <x:c r="D752" s="71" t="str">
        <x:v>/journey/new/trip-builder</x:v>
      </x:c>
      <x:c r="E752" s="71" t="str">
        <x:v>TripBuilderDocument</x:v>
      </x:c>
      <x:c r="F752" s="71" t="str">
        <x:v>Default</x:v>
      </x:c>
      <x:c r="G752" s="71" t="str">
        <x:v>CTA / button</x:v>
      </x:c>
      <x:c r="H752" s="71" t="str">
        <x:v>Change for this trip</x:v>
      </x:c>
      <x:c r="I752" s="71" t="str">
        <x:v>Change for this trip</x:v>
      </x:c>
      <x:c r="J752" s="73"/>
      <x:c r="K752" s="74" t="str">
        <x:f>IF(J752="",H752,IF(J752=I752,I752,J752))</x:f>
        <x:v>Change for this trip</x:v>
      </x:c>
      <x:c r="L752" s="74" t="str">
        <x:f>IF(J752="","Keep current",IF(J752=I752,"Use suggestion","Custom"))</x:f>
        <x:v>Keep current</x:v>
      </x:c>
      <x:c r="M752" s="71" t="str">
        <x:v>Pending review</x:v>
      </x:c>
      <x:c r="N752" s="71" t="str">
        <x:v>Medium</x:v>
      </x:c>
      <x:c r="O752" s="71" t="str">
        <x:v>app/journey/new/trip-builder.tsx</x:v>
      </x:c>
      <x:c r="P752" s="71" t="str">
        <x:v>TripBuilderDocument:2046</x:v>
      </x:c>
      <x:c r="Q752" s="71" t="str">
        <x:v>EN</x:v>
      </x:c>
      <x:c r="R752" s="71" t="str">
        <x:v>Already clear and direct; suggested wording intentionally keeps the current copy. Terminology watch: ‘trip’ and ‘journey’ both describe the same plan. Terminology watch: ‘stops’, ‘destinations’ and ‘places’ overlap.</x:v>
      </x:c>
      <x:c r="S752" s="75" t="str">
        <x:v>Not applied — review required</x:v>
      </x:c>
    </x:row>
    <x:row r="753">
      <x:c r="A753" s="71" t="str">
        <x:v>MRV-AD7832FCF0</x:v>
      </x:c>
      <x:c r="B753" s="71" t="str">
        <x:v>Planning</x:v>
      </x:c>
      <x:c r="C753" s="71" t="str">
        <x:v>New trip builder</x:v>
      </x:c>
      <x:c r="D753" s="71" t="str">
        <x:v>/journey/new/trip-builder</x:v>
      </x:c>
      <x:c r="E753" s="71" t="str">
        <x:v>TripBuilderDocument</x:v>
      </x:c>
      <x:c r="F753" s="71" t="str">
        <x:v>Default</x:v>
      </x:c>
      <x:c r="G753" s="71" t="str">
        <x:v>Label</x:v>
      </x:c>
      <x:c r="H753" s="71" t="str">
        <x:v>noches en total</x:v>
      </x:c>
      <x:c r="I753" s="71" t="str">
        <x:v>noches en total</x:v>
      </x:c>
      <x:c r="J753" s="73"/>
      <x:c r="K753" s="74" t="str">
        <x:f>IF(J753="",H753,IF(J753=I753,I753,J753))</x:f>
        <x:v>noches en total</x:v>
      </x:c>
      <x:c r="L753" s="74" t="str">
        <x:f>IF(J753="","Keep current",IF(J753=I753,"Use suggestion","Custom"))</x:f>
        <x:v>Keep current</x:v>
      </x:c>
      <x:c r="M753" s="71" t="str">
        <x:v>Pending review</x:v>
      </x:c>
      <x:c r="N753" s="71" t="str">
        <x:v>Normal</x:v>
      </x:c>
      <x:c r="O753" s="71" t="str">
        <x:v>app/journey/new/trip-builder.tsx</x:v>
      </x:c>
      <x:c r="P753" s="71" t="str">
        <x:v>TripBuilderDocument:2047</x:v>
      </x:c>
      <x:c r="Q753" s="71" t="str">
        <x:v>ES</x:v>
      </x:c>
      <x:c r="R753" s="71" t="str">
        <x:v>Already clear and direct; suggested wording intentionally keeps the current copy.</x:v>
      </x:c>
      <x:c r="S753" s="75" t="str">
        <x:v>Not applied — review required</x:v>
      </x:c>
    </x:row>
    <x:row r="754">
      <x:c r="A754" s="71" t="str">
        <x:v>MRV-D5533ACC34</x:v>
      </x:c>
      <x:c r="B754" s="71" t="str">
        <x:v>Planning</x:v>
      </x:c>
      <x:c r="C754" s="71" t="str">
        <x:v>New trip builder</x:v>
      </x:c>
      <x:c r="D754" s="71" t="str">
        <x:v>/journey/new/trip-builder</x:v>
      </x:c>
      <x:c r="E754" s="71" t="str">
        <x:v>TripBuilderDocument</x:v>
      </x:c>
      <x:c r="F754" s="71" t="str">
        <x:v>Default</x:v>
      </x:c>
      <x:c r="G754" s="71" t="str">
        <x:v>Label</x:v>
      </x:c>
      <x:c r="H754" s="71" t="str">
        <x:v>nights total</x:v>
      </x:c>
      <x:c r="I754" s="71" t="str">
        <x:v>nights total</x:v>
      </x:c>
      <x:c r="J754" s="73"/>
      <x:c r="K754" s="74" t="str">
        <x:f>IF(J754="",H754,IF(J754=I754,I754,J754))</x:f>
        <x:v>nights total</x:v>
      </x:c>
      <x:c r="L754" s="74" t="str">
        <x:f>IF(J754="","Keep current",IF(J754=I754,"Use suggestion","Custom"))</x:f>
        <x:v>Keep current</x:v>
      </x:c>
      <x:c r="M754" s="71" t="str">
        <x:v>Pending review</x:v>
      </x:c>
      <x:c r="N754" s="71" t="str">
        <x:v>Normal</x:v>
      </x:c>
      <x:c r="O754" s="71" t="str">
        <x:v>app/journey/new/trip-builder.tsx</x:v>
      </x:c>
      <x:c r="P754" s="71" t="str">
        <x:v>TripBuilderDocument:2047</x:v>
      </x:c>
      <x:c r="Q754" s="71" t="str">
        <x:v>EN</x:v>
      </x:c>
      <x:c r="R754" s="71" t="str">
        <x:v>Already clear and direct; suggested wording intentionally keeps the current copy.</x:v>
      </x:c>
      <x:c r="S754" s="75" t="str">
        <x:v>Not applied — review required</x:v>
      </x:c>
    </x:row>
    <x:row r="755">
      <x:c r="A755" s="71" t="str">
        <x:v>MRV-91E083C8AB</x:v>
      </x:c>
      <x:c r="B755" s="71" t="str">
        <x:v>Planning</x:v>
      </x:c>
      <x:c r="C755" s="71" t="str">
        <x:v>New trip builder</x:v>
      </x:c>
      <x:c r="D755" s="71" t="str">
        <x:v>/journey/new/trip-builder</x:v>
      </x:c>
      <x:c r="E755" s="71" t="str">
        <x:v>TripBuilderDocument</x:v>
      </x:c>
      <x:c r="F755" s="71" t="str">
        <x:v>Default</x:v>
      </x:c>
      <x:c r="G755" s="71" t="str">
        <x:v>Label</x:v>
      </x:c>
      <x:c r="H755" s="71" t="str">
        <x:v>Todas las noches asignadas</x:v>
      </x:c>
      <x:c r="I755" s="71" t="str">
        <x:v>Todas las noches asignadas</x:v>
      </x:c>
      <x:c r="J755" s="73"/>
      <x:c r="K755" s="74" t="str">
        <x:f>IF(J755="",H755,IF(J755=I755,I755,J755))</x:f>
        <x:v>Todas las noches asignadas</x:v>
      </x:c>
      <x:c r="L755" s="74" t="str">
        <x:f>IF(J755="","Keep current",IF(J755=I755,"Use suggestion","Custom"))</x:f>
        <x:v>Keep current</x:v>
      </x:c>
      <x:c r="M755" s="71" t="str">
        <x:v>Pending review</x:v>
      </x:c>
      <x:c r="N755" s="71" t="str">
        <x:v>Normal</x:v>
      </x:c>
      <x:c r="O755" s="71" t="str">
        <x:v>app/journey/new/trip-builder.tsx</x:v>
      </x:c>
      <x:c r="P755" s="71" t="str">
        <x:v>TripBuilderDocument:2047</x:v>
      </x:c>
      <x:c r="Q755" s="71" t="str">
        <x:v>ES</x:v>
      </x:c>
      <x:c r="R755" s="71" t="str">
        <x:v>Already clear and direct; suggested wording intentionally keeps the current copy.</x:v>
      </x:c>
      <x:c r="S755" s="75" t="str">
        <x:v>Not applied — review required</x:v>
      </x:c>
    </x:row>
    <x:row r="756">
      <x:c r="A756" s="71" t="str">
        <x:v>MRV-64B1AC945F</x:v>
      </x:c>
      <x:c r="B756" s="71" t="str">
        <x:v>Planning</x:v>
      </x:c>
      <x:c r="C756" s="71" t="str">
        <x:v>New trip builder</x:v>
      </x:c>
      <x:c r="D756" s="71" t="str">
        <x:v>/journey/new/trip-builder</x:v>
      </x:c>
      <x:c r="E756" s="71" t="str">
        <x:v>TripBuilderDocument</x:v>
      </x:c>
      <x:c r="F756" s="71" t="str">
        <x:v>Default</x:v>
      </x:c>
      <x:c r="G756" s="71" t="str">
        <x:v>Label</x:v>
      </x:c>
      <x:c r="H756" s="71" t="str">
        <x:v>All nights allocated</x:v>
      </x:c>
      <x:c r="I756" s="71" t="str">
        <x:v>All nights allocated</x:v>
      </x:c>
      <x:c r="J756" s="73"/>
      <x:c r="K756" s="74" t="str">
        <x:f>IF(J756="",H756,IF(J756=I756,I756,J756))</x:f>
        <x:v>All nights allocated</x:v>
      </x:c>
      <x:c r="L756" s="74" t="str">
        <x:f>IF(J756="","Keep current",IF(J756=I756,"Use suggestion","Custom"))</x:f>
        <x:v>Keep current</x:v>
      </x:c>
      <x:c r="M756" s="71" t="str">
        <x:v>Pending review</x:v>
      </x:c>
      <x:c r="N756" s="71" t="str">
        <x:v>Normal</x:v>
      </x:c>
      <x:c r="O756" s="71" t="str">
        <x:v>app/journey/new/trip-builder.tsx</x:v>
      </x:c>
      <x:c r="P756" s="71" t="str">
        <x:v>TripBuilderDocument:2047</x:v>
      </x:c>
      <x:c r="Q756" s="71" t="str">
        <x:v>EN</x:v>
      </x:c>
      <x:c r="R756" s="71" t="str">
        <x:v>Already clear and direct; suggested wording intentionally keeps the current copy.</x:v>
      </x:c>
      <x:c r="S756" s="75" t="str">
        <x:v>Not applied — review required</x:v>
      </x:c>
    </x:row>
    <x:row r="757">
      <x:c r="A757" s="71" t="str">
        <x:v>MRV-4ED661629F</x:v>
      </x:c>
      <x:c r="B757" s="71" t="str">
        <x:v>Planning</x:v>
      </x:c>
      <x:c r="C757" s="71" t="str">
        <x:v>New trip builder</x:v>
      </x:c>
      <x:c r="D757" s="71" t="str">
        <x:v>/journey/new/trip-builder</x:v>
      </x:c>
      <x:c r="E757" s="71" t="str">
        <x:v>TripBuilderDocument</x:v>
      </x:c>
      <x:c r="F757" s="71" t="str">
        <x:v>Default</x:v>
      </x:c>
      <x:c r="G757" s="71" t="str">
        <x:v>Body copy</x:v>
      </x:c>
      <x:c r="H757" s="71" t="str">
        <x:v>{allocatedNights} de {totalNights} noches asignadas</x:v>
      </x:c>
      <x:c r="I757" s="71" t="str">
        <x:v>{allocatedNights} de {totalNights} noches asignadas</x:v>
      </x:c>
      <x:c r="J757" s="73"/>
      <x:c r="K757" s="74" t="str">
        <x:f>IF(J757="",H757,IF(J757=I757,I757,J757))</x:f>
        <x:v>{allocatedNights} de {totalNights} noches asignadas</x:v>
      </x:c>
      <x:c r="L757" s="74" t="str">
        <x:f>IF(J757="","Keep current",IF(J757=I757,"Use suggestion","Custom"))</x:f>
        <x:v>Keep current</x:v>
      </x:c>
      <x:c r="M757" s="71" t="str">
        <x:v>Pending review</x:v>
      </x:c>
      <x:c r="N757" s="71" t="str">
        <x:v>Normal</x:v>
      </x:c>
      <x:c r="O757" s="71" t="str">
        <x:v>app/journey/new/trip-builder.tsx</x:v>
      </x:c>
      <x:c r="P757" s="71" t="str">
        <x:v>TripBuilderDocument:2047</x:v>
      </x:c>
      <x:c r="Q757" s="71" t="str">
        <x:v>ES</x:v>
      </x:c>
      <x:c r="R757" s="71" t="str">
        <x:v>Already clear and direct; suggested wording intentionally keeps the current copy. Dynamic traveller or trip value is represented as a token; user-generated values are excluded.</x:v>
      </x:c>
      <x:c r="S757" s="75" t="str">
        <x:v>Not applied — review required</x:v>
      </x:c>
    </x:row>
    <x:row r="758">
      <x:c r="A758" s="71" t="str">
        <x:v>MRV-A3D1228236</x:v>
      </x:c>
      <x:c r="B758" s="71" t="str">
        <x:v>Planning</x:v>
      </x:c>
      <x:c r="C758" s="71" t="str">
        <x:v>New trip builder</x:v>
      </x:c>
      <x:c r="D758" s="71" t="str">
        <x:v>/journey/new/trip-builder</x:v>
      </x:c>
      <x:c r="E758" s="71" t="str">
        <x:v>TripBuilderDocument</x:v>
      </x:c>
      <x:c r="F758" s="71" t="str">
        <x:v>Default</x:v>
      </x:c>
      <x:c r="G758" s="71" t="str">
        <x:v>Body copy</x:v>
      </x:c>
      <x:c r="H758" s="71" t="str">
        <x:v>{allocatedNights} of {totalNights} nights allocated</x:v>
      </x:c>
      <x:c r="I758" s="71" t="str">
        <x:v>{allocatedNights} of {totalNights} nights allocated</x:v>
      </x:c>
      <x:c r="J758" s="73"/>
      <x:c r="K758" s="74" t="str">
        <x:f>IF(J758="",H758,IF(J758=I758,I758,J758))</x:f>
        <x:v>{allocatedNights} of {totalNights} nights allocated</x:v>
      </x:c>
      <x:c r="L758" s="74" t="str">
        <x:f>IF(J758="","Keep current",IF(J758=I758,"Use suggestion","Custom"))</x:f>
        <x:v>Keep current</x:v>
      </x:c>
      <x:c r="M758" s="71" t="str">
        <x:v>Pending review</x:v>
      </x:c>
      <x:c r="N758" s="71" t="str">
        <x:v>Normal</x:v>
      </x:c>
      <x:c r="O758" s="71" t="str">
        <x:v>app/journey/new/trip-builder.tsx</x:v>
      </x:c>
      <x:c r="P758" s="71" t="str">
        <x:v>TripBuilderDocument:2047</x:v>
      </x:c>
      <x:c r="Q758" s="71" t="str">
        <x:v>EN</x:v>
      </x:c>
      <x:c r="R758" s="71" t="str">
        <x:v>Already clear and direct; suggested wording intentionally keeps the current copy. Dynamic traveller or trip value is represented as a token; user-generated values are excluded.</x:v>
      </x:c>
      <x:c r="S758" s="75" t="str">
        <x:v>Not applied — review required</x:v>
      </x:c>
    </x:row>
    <x:row r="759">
      <x:c r="A759" s="71" t="str">
        <x:v>MRV-6ECF86CB1D</x:v>
      </x:c>
      <x:c r="B759" s="71" t="str">
        <x:v>Planning</x:v>
      </x:c>
      <x:c r="C759" s="71" t="str">
        <x:v>New trip builder</x:v>
      </x:c>
      <x:c r="D759" s="71" t="str">
        <x:v>/journey/new/trip-builder</x:v>
      </x:c>
      <x:c r="E759" s="71" t="str">
        <x:v>TripBuilderDocument</x:v>
      </x:c>
      <x:c r="F759" s="71" t="str">
        <x:v>Default</x:v>
      </x:c>
      <x:c r="G759" s="71" t="str">
        <x:v>CTA / button</x:v>
      </x:c>
      <x:c r="H759" s="71" t="str">
        <x:v>Planifica tu ruta y tu tiempo</x:v>
      </x:c>
      <x:c r="I759" s="71" t="str">
        <x:v>Planifica tu ruta y tu tiempo</x:v>
      </x:c>
      <x:c r="J759" s="73"/>
      <x:c r="K759" s="74" t="str">
        <x:f>IF(J759="",H759,IF(J759=I759,I759,J759))</x:f>
        <x:v>Planifica tu ruta y tu tiempo</x:v>
      </x:c>
      <x:c r="L759" s="74" t="str">
        <x:f>IF(J759="","Keep current",IF(J759=I759,"Use suggestion","Custom"))</x:f>
        <x:v>Keep current</x:v>
      </x:c>
      <x:c r="M759" s="71" t="str">
        <x:v>Pending review</x:v>
      </x:c>
      <x:c r="N759" s="71" t="str">
        <x:v>Medium</x:v>
      </x:c>
      <x:c r="O759" s="71" t="str">
        <x:v>app/journey/new/trip-builder.tsx</x:v>
      </x:c>
      <x:c r="P759" s="71" t="str">
        <x:v>TripBuilderDocument:2050</x:v>
      </x:c>
      <x:c r="Q759" s="71" t="str">
        <x:v>ES</x:v>
      </x:c>
      <x:c r="R759" s="71" t="str">
        <x:v>Already clear and direct; suggested wording intentionally keeps the current copy.</x:v>
      </x:c>
      <x:c r="S759" s="75" t="str">
        <x:v>Not applied — review required</x:v>
      </x:c>
    </x:row>
    <x:row r="760">
      <x:c r="A760" s="71" t="str">
        <x:v>MRV-5207664943</x:v>
      </x:c>
      <x:c r="B760" s="71" t="str">
        <x:v>Planning</x:v>
      </x:c>
      <x:c r="C760" s="71" t="str">
        <x:v>New trip builder</x:v>
      </x:c>
      <x:c r="D760" s="71" t="str">
        <x:v>/journey/new/trip-builder</x:v>
      </x:c>
      <x:c r="E760" s="71" t="str">
        <x:v>TripBuilderDocument</x:v>
      </x:c>
      <x:c r="F760" s="71" t="str">
        <x:v>Default</x:v>
      </x:c>
      <x:c r="G760" s="71" t="str">
        <x:v>CTA / button</x:v>
      </x:c>
      <x:c r="H760" s="71" t="str">
        <x:v>Plan your route and time</x:v>
      </x:c>
      <x:c r="I760" s="71" t="str">
        <x:v>Plan your route and time</x:v>
      </x:c>
      <x:c r="J760" s="73"/>
      <x:c r="K760" s="74" t="str">
        <x:f>IF(J760="",H760,IF(J760=I760,I760,J760))</x:f>
        <x:v>Plan your route and time</x:v>
      </x:c>
      <x:c r="L760" s="74" t="str">
        <x:f>IF(J760="","Keep current",IF(J760=I760,"Use suggestion","Custom"))</x:f>
        <x:v>Keep current</x:v>
      </x:c>
      <x:c r="M760" s="71" t="str">
        <x:v>Pending review</x:v>
      </x:c>
      <x:c r="N760" s="71" t="str">
        <x:v>Medium</x:v>
      </x:c>
      <x:c r="O760" s="71" t="str">
        <x:v>app/journey/new/trip-builder.tsx</x:v>
      </x:c>
      <x:c r="P760" s="71" t="str">
        <x:v>TripBuilderDocument:2050</x:v>
      </x:c>
      <x:c r="Q760" s="71" t="str">
        <x:v>EN</x:v>
      </x:c>
      <x:c r="R760" s="71" t="str">
        <x:v>Already clear and direct; suggested wording intentionally keeps the current copy.</x:v>
      </x:c>
      <x:c r="S760" s="75" t="str">
        <x:v>Not applied — review required</x:v>
      </x:c>
    </x:row>
    <x:row r="761">
      <x:c r="A761" s="71" t="str">
        <x:v>MRV-5BC9B593C9</x:v>
      </x:c>
      <x:c r="B761" s="71" t="str">
        <x:v>Planning</x:v>
      </x:c>
      <x:c r="C761" s="71" t="str">
        <x:v>New trip builder</x:v>
      </x:c>
      <x:c r="D761" s="71" t="str">
        <x:v>/journey/new/trip-builder</x:v>
      </x:c>
      <x:c r="E761" s="71" t="str">
        <x:v>TripBuilderDocument</x:v>
      </x:c>
      <x:c r="F761" s="71" t="str">
        <x:v>Default</x:v>
      </x:c>
      <x:c r="G761" s="71" t="str">
        <x:v>Body copy</x:v>
      </x:c>
      <x:c r="H761" s="71" t="str">
        <x:v>Arrastra para reordenar las paradas. El viaje y el tiempo aprovechable se actualizan automáticamente.</x:v>
      </x:c>
      <x:c r="I761" s="71" t="str">
        <x:v>Arrastra para reordenar las paradas. El viaje y el tiempo aprovechable se actualizan automáticamente.</x:v>
      </x:c>
      <x:c r="J761" s="73"/>
      <x:c r="K761" s="74" t="str">
        <x:f>IF(J761="",H761,IF(J761=I761,I761,J761))</x:f>
        <x:v>Arrastra para reordenar las paradas. El viaje y el tiempo aprovechable se actualizan automáticamente.</x:v>
      </x:c>
      <x:c r="L761" s="74" t="str">
        <x:f>IF(J761="","Keep current",IF(J761=I761,"Use suggestion","Custom"))</x:f>
        <x:v>Keep current</x:v>
      </x:c>
      <x:c r="M761" s="71" t="str">
        <x:v>Pending review</x:v>
      </x:c>
      <x:c r="N761" s="71" t="str">
        <x:v>Normal</x:v>
      </x:c>
      <x:c r="O761" s="71" t="str">
        <x:v>app/journey/new/trip-builder.tsx</x:v>
      </x:c>
      <x:c r="P761" s="71" t="str">
        <x:v>TripBuilderDocument:2050</x:v>
      </x:c>
      <x:c r="Q761" s="71" t="str">
        <x:v>ES</x:v>
      </x:c>
      <x:c r="R761" s="71" t="str">
        <x:v>Already clear and direct; suggested wording intentionally keeps the current copy.</x:v>
      </x:c>
      <x:c r="S761" s="75" t="str">
        <x:v>Not applied — review required</x:v>
      </x:c>
    </x:row>
    <x:row r="762">
      <x:c r="A762" s="71" t="str">
        <x:v>MRV-37639A1FA0</x:v>
      </x:c>
      <x:c r="B762" s="71" t="str">
        <x:v>Planning</x:v>
      </x:c>
      <x:c r="C762" s="71" t="str">
        <x:v>New trip builder</x:v>
      </x:c>
      <x:c r="D762" s="71" t="str">
        <x:v>/journey/new/trip-builder</x:v>
      </x:c>
      <x:c r="E762" s="71" t="str">
        <x:v>TripBuilderDocument</x:v>
      </x:c>
      <x:c r="F762" s="71" t="str">
        <x:v>Default</x:v>
      </x:c>
      <x:c r="G762" s="71" t="str">
        <x:v>Body copy</x:v>
      </x:c>
      <x:c r="H762" s="71" t="str">
        <x:v>Drag to reorder stops. Travel time and usable time update automatically.</x:v>
      </x:c>
      <x:c r="I762" s="71" t="str">
        <x:v>Drag to reorder stops. Travel time and usable time update automatically.</x:v>
      </x:c>
      <x:c r="J762" s="73"/>
      <x:c r="K762" s="74" t="str">
        <x:f>IF(J762="",H762,IF(J762=I762,I762,J762))</x:f>
        <x:v>Drag to reorder stops. Travel time and usable time update automatically.</x:v>
      </x:c>
      <x:c r="L762" s="74" t="str">
        <x:f>IF(J762="","Keep current",IF(J762=I762,"Use suggestion","Custom"))</x:f>
        <x:v>Keep current</x:v>
      </x:c>
      <x:c r="M762" s="71" t="str">
        <x:v>Pending review</x:v>
      </x:c>
      <x:c r="N762" s="71" t="str">
        <x:v>Normal</x:v>
      </x:c>
      <x:c r="O762" s="71" t="str">
        <x:v>app/journey/new/trip-builder.tsx</x:v>
      </x:c>
      <x:c r="P762" s="71" t="str">
        <x:v>TripBuilderDocument:2050</x:v>
      </x:c>
      <x:c r="Q762" s="71" t="str">
        <x:v>EN</x:v>
      </x:c>
      <x:c r="R762" s="71" t="str">
        <x:v>Already clear and direct; suggested wording intentionally keeps the current copy. Terminology watch: ‘trip’ and ‘journey’ both describe the same plan. Terminology watch: ‘stops’, ‘destinations’ and ‘places’ overlap.</x:v>
      </x:c>
      <x:c r="S762" s="75" t="str">
        <x:v>Not applied — review required</x:v>
      </x:c>
    </x:row>
    <x:row r="763">
      <x:c r="A763" s="71" t="str">
        <x:v>MRV-8EC31655CF</x:v>
      </x:c>
      <x:c r="B763" s="71" t="str">
        <x:v>Planning</x:v>
      </x:c>
      <x:c r="C763" s="71" t="str">
        <x:v>New trip builder</x:v>
      </x:c>
      <x:c r="D763" s="71" t="str">
        <x:v>/journey/new/trip-builder</x:v>
      </x:c>
      <x:c r="E763" s="71" t="str">
        <x:v>TripBuilderDocument</x:v>
      </x:c>
      <x:c r="F763" s="71" t="str">
        <x:v>Default</x:v>
      </x:c>
      <x:c r="G763" s="71" t="str">
        <x:v>Label</x:v>
      </x:c>
      <x:c r="H763" s="71" t="str">
        <x:v>TRANSFER FROM PREVIOUS</x:v>
      </x:c>
      <x:c r="I763" s="71" t="str">
        <x:v>TRANSFER FROM PREVIOUS</x:v>
      </x:c>
      <x:c r="J763" s="73"/>
      <x:c r="K763" s="74" t="str">
        <x:f>IF(J763="",H763,IF(J763=I763,I763,J763))</x:f>
        <x:v>TRANSFER FROM PREVIOUS</x:v>
      </x:c>
      <x:c r="L763" s="74" t="str">
        <x:f>IF(J763="","Keep current",IF(J763=I763,"Use suggestion","Custom"))</x:f>
        <x:v>Keep current</x:v>
      </x:c>
      <x:c r="M763" s="71" t="str">
        <x:v>Pending review</x:v>
      </x:c>
      <x:c r="N763" s="71" t="str">
        <x:v>Normal</x:v>
      </x:c>
      <x:c r="O763" s="71" t="str">
        <x:v>app/journey/new/trip-builder.tsx</x:v>
      </x:c>
      <x:c r="P763" s="71" t="str">
        <x:v>TripBuilderDocument:2051</x:v>
      </x:c>
      <x:c r="Q763" s="71" t="str">
        <x:v>EN (default / shared)</x:v>
      </x:c>
      <x:c r="R763" s="71" t="str">
        <x:v>Already clear and direct; suggested wording intentionally keeps the current copy.</x:v>
      </x:c>
      <x:c r="S763" s="75" t="str">
        <x:v>Not applied — review required</x:v>
      </x:c>
    </x:row>
    <x:row r="764">
      <x:c r="A764" s="71" t="str">
        <x:v>MRV-BE0881E005</x:v>
      </x:c>
      <x:c r="B764" s="71" t="str">
        <x:v>Planning</x:v>
      </x:c>
      <x:c r="C764" s="71" t="str">
        <x:v>New trip builder</x:v>
      </x:c>
      <x:c r="D764" s="71" t="str">
        <x:v>/journey/new/trip-builder</x:v>
      </x:c>
      <x:c r="E764" s="71" t="str">
        <x:v>TripBuilderDocument</x:v>
      </x:c>
      <x:c r="F764" s="71" t="str">
        <x:v>Default</x:v>
      </x:c>
      <x:c r="G764" s="71" t="str">
        <x:v>Label</x:v>
      </x:c>
      <x:c r="H764" s="71" t="str">
        <x:v>USABLE TIME</x:v>
      </x:c>
      <x:c r="I764" s="71" t="str">
        <x:v>USABLE TIME</x:v>
      </x:c>
      <x:c r="J764" s="73"/>
      <x:c r="K764" s="74" t="str">
        <x:f>IF(J764="",H764,IF(J764=I764,I764,J764))</x:f>
        <x:v>USABLE TIME</x:v>
      </x:c>
      <x:c r="L764" s="74" t="str">
        <x:f>IF(J764="","Keep current",IF(J764=I764,"Use suggestion","Custom"))</x:f>
        <x:v>Keep current</x:v>
      </x:c>
      <x:c r="M764" s="71" t="str">
        <x:v>Pending review</x:v>
      </x:c>
      <x:c r="N764" s="71" t="str">
        <x:v>Normal</x:v>
      </x:c>
      <x:c r="O764" s="71" t="str">
        <x:v>app/journey/new/trip-builder.tsx</x:v>
      </x:c>
      <x:c r="P764" s="71" t="str">
        <x:v>TripBuilderDocument:2051</x:v>
      </x:c>
      <x:c r="Q764" s="71" t="str">
        <x:v>EN (default / shared)</x:v>
      </x:c>
      <x:c r="R764" s="71" t="str">
        <x:v>Already clear and direct; suggested wording intentionally keeps the current copy.</x:v>
      </x:c>
      <x:c r="S764" s="75" t="str">
        <x:v>Not applied — review required</x:v>
      </x:c>
    </x:row>
    <x:row r="765">
      <x:c r="A765" s="71" t="str">
        <x:v>MRV-0D10FFD931</x:v>
      </x:c>
      <x:c r="B765" s="71" t="str">
        <x:v>Planning</x:v>
      </x:c>
      <x:c r="C765" s="71" t="str">
        <x:v>New trip builder</x:v>
      </x:c>
      <x:c r="D765" s="71" t="str">
        <x:v>/journey/new/trip-builder</x:v>
      </x:c>
      <x:c r="E765" s="71" t="str">
        <x:v>TripBuilderDocument</x:v>
      </x:c>
      <x:c r="F765" s="71" t="str">
        <x:v>Accessibility / input support</x:v>
      </x:c>
      <x:c r="G765" s="71" t="str">
        <x:v>Accessibility label</x:v>
      </x:c>
      <x:c r="H765" s="71" t="str">
        <x:v>Move {stop.name}</x:v>
      </x:c>
      <x:c r="I765" s="71" t="str">
        <x:v>Move {stop.name}</x:v>
      </x:c>
      <x:c r="J765" s="73"/>
      <x:c r="K765" s="74" t="str">
        <x:f>IF(J765="",H765,IF(J765=I765,I765,J765))</x:f>
        <x:v>Move {stop.name}</x:v>
      </x:c>
      <x:c r="L765" s="74" t="str">
        <x:f>IF(J765="","Keep current",IF(J765=I765,"Use suggestion","Custom"))</x:f>
        <x:v>Keep current</x:v>
      </x:c>
      <x:c r="M765" s="71" t="str">
        <x:v>Pending review</x:v>
      </x:c>
      <x:c r="N765" s="71" t="str">
        <x:v>Medium</x:v>
      </x:c>
      <x:c r="O765" s="71" t="str">
        <x:v>app/journey/new/trip-builder.tsx</x:v>
      </x:c>
      <x:c r="P765" s="71" t="str">
        <x:v>TripBuilderDocument:2061</x:v>
      </x:c>
      <x:c r="Q765" s="71" t="str">
        <x:v>EN (default / shared)</x:v>
      </x:c>
      <x:c r="R765"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765" s="75" t="str">
        <x:v>Not applied — review required</x:v>
      </x:c>
    </x:row>
    <x:row r="766">
      <x:c r="A766" s="71" t="str">
        <x:v>MRV-AF21F9EF4B</x:v>
      </x:c>
      <x:c r="B766" s="71" t="str">
        <x:v>Planning</x:v>
      </x:c>
      <x:c r="C766" s="71" t="str">
        <x:v>New trip builder</x:v>
      </x:c>
      <x:c r="D766" s="71" t="str">
        <x:v>/journey/new/trip-builder</x:v>
      </x:c>
      <x:c r="E766" s="71" t="str">
        <x:v>TripBuilderDocument</x:v>
      </x:c>
      <x:c r="F766" s="71" t="str">
        <x:v>Default</x:v>
      </x:c>
      <x:c r="G766" s="71" t="str">
        <x:v>Label</x:v>
      </x:c>
      <x:c r="H766" s="71" t="str">
        <x:v>By road</x:v>
      </x:c>
      <x:c r="I766" s="71" t="str">
        <x:v>By road</x:v>
      </x:c>
      <x:c r="J766" s="73"/>
      <x:c r="K766" s="74" t="str">
        <x:f>IF(J766="",H766,IF(J766=I766,I766,J766))</x:f>
        <x:v>By road</x:v>
      </x:c>
      <x:c r="L766" s="74" t="str">
        <x:f>IF(J766="","Keep current",IF(J766=I766,"Use suggestion","Custom"))</x:f>
        <x:v>Keep current</x:v>
      </x:c>
      <x:c r="M766" s="71" t="str">
        <x:v>Pending review</x:v>
      </x:c>
      <x:c r="N766" s="71" t="str">
        <x:v>Normal</x:v>
      </x:c>
      <x:c r="O766" s="71" t="str">
        <x:v>app/journey/new/trip-builder.tsx</x:v>
      </x:c>
      <x:c r="P766" s="71" t="str">
        <x:v>TripBuilderDocument:2063</x:v>
      </x:c>
      <x:c r="Q766" s="71" t="str">
        <x:v>EN (default / shared)</x:v>
      </x:c>
      <x:c r="R766" s="71" t="str">
        <x:v>Already clear and direct; suggested wording intentionally keeps the current copy.</x:v>
      </x:c>
      <x:c r="S766" s="75" t="str">
        <x:v>Not applied — review required</x:v>
      </x:c>
    </x:row>
    <x:row r="767">
      <x:c r="A767" s="71" t="str">
        <x:v>MRV-30C3D8AE0F</x:v>
      </x:c>
      <x:c r="B767" s="71" t="str">
        <x:v>Planning</x:v>
      </x:c>
      <x:c r="C767" s="71" t="str">
        <x:v>New trip builder</x:v>
      </x:c>
      <x:c r="D767" s="71" t="str">
        <x:v>/journey/new/trip-builder</x:v>
      </x:c>
      <x:c r="E767" s="71" t="str">
        <x:v>TripBuilderDocument</x:v>
      </x:c>
      <x:c r="F767" s="71" t="str">
        <x:v>Default</x:v>
      </x:c>
      <x:c r="G767" s="71" t="str">
        <x:v>Label</x:v>
      </x:c>
      <x:c r="H767" s="71" t="str">
        <x:v>By train</x:v>
      </x:c>
      <x:c r="I767" s="71" t="str">
        <x:v>By train</x:v>
      </x:c>
      <x:c r="J767" s="73"/>
      <x:c r="K767" s="74" t="str">
        <x:f>IF(J767="",H767,IF(J767=I767,I767,J767))</x:f>
        <x:v>By train</x:v>
      </x:c>
      <x:c r="L767" s="74" t="str">
        <x:f>IF(J767="","Keep current",IF(J767=I767,"Use suggestion","Custom"))</x:f>
        <x:v>Keep current</x:v>
      </x:c>
      <x:c r="M767" s="71" t="str">
        <x:v>Pending review</x:v>
      </x:c>
      <x:c r="N767" s="71" t="str">
        <x:v>Normal</x:v>
      </x:c>
      <x:c r="O767" s="71" t="str">
        <x:v>app/journey/new/trip-builder.tsx</x:v>
      </x:c>
      <x:c r="P767" s="71" t="str">
        <x:v>TripBuilderDocument:2063</x:v>
      </x:c>
      <x:c r="Q767" s="71" t="str">
        <x:v>EN (default / shared)</x:v>
      </x:c>
      <x:c r="R767" s="71" t="str">
        <x:v>Already clear and direct; suggested wording intentionally keeps the current copy.</x:v>
      </x:c>
      <x:c r="S767" s="75" t="str">
        <x:v>Not applied — review required</x:v>
      </x:c>
    </x:row>
    <x:row r="768">
      <x:c r="A768" s="71" t="str">
        <x:v>MRV-FBF38C9B25</x:v>
      </x:c>
      <x:c r="B768" s="71" t="str">
        <x:v>Planning</x:v>
      </x:c>
      <x:c r="C768" s="71" t="str">
        <x:v>New trip builder</x:v>
      </x:c>
      <x:c r="D768" s="71" t="str">
        <x:v>/journey/new/trip-builder</x:v>
      </x:c>
      <x:c r="E768" s="71" t="str">
        <x:v>TripBuilderDocument</x:v>
      </x:c>
      <x:c r="F768" s="71" t="str">
        <x:v>Default</x:v>
      </x:c>
      <x:c r="G768" s="71" t="str">
        <x:v>Label</x:v>
      </x:c>
      <x:c r="H768" s="71" t="str">
        <x:v>By ferry</x:v>
      </x:c>
      <x:c r="I768" s="71" t="str">
        <x:v>By ferry</x:v>
      </x:c>
      <x:c r="J768" s="73"/>
      <x:c r="K768" s="74" t="str">
        <x:f>IF(J768="",H768,IF(J768=I768,I768,J768))</x:f>
        <x:v>By ferry</x:v>
      </x:c>
      <x:c r="L768" s="74" t="str">
        <x:f>IF(J768="","Keep current",IF(J768=I768,"Use suggestion","Custom"))</x:f>
        <x:v>Keep current</x:v>
      </x:c>
      <x:c r="M768" s="71" t="str">
        <x:v>Pending review</x:v>
      </x:c>
      <x:c r="N768" s="71" t="str">
        <x:v>Normal</x:v>
      </x:c>
      <x:c r="O768" s="71" t="str">
        <x:v>app/journey/new/trip-builder.tsx</x:v>
      </x:c>
      <x:c r="P768" s="71" t="str">
        <x:v>TripBuilderDocument:2063</x:v>
      </x:c>
      <x:c r="Q768" s="71" t="str">
        <x:v>EN (default / shared)</x:v>
      </x:c>
      <x:c r="R768" s="71" t="str">
        <x:v>Already clear and direct; suggested wording intentionally keeps the current copy.</x:v>
      </x:c>
      <x:c r="S768" s="75" t="str">
        <x:v>Not applied — review required</x:v>
      </x:c>
    </x:row>
    <x:row r="769">
      <x:c r="A769" s="71" t="str">
        <x:v>MRV-82019151E5</x:v>
      </x:c>
      <x:c r="B769" s="71" t="str">
        <x:v>Planning</x:v>
      </x:c>
      <x:c r="C769" s="71" t="str">
        <x:v>New trip builder</x:v>
      </x:c>
      <x:c r="D769" s="71" t="str">
        <x:v>/journey/new/trip-builder</x:v>
      </x:c>
      <x:c r="E769" s="71" t="str">
        <x:v>TripBuilderDocument</x:v>
      </x:c>
      <x:c r="F769" s="71" t="str">
        <x:v>Default</x:v>
      </x:c>
      <x:c r="G769" s="71" t="str">
        <x:v>Label</x:v>
      </x:c>
      <x:c r="H769" s="71" t="str">
        <x:v>By flight</x:v>
      </x:c>
      <x:c r="I769" s="71" t="str">
        <x:v>By flight</x:v>
      </x:c>
      <x:c r="J769" s="73"/>
      <x:c r="K769" s="74" t="str">
        <x:f>IF(J769="",H769,IF(J769=I769,I769,J769))</x:f>
        <x:v>By flight</x:v>
      </x:c>
      <x:c r="L769" s="74" t="str">
        <x:f>IF(J769="","Keep current",IF(J769=I769,"Use suggestion","Custom"))</x:f>
        <x:v>Keep current</x:v>
      </x:c>
      <x:c r="M769" s="71" t="str">
        <x:v>Pending review</x:v>
      </x:c>
      <x:c r="N769" s="71" t="str">
        <x:v>Normal</x:v>
      </x:c>
      <x:c r="O769" s="71" t="str">
        <x:v>app/journey/new/trip-builder.tsx</x:v>
      </x:c>
      <x:c r="P769" s="71" t="str">
        <x:v>TripBuilderDocument:2063</x:v>
      </x:c>
      <x:c r="Q769" s="71" t="str">
        <x:v>EN (default / shared)</x:v>
      </x:c>
      <x:c r="R769" s="71" t="str">
        <x:v>Already clear and direct; suggested wording intentionally keeps the current copy.</x:v>
      </x:c>
      <x:c r="S769" s="75" t="str">
        <x:v>Not applied — review required</x:v>
      </x:c>
    </x:row>
    <x:row r="770">
      <x:c r="A770" s="71" t="str">
        <x:v>MRV-7113E22CD3</x:v>
      </x:c>
      <x:c r="B770" s="71" t="str">
        <x:v>Planning</x:v>
      </x:c>
      <x:c r="C770" s="71" t="str">
        <x:v>New trip builder</x:v>
      </x:c>
      <x:c r="D770" s="71" t="str">
        <x:v>/journey/new/trip-builder</x:v>
      </x:c>
      <x:c r="E770" s="71" t="str">
        <x:v>TripBuilderDocument</x:v>
      </x:c>
      <x:c r="F770" s="71" t="str">
        <x:v>Default</x:v>
      </x:c>
      <x:c r="G770" s="71" t="str">
        <x:v>Label</x:v>
      </x:c>
      <x:c r="H770" s="71" t="str">
        <x:v>Mode to confirm</x:v>
      </x:c>
      <x:c r="I770" s="71" t="str">
        <x:v>Mode to confirm</x:v>
      </x:c>
      <x:c r="J770" s="73"/>
      <x:c r="K770" s="74" t="str">
        <x:f>IF(J770="",H770,IF(J770=I770,I770,J770))</x:f>
        <x:v>Mode to confirm</x:v>
      </x:c>
      <x:c r="L770" s="74" t="str">
        <x:f>IF(J770="","Keep current",IF(J770=I770,"Use suggestion","Custom"))</x:f>
        <x:v>Keep current</x:v>
      </x:c>
      <x:c r="M770" s="71" t="str">
        <x:v>Pending review</x:v>
      </x:c>
      <x:c r="N770" s="71" t="str">
        <x:v>Normal</x:v>
      </x:c>
      <x:c r="O770" s="71" t="str">
        <x:v>app/journey/new/trip-builder.tsx</x:v>
      </x:c>
      <x:c r="P770" s="71" t="str">
        <x:v>TripBuilderDocument:2063</x:v>
      </x:c>
      <x:c r="Q770" s="71" t="str">
        <x:v>EN (default / shared)</x:v>
      </x:c>
      <x:c r="R770" s="71" t="str">
        <x:v>Already clear and direct; suggested wording intentionally keeps the current copy. Duplicate wording: appears 2 times.</x:v>
      </x:c>
      <x:c r="S770" s="75" t="str">
        <x:v>Not applied — review required</x:v>
      </x:c>
    </x:row>
    <x:row r="771">
      <x:c r="A771" s="71" t="str">
        <x:v>MRV-DC15D5BCB5</x:v>
      </x:c>
      <x:c r="B771" s="71" t="str">
        <x:v>Planning</x:v>
      </x:c>
      <x:c r="C771" s="71" t="str">
        <x:v>New trip builder</x:v>
      </x:c>
      <x:c r="D771" s="71" t="str">
        <x:v>/journey/new/trip-builder</x:v>
      </x:c>
      <x:c r="E771" s="71" t="str">
        <x:v>TripBuilderDocument</x:v>
      </x:c>
      <x:c r="F771" s="71" t="str">
        <x:v>Default</x:v>
      </x:c>
      <x:c r="G771" s="71" t="str">
        <x:v>CTA / button</x:v>
      </x:c>
      <x:c r="H771" s="71" t="str">
        <x:v>Starting point</x:v>
      </x:c>
      <x:c r="I771" s="71" t="str">
        <x:v>Starting point</x:v>
      </x:c>
      <x:c r="J771" s="73"/>
      <x:c r="K771" s="74" t="str">
        <x:f>IF(J771="",H771,IF(J771=I771,I771,J771))</x:f>
        <x:v>Starting point</x:v>
      </x:c>
      <x:c r="L771" s="74" t="str">
        <x:f>IF(J771="","Keep current",IF(J771=I771,"Use suggestion","Custom"))</x:f>
        <x:v>Keep current</x:v>
      </x:c>
      <x:c r="M771" s="71" t="str">
        <x:v>Pending review</x:v>
      </x:c>
      <x:c r="N771" s="71" t="str">
        <x:v>Medium</x:v>
      </x:c>
      <x:c r="O771" s="71" t="str">
        <x:v>app/journey/new/trip-builder.tsx</x:v>
      </x:c>
      <x:c r="P771" s="71" t="str">
        <x:v>TripBuilderDocument:2063</x:v>
      </x:c>
      <x:c r="Q771" s="71" t="str">
        <x:v>EN (default / shared)</x:v>
      </x:c>
      <x:c r="R771" s="71" t="str">
        <x:v>Already clear and direct; suggested wording intentionally keeps the current copy. Duplicate wording: appears 2 times.</x:v>
      </x:c>
      <x:c r="S771" s="75" t="str">
        <x:v>Not applied — review required</x:v>
      </x:c>
    </x:row>
    <x:row r="772">
      <x:c r="A772" s="71" t="str">
        <x:v>MRV-DEDB453450</x:v>
      </x:c>
      <x:c r="B772" s="71" t="str">
        <x:v>Planning</x:v>
      </x:c>
      <x:c r="C772" s="71" t="str">
        <x:v>New trip builder</x:v>
      </x:c>
      <x:c r="D772" s="71" t="str">
        <x:v>/journey/new/trip-builder</x:v>
      </x:c>
      <x:c r="E772" s="71" t="str">
        <x:v>TripBuilderDocument</x:v>
      </x:c>
      <x:c r="F772" s="71" t="str">
        <x:v>Accessibility / input support</x:v>
      </x:c>
      <x:c r="G772" s="71" t="str">
        <x:v>Accessibility label</x:v>
      </x:c>
      <x:c r="H772" s="71" t="str">
        <x:v>Remove a night from {stop.name}</x:v>
      </x:c>
      <x:c r="I772" s="71" t="str">
        <x:v>Remove a night from {stop.name}</x:v>
      </x:c>
      <x:c r="J772" s="73"/>
      <x:c r="K772" s="74" t="str">
        <x:f>IF(J772="",H772,IF(J772=I772,I772,J772))</x:f>
        <x:v>Remove a night from {stop.name}</x:v>
      </x:c>
      <x:c r="L772" s="74" t="str">
        <x:f>IF(J772="","Keep current",IF(J772=I772,"Use suggestion","Custom"))</x:f>
        <x:v>Keep current</x:v>
      </x:c>
      <x:c r="M772" s="71" t="str">
        <x:v>Pending review</x:v>
      </x:c>
      <x:c r="N772" s="71" t="str">
        <x:v>Medium</x:v>
      </x:c>
      <x:c r="O772" s="71" t="str">
        <x:v>app/journey/new/trip-builder.tsx</x:v>
      </x:c>
      <x:c r="P772" s="71" t="str">
        <x:v>TripBuilderDocument:2064</x:v>
      </x:c>
      <x:c r="Q772" s="71" t="str">
        <x:v>EN (default / shared)</x:v>
      </x:c>
      <x:c r="R772"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772" s="75" t="str">
        <x:v>Not applied — review required</x:v>
      </x:c>
    </x:row>
    <x:row r="773">
      <x:c r="A773" s="71" t="str">
        <x:v>MRV-4D3ED0B2E4</x:v>
      </x:c>
      <x:c r="B773" s="71" t="str">
        <x:v>Planning</x:v>
      </x:c>
      <x:c r="C773" s="71" t="str">
        <x:v>New trip builder</x:v>
      </x:c>
      <x:c r="D773" s="71" t="str">
        <x:v>/journey/new/trip-builder</x:v>
      </x:c>
      <x:c r="E773" s="71" t="str">
        <x:v>TripBuilderDocument</x:v>
      </x:c>
      <x:c r="F773" s="71" t="str">
        <x:v>Accessibility / input support</x:v>
      </x:c>
      <x:c r="G773" s="71" t="str">
        <x:v>Accessibility label</x:v>
      </x:c>
      <x:c r="H773" s="71" t="str">
        <x:v>Add a night to {stop.name}</x:v>
      </x:c>
      <x:c r="I773" s="71" t="str">
        <x:v>Add a night to {stop.name}</x:v>
      </x:c>
      <x:c r="J773" s="73"/>
      <x:c r="K773" s="74" t="str">
        <x:f>IF(J773="",H773,IF(J773=I773,I773,J773))</x:f>
        <x:v>Add a night to {stop.name}</x:v>
      </x:c>
      <x:c r="L773" s="74" t="str">
        <x:f>IF(J773="","Keep current",IF(J773=I773,"Use suggestion","Custom"))</x:f>
        <x:v>Keep current</x:v>
      </x:c>
      <x:c r="M773" s="71" t="str">
        <x:v>Pending review</x:v>
      </x:c>
      <x:c r="N773" s="71" t="str">
        <x:v>Medium</x:v>
      </x:c>
      <x:c r="O773" s="71" t="str">
        <x:v>app/journey/new/trip-builder.tsx</x:v>
      </x:c>
      <x:c r="P773" s="71" t="str">
        <x:v>TripBuilderDocument:2064</x:v>
      </x:c>
      <x:c r="Q773" s="71" t="str">
        <x:v>EN (default / shared)</x:v>
      </x:c>
      <x:c r="R773"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773" s="75" t="str">
        <x:v>Not applied — review required</x:v>
      </x:c>
    </x:row>
    <x:row r="774">
      <x:c r="A774" s="71" t="str">
        <x:v>MRV-8BF4B15A4D</x:v>
      </x:c>
      <x:c r="B774" s="71" t="str">
        <x:v>Planning</x:v>
      </x:c>
      <x:c r="C774" s="71" t="str">
        <x:v>New trip builder</x:v>
      </x:c>
      <x:c r="D774" s="71" t="str">
        <x:v>/journey/new/trip-builder</x:v>
      </x:c>
      <x:c r="E774" s="71" t="str">
        <x:v>TripBuilderDocument</x:v>
      </x:c>
      <x:c r="F774" s="71" t="str">
        <x:v>Accessibility / input support</x:v>
      </x:c>
      <x:c r="G774" s="71" t="str">
        <x:v>Accessibility label</x:v>
      </x:c>
      <x:c r="H774" s="71" t="str">
        <x:v>Compressed stop</x:v>
      </x:c>
      <x:c r="I774" s="71" t="str">
        <x:v>Compressed stop</x:v>
      </x:c>
      <x:c r="J774" s="73"/>
      <x:c r="K774" s="74" t="str">
        <x:f>IF(J774="",H774,IF(J774=I774,I774,J774))</x:f>
        <x:v>Compressed stop</x:v>
      </x:c>
      <x:c r="L774" s="74" t="str">
        <x:f>IF(J774="","Keep current",IF(J774=I774,"Use suggestion","Custom"))</x:f>
        <x:v>Keep current</x:v>
      </x:c>
      <x:c r="M774" s="71" t="str">
        <x:v>Pending review</x:v>
      </x:c>
      <x:c r="N774" s="71" t="str">
        <x:v>Medium</x:v>
      </x:c>
      <x:c r="O774" s="71" t="str">
        <x:v>app/journey/new/trip-builder.tsx</x:v>
      </x:c>
      <x:c r="P774" s="71" t="str">
        <x:v>TripBuilderDocument:2065</x:v>
      </x:c>
      <x:c r="Q774" s="71" t="str">
        <x:v>EN (default / shared)</x:v>
      </x:c>
      <x:c r="R774" s="71" t="str">
        <x:v>Already clear and direct; suggested wording intentionally keeps the current copy. Terminology watch: ‘trip’ and ‘journey’ both describe the same plan. Terminology watch: ‘stops’, ‘destinations’ and ‘places’ overlap.</x:v>
      </x:c>
      <x:c r="S774" s="75" t="str">
        <x:v>Not applied — review required</x:v>
      </x:c>
    </x:row>
    <x:row r="775">
      <x:c r="A775" s="71" t="str">
        <x:v>MRV-9A62817DD3</x:v>
      </x:c>
      <x:c r="B775" s="71" t="str">
        <x:v>Planning</x:v>
      </x:c>
      <x:c r="C775" s="71" t="str">
        <x:v>New trip builder</x:v>
      </x:c>
      <x:c r="D775" s="71" t="str">
        <x:v>/journey/new/trip-builder</x:v>
      </x:c>
      <x:c r="E775" s="71" t="str">
        <x:v>TripBuilderDocument</x:v>
      </x:c>
      <x:c r="F775" s="71" t="str">
        <x:v>Accessibility / input support</x:v>
      </x:c>
      <x:c r="G775" s="71" t="str">
        <x:v>Accessibility label</x:v>
      </x:c>
      <x:c r="H775" s="71" t="str">
        <x:v>Move {stop.name} up</x:v>
      </x:c>
      <x:c r="I775" s="71" t="str">
        <x:v>Move {stop.name} up</x:v>
      </x:c>
      <x:c r="J775" s="73"/>
      <x:c r="K775" s="74" t="str">
        <x:f>IF(J775="",H775,IF(J775=I775,I775,J775))</x:f>
        <x:v>Move {stop.name} up</x:v>
      </x:c>
      <x:c r="L775" s="74" t="str">
        <x:f>IF(J775="","Keep current",IF(J775=I775,"Use suggestion","Custom"))</x:f>
        <x:v>Keep current</x:v>
      </x:c>
      <x:c r="M775" s="71" t="str">
        <x:v>Pending review</x:v>
      </x:c>
      <x:c r="N775" s="71" t="str">
        <x:v>Medium</x:v>
      </x:c>
      <x:c r="O775" s="71" t="str">
        <x:v>app/journey/new/trip-builder.tsx</x:v>
      </x:c>
      <x:c r="P775" s="71" t="str">
        <x:v>TripBuilderDocument:2066</x:v>
      </x:c>
      <x:c r="Q775" s="71" t="str">
        <x:v>EN (default / shared)</x:v>
      </x:c>
      <x:c r="R775"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775" s="75" t="str">
        <x:v>Not applied — review required</x:v>
      </x:c>
    </x:row>
    <x:row r="776">
      <x:c r="A776" s="71" t="str">
        <x:v>MRV-69516D309B</x:v>
      </x:c>
      <x:c r="B776" s="71" t="str">
        <x:v>Planning</x:v>
      </x:c>
      <x:c r="C776" s="71" t="str">
        <x:v>New trip builder</x:v>
      </x:c>
      <x:c r="D776" s="71" t="str">
        <x:v>/journey/new/trip-builder</x:v>
      </x:c>
      <x:c r="E776" s="71" t="str">
        <x:v>TripBuilderDocument</x:v>
      </x:c>
      <x:c r="F776" s="71" t="str">
        <x:v>Accessibility / input support</x:v>
      </x:c>
      <x:c r="G776" s="71" t="str">
        <x:v>Accessibility label</x:v>
      </x:c>
      <x:c r="H776" s="71" t="str">
        <x:v>Move {stop.name} down</x:v>
      </x:c>
      <x:c r="I776" s="71" t="str">
        <x:v>Move {stop.name} down</x:v>
      </x:c>
      <x:c r="J776" s="73"/>
      <x:c r="K776" s="74" t="str">
        <x:f>IF(J776="",H776,IF(J776=I776,I776,J776))</x:f>
        <x:v>Move {stop.name} down</x:v>
      </x:c>
      <x:c r="L776" s="74" t="str">
        <x:f>IF(J776="","Keep current",IF(J776=I776,"Use suggestion","Custom"))</x:f>
        <x:v>Keep current</x:v>
      </x:c>
      <x:c r="M776" s="71" t="str">
        <x:v>Pending review</x:v>
      </x:c>
      <x:c r="N776" s="71" t="str">
        <x:v>Medium</x:v>
      </x:c>
      <x:c r="O776" s="71" t="str">
        <x:v>app/journey/new/trip-builder.tsx</x:v>
      </x:c>
      <x:c r="P776" s="71" t="str">
        <x:v>TripBuilderDocument:2066</x:v>
      </x:c>
      <x:c r="Q776" s="71" t="str">
        <x:v>EN (default / shared)</x:v>
      </x:c>
      <x:c r="R776"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776" s="75" t="str">
        <x:v>Not applied — review required</x:v>
      </x:c>
    </x:row>
    <x:row r="777">
      <x:c r="A777" s="71" t="str">
        <x:v>MRV-8D099E6A9D</x:v>
      </x:c>
      <x:c r="B777" s="71" t="str">
        <x:v>Planning</x:v>
      </x:c>
      <x:c r="C777" s="71" t="str">
        <x:v>New trip builder</x:v>
      </x:c>
      <x:c r="D777" s="71" t="str">
        <x:v>/journey/new/trip-builder</x:v>
      </x:c>
      <x:c r="E777" s="71" t="str">
        <x:v>TripBuilderDocument</x:v>
      </x:c>
      <x:c r="F777" s="71" t="str">
        <x:v>Default</x:v>
      </x:c>
      <x:c r="G777" s="71" t="str">
        <x:v>Label</x:v>
      </x:c>
      <x:c r="H777" s="71" t="str">
        <x:v>Por qué este orden</x:v>
      </x:c>
      <x:c r="I777" s="71" t="str">
        <x:v>Por qué este orden</x:v>
      </x:c>
      <x:c r="J777" s="73"/>
      <x:c r="K777" s="74" t="str">
        <x:f>IF(J777="",H777,IF(J777=I777,I777,J777))</x:f>
        <x:v>Por qué este orden</x:v>
      </x:c>
      <x:c r="L777" s="74" t="str">
        <x:f>IF(J777="","Keep current",IF(J777=I777,"Use suggestion","Custom"))</x:f>
        <x:v>Keep current</x:v>
      </x:c>
      <x:c r="M777" s="71" t="str">
        <x:v>Pending review</x:v>
      </x:c>
      <x:c r="N777" s="71" t="str">
        <x:v>Normal</x:v>
      </x:c>
      <x:c r="O777" s="71" t="str">
        <x:v>app/journey/new/trip-builder.tsx</x:v>
      </x:c>
      <x:c r="P777" s="71" t="str">
        <x:v>TripBuilderDocument:2074</x:v>
      </x:c>
      <x:c r="Q777" s="71" t="str">
        <x:v>ES</x:v>
      </x:c>
      <x:c r="R777" s="71" t="str">
        <x:v>Already clear and direct; suggested wording intentionally keeps the current copy.</x:v>
      </x:c>
      <x:c r="S777" s="75" t="str">
        <x:v>Not applied — review required</x:v>
      </x:c>
    </x:row>
    <x:row r="778">
      <x:c r="A778" s="71" t="str">
        <x:v>MRV-CB54D4A5F7</x:v>
      </x:c>
      <x:c r="B778" s="71" t="str">
        <x:v>Planning</x:v>
      </x:c>
      <x:c r="C778" s="71" t="str">
        <x:v>New trip builder</x:v>
      </x:c>
      <x:c r="D778" s="71" t="str">
        <x:v>/journey/new/trip-builder</x:v>
      </x:c>
      <x:c r="E778" s="71" t="str">
        <x:v>TripBuilderDocument</x:v>
      </x:c>
      <x:c r="F778" s="71" t="str">
        <x:v>Default</x:v>
      </x:c>
      <x:c r="G778" s="71" t="str">
        <x:v>Label</x:v>
      </x:c>
      <x:c r="H778" s="71" t="str">
        <x:v>Why this order</x:v>
      </x:c>
      <x:c r="I778" s="71" t="str">
        <x:v>Why this order</x:v>
      </x:c>
      <x:c r="J778" s="73"/>
      <x:c r="K778" s="74" t="str">
        <x:f>IF(J778="",H778,IF(J778=I778,I778,J778))</x:f>
        <x:v>Why this order</x:v>
      </x:c>
      <x:c r="L778" s="74" t="str">
        <x:f>IF(J778="","Keep current",IF(J778=I778,"Use suggestion","Custom"))</x:f>
        <x:v>Keep current</x:v>
      </x:c>
      <x:c r="M778" s="71" t="str">
        <x:v>Pending review</x:v>
      </x:c>
      <x:c r="N778" s="71" t="str">
        <x:v>Normal</x:v>
      </x:c>
      <x:c r="O778" s="71" t="str">
        <x:v>app/journey/new/trip-builder.tsx</x:v>
      </x:c>
      <x:c r="P778" s="71" t="str">
        <x:v>TripBuilderDocument:2074</x:v>
      </x:c>
      <x:c r="Q778" s="71" t="str">
        <x:v>EN</x:v>
      </x:c>
      <x:c r="R778" s="71" t="str">
        <x:v>Already clear and direct; suggested wording intentionally keeps the current copy. Duplicate wording: appears 2 times.</x:v>
      </x:c>
      <x:c r="S778" s="75" t="str">
        <x:v>Not applied — review required</x:v>
      </x:c>
    </x:row>
    <x:row r="779">
      <x:c r="A779" s="71" t="str">
        <x:v>MRV-7889456FA4</x:v>
      </x:c>
      <x:c r="B779" s="71" t="str">
        <x:v>Planning</x:v>
      </x:c>
      <x:c r="C779" s="71" t="str">
        <x:v>New trip builder</x:v>
      </x:c>
      <x:c r="D779" s="71" t="str">
        <x:v>/journey/new/trip-builder</x:v>
      </x:c>
      <x:c r="E779" s="71" t="str">
        <x:v>TripBuilderDocument</x:v>
      </x:c>
      <x:c r="F779" s="71" t="str">
        <x:v>Default</x:v>
      </x:c>
      <x:c r="G779" s="71" t="str">
        <x:v>Label</x:v>
      </x:c>
      <x:c r="H779" s="71" t="str">
        <x:v>Compromiso importante</x:v>
      </x:c>
      <x:c r="I779" s="71" t="str">
        <x:v>Compromiso importante</x:v>
      </x:c>
      <x:c r="J779" s="73"/>
      <x:c r="K779" s="74" t="str">
        <x:f>IF(J779="",H779,IF(J779=I779,I779,J779))</x:f>
        <x:v>Compromiso importante</x:v>
      </x:c>
      <x:c r="L779" s="74" t="str">
        <x:f>IF(J779="","Keep current",IF(J779=I779,"Use suggestion","Custom"))</x:f>
        <x:v>Keep current</x:v>
      </x:c>
      <x:c r="M779" s="71" t="str">
        <x:v>Pending review</x:v>
      </x:c>
      <x:c r="N779" s="71" t="str">
        <x:v>Normal</x:v>
      </x:c>
      <x:c r="O779" s="71" t="str">
        <x:v>app/journey/new/trip-builder.tsx</x:v>
      </x:c>
      <x:c r="P779" s="71" t="str">
        <x:v>TripBuilderDocument:2077</x:v>
      </x:c>
      <x:c r="Q779" s="71" t="str">
        <x:v>ES</x:v>
      </x:c>
      <x:c r="R779" s="71" t="str">
        <x:v>Already clear and direct; suggested wording intentionally keeps the current copy.</x:v>
      </x:c>
      <x:c r="S779" s="75" t="str">
        <x:v>Not applied — review required</x:v>
      </x:c>
    </x:row>
    <x:row r="780">
      <x:c r="A780" s="71" t="str">
        <x:v>MRV-C1AA955F5E</x:v>
      </x:c>
      <x:c r="B780" s="71" t="str">
        <x:v>Planning</x:v>
      </x:c>
      <x:c r="C780" s="71" t="str">
        <x:v>New trip builder</x:v>
      </x:c>
      <x:c r="D780" s="71" t="str">
        <x:v>/journey/new/trip-builder</x:v>
      </x:c>
      <x:c r="E780" s="71" t="str">
        <x:v>TripBuilderDocument</x:v>
      </x:c>
      <x:c r="F780" s="71" t="str">
        <x:v>Default</x:v>
      </x:c>
      <x:c r="G780" s="71" t="str">
        <x:v>Label</x:v>
      </x:c>
      <x:c r="H780" s="71" t="str">
        <x:v>Main trade-off</x:v>
      </x:c>
      <x:c r="I780" s="71" t="str">
        <x:v>Main trade-off</x:v>
      </x:c>
      <x:c r="J780" s="73"/>
      <x:c r="K780" s="74" t="str">
        <x:f>IF(J780="",H780,IF(J780=I780,I780,J780))</x:f>
        <x:v>Main trade-off</x:v>
      </x:c>
      <x:c r="L780" s="74" t="str">
        <x:f>IF(J780="","Keep current",IF(J780=I780,"Use suggestion","Custom"))</x:f>
        <x:v>Keep current</x:v>
      </x:c>
      <x:c r="M780" s="71" t="str">
        <x:v>Pending review</x:v>
      </x:c>
      <x:c r="N780" s="71" t="str">
        <x:v>Normal</x:v>
      </x:c>
      <x:c r="O780" s="71" t="str">
        <x:v>app/journey/new/trip-builder.tsx</x:v>
      </x:c>
      <x:c r="P780" s="71" t="str">
        <x:v>TripBuilderDocument:2077</x:v>
      </x:c>
      <x:c r="Q780" s="71" t="str">
        <x:v>EN</x:v>
      </x:c>
      <x:c r="R780" s="71" t="str">
        <x:v>Already clear and direct; suggested wording intentionally keeps the current copy.</x:v>
      </x:c>
      <x:c r="S780" s="75" t="str">
        <x:v>Not applied — review required</x:v>
      </x:c>
    </x:row>
    <x:row r="781">
      <x:c r="A781" s="71" t="str">
        <x:v>MRV-A22AD7D43E</x:v>
      </x:c>
      <x:c r="B781" s="71" t="str">
        <x:v>Planning</x:v>
      </x:c>
      <x:c r="C781" s="71" t="str">
        <x:v>New trip builder</x:v>
      </x:c>
      <x:c r="D781" s="71" t="str">
        <x:v>/journey/new/trip-builder</x:v>
      </x:c>
      <x:c r="E781" s="71" t="str">
        <x:v>TripBuilderDocument</x:v>
      </x:c>
      <x:c r="F781" s="71" t="str">
        <x:v>Default</x:v>
      </x:c>
      <x:c r="G781" s="71" t="str">
        <x:v>Label</x:v>
      </x:c>
      <x:c r="H781" s="71" t="str">
        <x:v>Atención:</x:v>
      </x:c>
      <x:c r="I781" s="71" t="str">
        <x:v>Atención:</x:v>
      </x:c>
      <x:c r="J781" s="73"/>
      <x:c r="K781" s="74" t="str">
        <x:f>IF(J781="",H781,IF(J781=I781,I781,J781))</x:f>
        <x:v>Atención:</x:v>
      </x:c>
      <x:c r="L781" s="74" t="str">
        <x:f>IF(J781="","Keep current",IF(J781=I781,"Use suggestion","Custom"))</x:f>
        <x:v>Keep current</x:v>
      </x:c>
      <x:c r="M781" s="71" t="str">
        <x:v>Pending review</x:v>
      </x:c>
      <x:c r="N781" s="71" t="str">
        <x:v>Normal</x:v>
      </x:c>
      <x:c r="O781" s="71" t="str">
        <x:v>app/journey/new/trip-builder.tsx</x:v>
      </x:c>
      <x:c r="P781" s="71" t="str">
        <x:v>TripBuilderDocument:2080</x:v>
      </x:c>
      <x:c r="Q781" s="71" t="str">
        <x:v>ES</x:v>
      </x:c>
      <x:c r="R781" s="71" t="str">
        <x:v>Already clear and direct; suggested wording intentionally keeps the current copy.</x:v>
      </x:c>
      <x:c r="S781" s="75" t="str">
        <x:v>Not applied — review required</x:v>
      </x:c>
    </x:row>
    <x:row r="782">
      <x:c r="A782" s="71" t="str">
        <x:v>MRV-6C603BF9B9</x:v>
      </x:c>
      <x:c r="B782" s="71" t="str">
        <x:v>Planning</x:v>
      </x:c>
      <x:c r="C782" s="71" t="str">
        <x:v>New trip builder</x:v>
      </x:c>
      <x:c r="D782" s="71" t="str">
        <x:v>/journey/new/trip-builder</x:v>
      </x:c>
      <x:c r="E782" s="71" t="str">
        <x:v>TripBuilderDocument</x:v>
      </x:c>
      <x:c r="F782" s="71" t="str">
        <x:v>Default</x:v>
      </x:c>
      <x:c r="G782" s="71" t="str">
        <x:v>Label</x:v>
      </x:c>
      <x:c r="H782" s="71" t="str">
        <x:v>Heads up:</x:v>
      </x:c>
      <x:c r="I782" s="71" t="str">
        <x:v>Heads up:</x:v>
      </x:c>
      <x:c r="J782" s="73"/>
      <x:c r="K782" s="74" t="str">
        <x:f>IF(J782="",H782,IF(J782=I782,I782,J782))</x:f>
        <x:v>Heads up:</x:v>
      </x:c>
      <x:c r="L782" s="74" t="str">
        <x:f>IF(J782="","Keep current",IF(J782=I782,"Use suggestion","Custom"))</x:f>
        <x:v>Keep current</x:v>
      </x:c>
      <x:c r="M782" s="71" t="str">
        <x:v>Pending review</x:v>
      </x:c>
      <x:c r="N782" s="71" t="str">
        <x:v>Normal</x:v>
      </x:c>
      <x:c r="O782" s="71" t="str">
        <x:v>app/journey/new/trip-builder.tsx</x:v>
      </x:c>
      <x:c r="P782" s="71" t="str">
        <x:v>TripBuilderDocument:2080</x:v>
      </x:c>
      <x:c r="Q782" s="71" t="str">
        <x:v>EN</x:v>
      </x:c>
      <x:c r="R782" s="71" t="str">
        <x:v>Already clear and direct; suggested wording intentionally keeps the current copy.</x:v>
      </x:c>
      <x:c r="S782" s="75" t="str">
        <x:v>Not applied — review required</x:v>
      </x:c>
    </x:row>
    <x:row r="783">
      <x:c r="A783" s="71" t="str">
        <x:v>MRV-C1B83EF4F0</x:v>
      </x:c>
      <x:c r="B783" s="71" t="str">
        <x:v>Planning</x:v>
      </x:c>
      <x:c r="C783" s="71" t="str">
        <x:v>New trip builder</x:v>
      </x:c>
      <x:c r="D783" s="71" t="str">
        <x:v>/journey/new/trip-builder</x:v>
      </x:c>
      <x:c r="E783" s="71" t="str">
        <x:v>TripBuilderDocument</x:v>
      </x:c>
      <x:c r="F783" s="71" t="str">
        <x:v>Default</x:v>
      </x:c>
      <x:c r="G783" s="71" t="str">
        <x:v>Label</x:v>
      </x:c>
      <x:c r="H783" s="71" t="str">
        <x:v>No se puede crear todavía:</x:v>
      </x:c>
      <x:c r="I783" s="71" t="str">
        <x:v>No se puede crear todavía:</x:v>
      </x:c>
      <x:c r="J783" s="73"/>
      <x:c r="K783" s="74" t="str">
        <x:f>IF(J783="",H783,IF(J783=I783,I783,J783))</x:f>
        <x:v>No se puede crear todavía:</x:v>
      </x:c>
      <x:c r="L783" s="74" t="str">
        <x:f>IF(J783="","Keep current",IF(J783=I783,"Use suggestion","Custom"))</x:f>
        <x:v>Keep current</x:v>
      </x:c>
      <x:c r="M783" s="71" t="str">
        <x:v>Pending review</x:v>
      </x:c>
      <x:c r="N783" s="71" t="str">
        <x:v>Normal</x:v>
      </x:c>
      <x:c r="O783" s="71" t="str">
        <x:v>app/journey/new/trip-builder.tsx</x:v>
      </x:c>
      <x:c r="P783" s="71" t="str">
        <x:v>TripBuilderDocument:2081</x:v>
      </x:c>
      <x:c r="Q783" s="71" t="str">
        <x:v>ES</x:v>
      </x:c>
      <x:c r="R783" s="71" t="str">
        <x:v>Already clear and direct; suggested wording intentionally keeps the current copy.</x:v>
      </x:c>
      <x:c r="S783" s="75" t="str">
        <x:v>Not applied — review required</x:v>
      </x:c>
    </x:row>
    <x:row r="784">
      <x:c r="A784" s="71" t="str">
        <x:v>MRV-E0C0522E12</x:v>
      </x:c>
      <x:c r="B784" s="71" t="str">
        <x:v>Planning</x:v>
      </x:c>
      <x:c r="C784" s="71" t="str">
        <x:v>New trip builder</x:v>
      </x:c>
      <x:c r="D784" s="71" t="str">
        <x:v>/journey/new/trip-builder</x:v>
      </x:c>
      <x:c r="E784" s="71" t="str">
        <x:v>TripBuilderDocument</x:v>
      </x:c>
      <x:c r="F784" s="71" t="str">
        <x:v>Default</x:v>
      </x:c>
      <x:c r="G784" s="71" t="str">
        <x:v>Label</x:v>
      </x:c>
      <x:c r="H784" s="71" t="str">
        <x:v>Cannot build yet:</x:v>
      </x:c>
      <x:c r="I784" s="71" t="str">
        <x:v>Cannot build yet:</x:v>
      </x:c>
      <x:c r="J784" s="73"/>
      <x:c r="K784" s="74" t="str">
        <x:f>IF(J784="",H784,IF(J784=I784,I784,J784))</x:f>
        <x:v>Cannot build yet:</x:v>
      </x:c>
      <x:c r="L784" s="74" t="str">
        <x:f>IF(J784="","Keep current",IF(J784=I784,"Use suggestion","Custom"))</x:f>
        <x:v>Keep current</x:v>
      </x:c>
      <x:c r="M784" s="71" t="str">
        <x:v>Pending review</x:v>
      </x:c>
      <x:c r="N784" s="71" t="str">
        <x:v>Normal</x:v>
      </x:c>
      <x:c r="O784" s="71" t="str">
        <x:v>app/journey/new/trip-builder.tsx</x:v>
      </x:c>
      <x:c r="P784" s="71" t="str">
        <x:v>TripBuilderDocument:2081</x:v>
      </x:c>
      <x:c r="Q784" s="71" t="str">
        <x:v>EN</x:v>
      </x:c>
      <x:c r="R784" s="71" t="str">
        <x:v>Already clear and direct; suggested wording intentionally keeps the current copy.</x:v>
      </x:c>
      <x:c r="S784" s="75" t="str">
        <x:v>Not applied — review required</x:v>
      </x:c>
    </x:row>
    <x:row r="785">
      <x:c r="A785" s="71" t="str">
        <x:v>MRV-83A987118B</x:v>
      </x:c>
      <x:c r="B785" s="71" t="str">
        <x:v>Planning</x:v>
      </x:c>
      <x:c r="C785" s="71" t="str">
        <x:v>New trip builder</x:v>
      </x:c>
      <x:c r="D785" s="71" t="str">
        <x:v>/journey/new/trip-builder</x:v>
      </x:c>
      <x:c r="E785" s="71" t="str">
        <x:v>TripBuilderDocument</x:v>
      </x:c>
      <x:c r="F785" s="71" t="str">
        <x:v>Default</x:v>
      </x:c>
      <x:c r="G785" s="71" t="str">
        <x:v>Body copy</x:v>
      </x:c>
      <x:c r="H785" s="71" t="str">
        <x:v>Viaje largo a {specificTimingIssue.stop.name}</x:v>
      </x:c>
      <x:c r="I785" s="71" t="str">
        <x:v>Viaje largo a {specificTimingIssue.stop.name}</x:v>
      </x:c>
      <x:c r="J785" s="73"/>
      <x:c r="K785" s="74" t="str">
        <x:f>IF(J785="",H785,IF(J785=I785,I785,J785))</x:f>
        <x:v>Viaje largo a {specificTimingIssue.stop.name}</x:v>
      </x:c>
      <x:c r="L785" s="74" t="str">
        <x:f>IF(J785="","Keep current",IF(J785=I785,"Use suggestion","Custom"))</x:f>
        <x:v>Keep current</x:v>
      </x:c>
      <x:c r="M785" s="71" t="str">
        <x:v>Pending review</x:v>
      </x:c>
      <x:c r="N785" s="71" t="str">
        <x:v>Normal</x:v>
      </x:c>
      <x:c r="O785" s="71" t="str">
        <x:v>app/journey/new/trip-builder.tsx</x:v>
      </x:c>
      <x:c r="P785" s="71" t="str">
        <x:v>TripBuilderDocument:2082</x:v>
      </x:c>
      <x:c r="Q785" s="71" t="str">
        <x:v>ES</x:v>
      </x:c>
      <x:c r="R785"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785" s="75" t="str">
        <x:v>Not applied — review required</x:v>
      </x:c>
    </x:row>
    <x:row r="786">
      <x:c r="A786" s="71" t="str">
        <x:v>MRV-51FDA19DD7</x:v>
      </x:c>
      <x:c r="B786" s="71" t="str">
        <x:v>Planning</x:v>
      </x:c>
      <x:c r="C786" s="71" t="str">
        <x:v>New trip builder</x:v>
      </x:c>
      <x:c r="D786" s="71" t="str">
        <x:v>/journey/new/trip-builder</x:v>
      </x:c>
      <x:c r="E786" s="71" t="str">
        <x:v>TripBuilderDocument</x:v>
      </x:c>
      <x:c r="F786" s="71" t="str">
        <x:v>Default</x:v>
      </x:c>
      <x:c r="G786" s="71" t="str">
        <x:v>Body copy</x:v>
      </x:c>
      <x:c r="H786" s="71" t="str">
        <x:v>Long journey to {specificTimingIssue.stop.name}</x:v>
      </x:c>
      <x:c r="I786" s="71" t="str">
        <x:v>Long journey to {specificTimingIssue.stop.name}</x:v>
      </x:c>
      <x:c r="J786" s="73"/>
      <x:c r="K786" s="74" t="str">
        <x:f>IF(J786="",H786,IF(J786=I786,I786,J786))</x:f>
        <x:v>Long journey to {specificTimingIssue.stop.name}</x:v>
      </x:c>
      <x:c r="L786" s="74" t="str">
        <x:f>IF(J786="","Keep current",IF(J786=I786,"Use suggestion","Custom"))</x:f>
        <x:v>Keep current</x:v>
      </x:c>
      <x:c r="M786" s="71" t="str">
        <x:v>Pending review</x:v>
      </x:c>
      <x:c r="N786" s="71" t="str">
        <x:v>Normal</x:v>
      </x:c>
      <x:c r="O786" s="71" t="str">
        <x:v>app/journey/new/trip-builder.tsx</x:v>
      </x:c>
      <x:c r="P786" s="71" t="str">
        <x:v>TripBuilderDocument:2082</x:v>
      </x:c>
      <x:c r="Q786" s="71" t="str">
        <x:v>EN</x:v>
      </x:c>
      <x:c r="R786"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786" s="75" t="str">
        <x:v>Not applied — review required</x:v>
      </x:c>
    </x:row>
    <x:row r="787">
      <x:c r="A787" s="71" t="str">
        <x:v>MRV-9C76019B1A</x:v>
      </x:c>
      <x:c r="B787" s="71" t="str">
        <x:v>Planning</x:v>
      </x:c>
      <x:c r="C787" s="71" t="str">
        <x:v>New trip builder</x:v>
      </x:c>
      <x:c r="D787" s="71" t="str">
        <x:v>/journey/new/trip-builder</x:v>
      </x:c>
      <x:c r="E787" s="71" t="str">
        <x:v>TripBuilderDocument</x:v>
      </x:c>
      <x:c r="F787" s="71" t="str">
        <x:v>Default</x:v>
      </x:c>
      <x:c r="G787" s="71" t="str">
        <x:v>Body copy</x:v>
      </x:c>
      <x:c r="H787" s="71" t="str">
        <x:v>de traslado reduce el tiempo aprovechable allí.</x:v>
      </x:c>
      <x:c r="I787" s="71" t="str">
        <x:v>de traslado reduce el tiempo aprovechable allí.</x:v>
      </x:c>
      <x:c r="J787" s="73"/>
      <x:c r="K787" s="74" t="str">
        <x:f>IF(J787="",H787,IF(J787=I787,I787,J787))</x:f>
        <x:v>de traslado reduce el tiempo aprovechable allí.</x:v>
      </x:c>
      <x:c r="L787" s="74" t="str">
        <x:f>IF(J787="","Keep current",IF(J787=I787,"Use suggestion","Custom"))</x:f>
        <x:v>Keep current</x:v>
      </x:c>
      <x:c r="M787" s="71" t="str">
        <x:v>Pending review</x:v>
      </x:c>
      <x:c r="N787" s="71" t="str">
        <x:v>Normal</x:v>
      </x:c>
      <x:c r="O787" s="71" t="str">
        <x:v>app/journey/new/trip-builder.tsx</x:v>
      </x:c>
      <x:c r="P787" s="71" t="str">
        <x:v>TripBuilderDocument:2082</x:v>
      </x:c>
      <x:c r="Q787" s="71" t="str">
        <x:v>ES</x:v>
      </x:c>
      <x:c r="R787" s="71" t="str">
        <x:v>Already clear and direct; suggested wording intentionally keeps the current copy. Duplicate wording: appears 2 times.</x:v>
      </x:c>
      <x:c r="S787" s="75" t="str">
        <x:v>Not applied — review required</x:v>
      </x:c>
    </x:row>
    <x:row r="788">
      <x:c r="A788" s="71" t="str">
        <x:v>MRV-579A5F7962</x:v>
      </x:c>
      <x:c r="B788" s="71" t="str">
        <x:v>Planning</x:v>
      </x:c>
      <x:c r="C788" s="71" t="str">
        <x:v>New trip builder</x:v>
      </x:c>
      <x:c r="D788" s="71" t="str">
        <x:v>/journey/new/trip-builder</x:v>
      </x:c>
      <x:c r="E788" s="71" t="str">
        <x:v>TripBuilderDocument</x:v>
      </x:c>
      <x:c r="F788" s="71" t="str">
        <x:v>Default</x:v>
      </x:c>
      <x:c r="G788" s="71" t="str">
        <x:v>Body copy</x:v>
      </x:c>
      <x:c r="H788" s="71" t="str">
        <x:v>transfer reduces your usable time there.</x:v>
      </x:c>
      <x:c r="I788" s="71" t="str">
        <x:v>transfer reduces your usable time there.</x:v>
      </x:c>
      <x:c r="J788" s="73"/>
      <x:c r="K788" s="74" t="str">
        <x:f>IF(J788="",H788,IF(J788=I788,I788,J788))</x:f>
        <x:v>transfer reduces your usable time there.</x:v>
      </x:c>
      <x:c r="L788" s="74" t="str">
        <x:f>IF(J788="","Keep current",IF(J788=I788,"Use suggestion","Custom"))</x:f>
        <x:v>Keep current</x:v>
      </x:c>
      <x:c r="M788" s="71" t="str">
        <x:v>Pending review</x:v>
      </x:c>
      <x:c r="N788" s="71" t="str">
        <x:v>Normal</x:v>
      </x:c>
      <x:c r="O788" s="71" t="str">
        <x:v>app/journey/new/trip-builder.tsx</x:v>
      </x:c>
      <x:c r="P788" s="71" t="str">
        <x:v>TripBuilderDocument:2082</x:v>
      </x:c>
      <x:c r="Q788" s="71" t="str">
        <x:v>EN</x:v>
      </x:c>
      <x:c r="R788" s="71" t="str">
        <x:v>Already clear and direct; suggested wording intentionally keeps the current copy. Duplicate wording: appears 2 times.</x:v>
      </x:c>
      <x:c r="S788" s="75" t="str">
        <x:v>Not applied — review required</x:v>
      </x:c>
    </x:row>
    <x:row r="789">
      <x:c r="A789" s="71" t="str">
        <x:v>MRV-93AC5947FA</x:v>
      </x:c>
      <x:c r="B789" s="71" t="str">
        <x:v>Planning</x:v>
      </x:c>
      <x:c r="C789" s="71" t="str">
        <x:v>New trip builder</x:v>
      </x:c>
      <x:c r="D789" s="71" t="str">
        <x:v>/journey/new/trip-builder</x:v>
      </x:c>
      <x:c r="E789" s="71" t="str">
        <x:v>TripBuilderDocument</x:v>
      </x:c>
      <x:c r="F789" s="71" t="str">
        <x:v>Default</x:v>
      </x:c>
      <x:c r="G789" s="71" t="str">
        <x:v>Body copy</x:v>
      </x:c>
      <x:c r="H789" s="71" t="str">
        <x:v>Restaurar el orden de Morrovia</x:v>
      </x:c>
      <x:c r="I789" s="71" t="str">
        <x:v>Restaurar el orden de Morrovia</x:v>
      </x:c>
      <x:c r="J789" s="73"/>
      <x:c r="K789" s="74" t="str">
        <x:f>IF(J789="",H789,IF(J789=I789,I789,J789))</x:f>
        <x:v>Restaurar el orden de Morrovia</x:v>
      </x:c>
      <x:c r="L789" s="74" t="str">
        <x:f>IF(J789="","Keep current",IF(J789=I789,"Use suggestion","Custom"))</x:f>
        <x:v>Keep current</x:v>
      </x:c>
      <x:c r="M789" s="71" t="str">
        <x:v>Pending review</x:v>
      </x:c>
      <x:c r="N789" s="71" t="str">
        <x:v>Normal</x:v>
      </x:c>
      <x:c r="O789" s="71" t="str">
        <x:v>app/journey/new/trip-builder.tsx</x:v>
      </x:c>
      <x:c r="P789" s="71" t="str">
        <x:v>TripBuilderDocument:2083</x:v>
      </x:c>
      <x:c r="Q789" s="71" t="str">
        <x:v>ES</x:v>
      </x:c>
      <x:c r="R789" s="71" t="str">
        <x:v>Already clear and direct; suggested wording intentionally keeps the current copy.</x:v>
      </x:c>
      <x:c r="S789" s="75" t="str">
        <x:v>Not applied — review required</x:v>
      </x:c>
    </x:row>
    <x:row r="790">
      <x:c r="A790" s="71" t="str">
        <x:v>MRV-E47BC3C874</x:v>
      </x:c>
      <x:c r="B790" s="71" t="str">
        <x:v>Planning</x:v>
      </x:c>
      <x:c r="C790" s="71" t="str">
        <x:v>New trip builder</x:v>
      </x:c>
      <x:c r="D790" s="71" t="str">
        <x:v>/journey/new/trip-builder</x:v>
      </x:c>
      <x:c r="E790" s="71" t="str">
        <x:v>TripBuilderDocument</x:v>
      </x:c>
      <x:c r="F790" s="71" t="str">
        <x:v>Default</x:v>
      </x:c>
      <x:c r="G790" s="71" t="str">
        <x:v>CTA / button</x:v>
      </x:c>
      <x:c r="H790" s="71" t="str">
        <x:v>Restore Morrovia's order</x:v>
      </x:c>
      <x:c r="I790" s="71" t="str">
        <x:v>Restore Morrovia's order</x:v>
      </x:c>
      <x:c r="J790" s="73"/>
      <x:c r="K790" s="74" t="str">
        <x:f>IF(J790="",H790,IF(J790=I790,I790,J790))</x:f>
        <x:v>Restore Morrovia's order</x:v>
      </x:c>
      <x:c r="L790" s="74" t="str">
        <x:f>IF(J790="","Keep current",IF(J790=I790,"Use suggestion","Custom"))</x:f>
        <x:v>Keep current</x:v>
      </x:c>
      <x:c r="M790" s="71" t="str">
        <x:v>Pending review</x:v>
      </x:c>
      <x:c r="N790" s="71" t="str">
        <x:v>Medium</x:v>
      </x:c>
      <x:c r="O790" s="71" t="str">
        <x:v>app/journey/new/trip-builder.tsx</x:v>
      </x:c>
      <x:c r="P790" s="71" t="str">
        <x:v>TripBuilderDocument:2083</x:v>
      </x:c>
      <x:c r="Q790" s="71" t="str">
        <x:v>EN</x:v>
      </x:c>
      <x:c r="R790" s="71" t="str">
        <x:v>Already clear and direct; suggested wording intentionally keeps the current copy.</x:v>
      </x:c>
      <x:c r="S790" s="75" t="str">
        <x:v>Not applied — review required</x:v>
      </x:c>
    </x:row>
    <x:row r="791">
      <x:c r="A791" s="71" t="str">
        <x:v>MRV-43EE531169</x:v>
      </x:c>
      <x:c r="B791" s="71" t="str">
        <x:v>Planning</x:v>
      </x:c>
      <x:c r="C791" s="71" t="str">
        <x:v>New trip builder</x:v>
      </x:c>
      <x:c r="D791" s="71" t="str">
        <x:v>/journey/new/trip-builder</x:v>
      </x:c>
      <x:c r="E791" s="71" t="str">
        <x:v>TripBuilderDocument</x:v>
      </x:c>
      <x:c r="F791" s="71" t="str">
        <x:v>Accessibility / input support</x:v>
      </x:c>
      <x:c r="G791" s="71" t="str">
        <x:v>Accessibility label</x:v>
      </x:c>
      <x:c r="H791" s="71" t="str">
        <x:v>Resumen del viaje</x:v>
      </x:c>
      <x:c r="I791" s="71" t="str">
        <x:v>Resumen del viaje</x:v>
      </x:c>
      <x:c r="J791" s="73"/>
      <x:c r="K791" s="74" t="str">
        <x:f>IF(J791="",H791,IF(J791=I791,I791,J791))</x:f>
        <x:v>Resumen del viaje</x:v>
      </x:c>
      <x:c r="L791" s="74" t="str">
        <x:f>IF(J791="","Keep current",IF(J791=I791,"Use suggestion","Custom"))</x:f>
        <x:v>Keep current</x:v>
      </x:c>
      <x:c r="M791" s="71" t="str">
        <x:v>Pending review</x:v>
      </x:c>
      <x:c r="N791" s="71" t="str">
        <x:v>Medium</x:v>
      </x:c>
      <x:c r="O791" s="71" t="str">
        <x:v>app/journey/new/trip-builder.tsx</x:v>
      </x:c>
      <x:c r="P791" s="71" t="str">
        <x:v>TripBuilderDocument:2088</x:v>
      </x:c>
      <x:c r="Q791" s="71" t="str">
        <x:v>ES</x:v>
      </x:c>
      <x:c r="R791" s="71" t="str">
        <x:v>Already clear and direct; suggested wording intentionally keeps the current copy.</x:v>
      </x:c>
      <x:c r="S791" s="75" t="str">
        <x:v>Not applied — review required</x:v>
      </x:c>
    </x:row>
    <x:row r="792">
      <x:c r="A792" s="71" t="str">
        <x:v>MRV-1EE690A05D</x:v>
      </x:c>
      <x:c r="B792" s="71" t="str">
        <x:v>Planning</x:v>
      </x:c>
      <x:c r="C792" s="71" t="str">
        <x:v>New trip builder</x:v>
      </x:c>
      <x:c r="D792" s="71" t="str">
        <x:v>/journey/new/trip-builder</x:v>
      </x:c>
      <x:c r="E792" s="71" t="str">
        <x:v>TripBuilderDocument</x:v>
      </x:c>
      <x:c r="F792" s="71" t="str">
        <x:v>Accessibility / input support</x:v>
      </x:c>
      <x:c r="G792" s="71" t="str">
        <x:v>Accessibility label</x:v>
      </x:c>
      <x:c r="H792" s="71" t="str">
        <x:v>Trip summary</x:v>
      </x:c>
      <x:c r="I792" s="71" t="str">
        <x:v>Trip summary</x:v>
      </x:c>
      <x:c r="J792" s="73"/>
      <x:c r="K792" s="74" t="str">
        <x:f>IF(J792="",H792,IF(J792=I792,I792,J792))</x:f>
        <x:v>Trip summary</x:v>
      </x:c>
      <x:c r="L792" s="74" t="str">
        <x:f>IF(J792="","Keep current",IF(J792=I792,"Use suggestion","Custom"))</x:f>
        <x:v>Keep current</x:v>
      </x:c>
      <x:c r="M792" s="71" t="str">
        <x:v>Pending review</x:v>
      </x:c>
      <x:c r="N792" s="71" t="str">
        <x:v>Medium</x:v>
      </x:c>
      <x:c r="O792" s="71" t="str">
        <x:v>app/journey/new/trip-builder.tsx</x:v>
      </x:c>
      <x:c r="P792" s="71" t="str">
        <x:v>TripBuilderDocument:2088</x:v>
      </x:c>
      <x:c r="Q792" s="71" t="str">
        <x:v>EN</x:v>
      </x:c>
      <x:c r="R792" s="71" t="str">
        <x:v>Already clear and direct; suggested wording intentionally keeps the current copy. Terminology watch: ‘trip’ and ‘journey’ both describe the same plan. Terminology watch: ‘stops’, ‘destinations’ and ‘places’ overlap.</x:v>
      </x:c>
      <x:c r="S792" s="75" t="str">
        <x:v>Not applied — review required</x:v>
      </x:c>
    </x:row>
    <x:row r="793">
      <x:c r="A793" s="71" t="str">
        <x:v>MRV-82DCE14E36</x:v>
      </x:c>
      <x:c r="B793" s="71" t="str">
        <x:v>Planning</x:v>
      </x:c>
      <x:c r="C793" s="71" t="str">
        <x:v>New trip builder</x:v>
      </x:c>
      <x:c r="D793" s="71" t="str">
        <x:v>/journey/new/trip-builder</x:v>
      </x:c>
      <x:c r="E793" s="71" t="str">
        <x:v>TripBuilderDocument</x:v>
      </x:c>
      <x:c r="F793" s="71" t="str">
        <x:v>Default</x:v>
      </x:c>
      <x:c r="G793" s="71" t="str">
        <x:v>Label</x:v>
      </x:c>
      <x:c r="H793" s="71" t="str">
        <x:v>TU VIAJE</x:v>
      </x:c>
      <x:c r="I793" s="71" t="str">
        <x:v>TU VIAJE</x:v>
      </x:c>
      <x:c r="J793" s="73"/>
      <x:c r="K793" s="74" t="str">
        <x:f>IF(J793="",H793,IF(J793=I793,I793,J793))</x:f>
        <x:v>TU VIAJE</x:v>
      </x:c>
      <x:c r="L793" s="74" t="str">
        <x:f>IF(J793="","Keep current",IF(J793=I793,"Use suggestion","Custom"))</x:f>
        <x:v>Keep current</x:v>
      </x:c>
      <x:c r="M793" s="71" t="str">
        <x:v>Pending review</x:v>
      </x:c>
      <x:c r="N793" s="71" t="str">
        <x:v>Normal</x:v>
      </x:c>
      <x:c r="O793" s="71" t="str">
        <x:v>app/journey/new/trip-builder.tsx</x:v>
      </x:c>
      <x:c r="P793" s="71" t="str">
        <x:v>TripBuilderDocument:2089</x:v>
      </x:c>
      <x:c r="Q793" s="71" t="str">
        <x:v>ES</x:v>
      </x:c>
      <x:c r="R793" s="71" t="str">
        <x:v>Already clear and direct; suggested wording intentionally keeps the current copy. Duplicate wording: appears 2 times.</x:v>
      </x:c>
      <x:c r="S793" s="75" t="str">
        <x:v>Not applied — review required</x:v>
      </x:c>
    </x:row>
    <x:row r="794">
      <x:c r="A794" s="71" t="str">
        <x:v>MRV-09BA990FA4</x:v>
      </x:c>
      <x:c r="B794" s="71" t="str">
        <x:v>Planning</x:v>
      </x:c>
      <x:c r="C794" s="71" t="str">
        <x:v>New trip builder</x:v>
      </x:c>
      <x:c r="D794" s="71" t="str">
        <x:v>/journey/new/trip-builder</x:v>
      </x:c>
      <x:c r="E794" s="71" t="str">
        <x:v>TripBuilderDocument</x:v>
      </x:c>
      <x:c r="F794" s="71" t="str">
        <x:v>Default</x:v>
      </x:c>
      <x:c r="G794" s="71" t="str">
        <x:v>Label</x:v>
      </x:c>
      <x:c r="H794" s="71" t="str">
        <x:v>YOUR TRIP</x:v>
      </x:c>
      <x:c r="I794" s="71" t="str">
        <x:v>YOUR TRIP</x:v>
      </x:c>
      <x:c r="J794" s="73"/>
      <x:c r="K794" s="74" t="str">
        <x:f>IF(J794="",H794,IF(J794=I794,I794,J794))</x:f>
        <x:v>YOUR TRIP</x:v>
      </x:c>
      <x:c r="L794" s="74" t="str">
        <x:f>IF(J794="","Keep current",IF(J794=I794,"Use suggestion","Custom"))</x:f>
        <x:v>Keep current</x:v>
      </x:c>
      <x:c r="M794" s="71" t="str">
        <x:v>Pending review</x:v>
      </x:c>
      <x:c r="N794" s="71" t="str">
        <x:v>Normal</x:v>
      </x:c>
      <x:c r="O794" s="71" t="str">
        <x:v>app/journey/new/trip-builder.tsx</x:v>
      </x:c>
      <x:c r="P794" s="71" t="str">
        <x:v>TripBuilderDocument:2089</x:v>
      </x:c>
      <x:c r="Q794" s="71" t="str">
        <x:v>EN</x:v>
      </x:c>
      <x:c r="R794" s="71" t="str">
        <x:v>Already clear and direct; suggested wording intentionally keeps the current copy. Duplicate wording: appears 3 times. Terminology watch: ‘trip’ and ‘journey’ both describe the same plan. Terminology watch: ‘stops’, ‘destinations’ and ‘places’ overlap.</x:v>
      </x:c>
      <x:c r="S794" s="75" t="str">
        <x:v>Not applied — review required</x:v>
      </x:c>
    </x:row>
    <x:row r="795">
      <x:c r="A795" s="71" t="str">
        <x:v>MRV-593102BC93</x:v>
      </x:c>
      <x:c r="B795" s="71" t="str">
        <x:v>Planning</x:v>
      </x:c>
      <x:c r="C795" s="71" t="str">
        <x:v>New trip builder</x:v>
      </x:c>
      <x:c r="D795" s="71" t="str">
        <x:v>/journey/new/trip-builder</x:v>
      </x:c>
      <x:c r="E795" s="71" t="str">
        <x:v>TripBuilderDocument</x:v>
      </x:c>
      <x:c r="F795" s="71" t="str">
        <x:v>Default</x:v>
      </x:c>
      <x:c r="G795" s="71" t="str">
        <x:v>Label</x:v>
      </x:c>
      <x:c r="H795" s="71" t="str">
        <x:v>Añade tus primeras paradas</x:v>
      </x:c>
      <x:c r="I795" s="71" t="str">
        <x:v>Añade tus primeras paradas</x:v>
      </x:c>
      <x:c r="J795" s="73"/>
      <x:c r="K795" s="74" t="str">
        <x:f>IF(J795="",H795,IF(J795=I795,I795,J795))</x:f>
        <x:v>Añade tus primeras paradas</x:v>
      </x:c>
      <x:c r="L795" s="74" t="str">
        <x:f>IF(J795="","Keep current",IF(J795=I795,"Use suggestion","Custom"))</x:f>
        <x:v>Keep current</x:v>
      </x:c>
      <x:c r="M795" s="71" t="str">
        <x:v>Pending review</x:v>
      </x:c>
      <x:c r="N795" s="71" t="str">
        <x:v>Normal</x:v>
      </x:c>
      <x:c r="O795" s="71" t="str">
        <x:v>app/journey/new/trip-builder.tsx</x:v>
      </x:c>
      <x:c r="P795" s="71" t="str">
        <x:v>TripBuilderDocument:2090</x:v>
      </x:c>
      <x:c r="Q795" s="71" t="str">
        <x:v>ES</x:v>
      </x:c>
      <x:c r="R795" s="71" t="str">
        <x:v>Already clear and direct; suggested wording intentionally keeps the current copy.</x:v>
      </x:c>
      <x:c r="S795" s="75" t="str">
        <x:v>Not applied — review required</x:v>
      </x:c>
    </x:row>
    <x:row r="796">
      <x:c r="A796" s="71" t="str">
        <x:v>MRV-15C719CDC1</x:v>
      </x:c>
      <x:c r="B796" s="71" t="str">
        <x:v>Planning</x:v>
      </x:c>
      <x:c r="C796" s="71" t="str">
        <x:v>New trip builder</x:v>
      </x:c>
      <x:c r="D796" s="71" t="str">
        <x:v>/journey/new/trip-builder</x:v>
      </x:c>
      <x:c r="E796" s="71" t="str">
        <x:v>TripBuilderDocument</x:v>
      </x:c>
      <x:c r="F796" s="71" t="str">
        <x:v>Default</x:v>
      </x:c>
      <x:c r="G796" s="71" t="str">
        <x:v>CTA / button</x:v>
      </x:c>
      <x:c r="H796" s="71" t="str">
        <x:v>Add your first stops</x:v>
      </x:c>
      <x:c r="I796" s="71" t="str">
        <x:v>Add your first stops</x:v>
      </x:c>
      <x:c r="J796" s="73"/>
      <x:c r="K796" s="74" t="str">
        <x:f>IF(J796="",H796,IF(J796=I796,I796,J796))</x:f>
        <x:v>Add your first stops</x:v>
      </x:c>
      <x:c r="L796" s="74" t="str">
        <x:f>IF(J796="","Keep current",IF(J796=I796,"Use suggestion","Custom"))</x:f>
        <x:v>Keep current</x:v>
      </x:c>
      <x:c r="M796" s="71" t="str">
        <x:v>Pending review</x:v>
      </x:c>
      <x:c r="N796" s="71" t="str">
        <x:v>Medium</x:v>
      </x:c>
      <x:c r="O796" s="71" t="str">
        <x:v>app/journey/new/trip-builder.tsx</x:v>
      </x:c>
      <x:c r="P796" s="71" t="str">
        <x:v>TripBuilderDocument:2090</x:v>
      </x:c>
      <x:c r="Q796" s="71" t="str">
        <x:v>EN</x:v>
      </x:c>
      <x:c r="R796" s="71" t="str">
        <x:v>Already clear and direct; suggested wording intentionally keeps the current copy. Terminology watch: ‘trip’ and ‘journey’ both describe the same plan. Terminology watch: ‘stops’, ‘destinations’ and ‘places’ overlap.</x:v>
      </x:c>
      <x:c r="S796" s="75" t="str">
        <x:v>Not applied — review required</x:v>
      </x:c>
    </x:row>
    <x:row r="797">
      <x:c r="A797" s="71" t="str">
        <x:v>MRV-CA7F2BD62A</x:v>
      </x:c>
      <x:c r="B797" s="71" t="str">
        <x:v>Planning</x:v>
      </x:c>
      <x:c r="C797" s="71" t="str">
        <x:v>New trip builder</x:v>
      </x:c>
      <x:c r="D797" s="71" t="str">
        <x:v>/journey/new/trip-builder</x:v>
      </x:c>
      <x:c r="E797" s="71" t="str">
        <x:v>TripBuilderDocument</x:v>
      </x:c>
      <x:c r="F797" s="71" t="str">
        <x:v>Default</x:v>
      </x:c>
      <x:c r="G797" s="71" t="str">
        <x:v>Label</x:v>
      </x:c>
      <x:c r="H797" s="71" t="str">
        <x:v>Fechas en el siguiente paso</x:v>
      </x:c>
      <x:c r="I797" s="71" t="str">
        <x:v>Fechas en el siguiente paso</x:v>
      </x:c>
      <x:c r="J797" s="73"/>
      <x:c r="K797" s="74" t="str">
        <x:f>IF(J797="",H797,IF(J797=I797,I797,J797))</x:f>
        <x:v>Fechas en el siguiente paso</x:v>
      </x:c>
      <x:c r="L797" s="74" t="str">
        <x:f>IF(J797="","Keep current",IF(J797=I797,"Use suggestion","Custom"))</x:f>
        <x:v>Keep current</x:v>
      </x:c>
      <x:c r="M797" s="71" t="str">
        <x:v>Pending review</x:v>
      </x:c>
      <x:c r="N797" s="71" t="str">
        <x:v>Normal</x:v>
      </x:c>
      <x:c r="O797" s="71" t="str">
        <x:v>app/journey/new/trip-builder.tsx</x:v>
      </x:c>
      <x:c r="P797" s="71" t="str">
        <x:v>TripBuilderDocument:2092</x:v>
      </x:c>
      <x:c r="Q797" s="71" t="str">
        <x:v>ES</x:v>
      </x:c>
      <x:c r="R797" s="71" t="str">
        <x:v>Already clear and direct; suggested wording intentionally keeps the current copy.</x:v>
      </x:c>
      <x:c r="S797" s="75" t="str">
        <x:v>Not applied — review required</x:v>
      </x:c>
    </x:row>
    <x:row r="798">
      <x:c r="A798" s="71" t="str">
        <x:v>MRV-59AF434E3D</x:v>
      </x:c>
      <x:c r="B798" s="71" t="str">
        <x:v>Planning</x:v>
      </x:c>
      <x:c r="C798" s="71" t="str">
        <x:v>New trip builder</x:v>
      </x:c>
      <x:c r="D798" s="71" t="str">
        <x:v>/journey/new/trip-builder</x:v>
      </x:c>
      <x:c r="E798" s="71" t="str">
        <x:v>TripBuilderDocument</x:v>
      </x:c>
      <x:c r="F798" s="71" t="str">
        <x:v>Default</x:v>
      </x:c>
      <x:c r="G798" s="71" t="str">
        <x:v>Label</x:v>
      </x:c>
      <x:c r="H798" s="71" t="str">
        <x:v>Dates set in the next step</x:v>
      </x:c>
      <x:c r="I798" s="71" t="str">
        <x:v>Dates set in the next step</x:v>
      </x:c>
      <x:c r="J798" s="73"/>
      <x:c r="K798" s="74" t="str">
        <x:f>IF(J798="",H798,IF(J798=I798,I798,J798))</x:f>
        <x:v>Dates set in the next step</x:v>
      </x:c>
      <x:c r="L798" s="74" t="str">
        <x:f>IF(J798="","Keep current",IF(J798=I798,"Use suggestion","Custom"))</x:f>
        <x:v>Keep current</x:v>
      </x:c>
      <x:c r="M798" s="71" t="str">
        <x:v>Pending review</x:v>
      </x:c>
      <x:c r="N798" s="71" t="str">
        <x:v>Normal</x:v>
      </x:c>
      <x:c r="O798" s="71" t="str">
        <x:v>app/journey/new/trip-builder.tsx</x:v>
      </x:c>
      <x:c r="P798" s="71" t="str">
        <x:v>TripBuilderDocument:2092</x:v>
      </x:c>
      <x:c r="Q798" s="71" t="str">
        <x:v>EN</x:v>
      </x:c>
      <x:c r="R798" s="71" t="str">
        <x:v>Already clear and direct; suggested wording intentionally keeps the current copy.</x:v>
      </x:c>
      <x:c r="S798" s="75" t="str">
        <x:v>Not applied — review required</x:v>
      </x:c>
    </x:row>
    <x:row r="799">
      <x:c r="A799" s="71" t="str">
        <x:v>MRV-3DD1D53B04</x:v>
      </x:c>
      <x:c r="B799" s="71" t="str">
        <x:v>Planning</x:v>
      </x:c>
      <x:c r="C799" s="71" t="str">
        <x:v>New trip builder</x:v>
      </x:c>
      <x:c r="D799" s="71" t="str">
        <x:v>/journey/new/trip-builder</x:v>
      </x:c>
      <x:c r="E799" s="71" t="str">
        <x:v>TripBuilderDocument</x:v>
      </x:c>
      <x:c r="F799" s="71" t="str">
        <x:v>Default</x:v>
      </x:c>
      <x:c r="G799" s="71" t="str">
        <x:v>Body copy</x:v>
      </x:c>
      <x:c r="H799" s="71" t="str">
        <x:v>, {stop.country}</x:v>
      </x:c>
      <x:c r="I799" s="71" t="str">
        <x:v>, {stop.country}</x:v>
      </x:c>
      <x:c r="J799" s="73"/>
      <x:c r="K799" s="74" t="str">
        <x:f>IF(J799="",H799,IF(J799=I799,I799,J799))</x:f>
        <x:v>, {stop.country}</x:v>
      </x:c>
      <x:c r="L799" s="74" t="str">
        <x:f>IF(J799="","Keep current",IF(J799=I799,"Use suggestion","Custom"))</x:f>
        <x:v>Keep current</x:v>
      </x:c>
      <x:c r="M799" s="71" t="str">
        <x:v>Pending review</x:v>
      </x:c>
      <x:c r="N799" s="71" t="str">
        <x:v>Normal</x:v>
      </x:c>
      <x:c r="O799" s="71" t="str">
        <x:v>app/journey/new/trip-builder.tsx</x:v>
      </x:c>
      <x:c r="P799" s="71" t="str">
        <x:v>TripBuilderDocument:2093</x:v>
      </x:c>
      <x:c r="Q799" s="71" t="str">
        <x:v>EN (default / shared)</x:v>
      </x:c>
      <x:c r="R79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799" s="75" t="str">
        <x:v>Not applied — review required</x:v>
      </x:c>
    </x:row>
    <x:row r="800">
      <x:c r="A800" s="71" t="str">
        <x:v>MRV-2B2834C4DE</x:v>
      </x:c>
      <x:c r="B800" s="71" t="str">
        <x:v>Planning</x:v>
      </x:c>
      <x:c r="C800" s="71" t="str">
        <x:v>New trip builder</x:v>
      </x:c>
      <x:c r="D800" s="71" t="str">
        <x:v>/journey/new/trip-builder</x:v>
      </x:c>
      <x:c r="E800" s="71" t="str">
        <x:v>TripBuilderDocument</x:v>
      </x:c>
      <x:c r="F800" s="71" t="str">
        <x:v>Default</x:v>
      </x:c>
      <x:c r="G800" s="71" t="str">
        <x:v>Label</x:v>
      </x:c>
      <x:c r="H800" s="71" t="str">
        <x:v>Punto de partida</x:v>
      </x:c>
      <x:c r="I800" s="71" t="str">
        <x:v>Punto de partida</x:v>
      </x:c>
      <x:c r="J800" s="73"/>
      <x:c r="K800" s="74" t="str">
        <x:f>IF(J800="",H800,IF(J800=I800,I800,J800))</x:f>
        <x:v>Punto de partida</x:v>
      </x:c>
      <x:c r="L800" s="74" t="str">
        <x:f>IF(J800="","Keep current",IF(J800=I800,"Use suggestion","Custom"))</x:f>
        <x:v>Keep current</x:v>
      </x:c>
      <x:c r="M800" s="71" t="str">
        <x:v>Pending review</x:v>
      </x:c>
      <x:c r="N800" s="71" t="str">
        <x:v>Normal</x:v>
      </x:c>
      <x:c r="O800" s="71" t="str">
        <x:v>app/journey/new/trip-builder.tsx</x:v>
      </x:c>
      <x:c r="P800" s="71" t="str">
        <x:v>TripBuilderDocument:2093</x:v>
      </x:c>
      <x:c r="Q800" s="71" t="str">
        <x:v>ES</x:v>
      </x:c>
      <x:c r="R800" s="71" t="str">
        <x:v>Already clear and direct; suggested wording intentionally keeps the current copy.</x:v>
      </x:c>
      <x:c r="S800" s="75" t="str">
        <x:v>Not applied — review required</x:v>
      </x:c>
    </x:row>
    <x:row r="801">
      <x:c r="A801" s="71" t="str">
        <x:v>MRV-0865D42D5E</x:v>
      </x:c>
      <x:c r="B801" s="71" t="str">
        <x:v>Planning</x:v>
      </x:c>
      <x:c r="C801" s="71" t="str">
        <x:v>New trip builder</x:v>
      </x:c>
      <x:c r="D801" s="71" t="str">
        <x:v>/journey/new/trip-builder</x:v>
      </x:c>
      <x:c r="E801" s="71" t="str">
        <x:v>TripBuilderDocument</x:v>
      </x:c>
      <x:c r="F801" s="71" t="str">
        <x:v>Default</x:v>
      </x:c>
      <x:c r="G801" s="71" t="str">
        <x:v>CTA / button</x:v>
      </x:c>
      <x:c r="H801" s="71" t="str">
        <x:v>Starting point</x:v>
      </x:c>
      <x:c r="I801" s="71" t="str">
        <x:v>Starting point</x:v>
      </x:c>
      <x:c r="J801" s="73"/>
      <x:c r="K801" s="74" t="str">
        <x:f>IF(J801="",H801,IF(J801=I801,I801,J801))</x:f>
        <x:v>Starting point</x:v>
      </x:c>
      <x:c r="L801" s="74" t="str">
        <x:f>IF(J801="","Keep current",IF(J801=I801,"Use suggestion","Custom"))</x:f>
        <x:v>Keep current</x:v>
      </x:c>
      <x:c r="M801" s="71" t="str">
        <x:v>Pending review</x:v>
      </x:c>
      <x:c r="N801" s="71" t="str">
        <x:v>Medium</x:v>
      </x:c>
      <x:c r="O801" s="71" t="str">
        <x:v>app/journey/new/trip-builder.tsx</x:v>
      </x:c>
      <x:c r="P801" s="71" t="str">
        <x:v>TripBuilderDocument:2093</x:v>
      </x:c>
      <x:c r="Q801" s="71" t="str">
        <x:v>EN</x:v>
      </x:c>
      <x:c r="R801" s="71" t="str">
        <x:v>Already clear and direct; suggested wording intentionally keeps the current copy. Duplicate wording: appears 2 times.</x:v>
      </x:c>
      <x:c r="S801" s="75" t="str">
        <x:v>Not applied — review required</x:v>
      </x:c>
    </x:row>
    <x:row r="802">
      <x:c r="A802" s="71" t="str">
        <x:v>MRV-DE646A5184</x:v>
      </x:c>
      <x:c r="B802" s="71" t="str">
        <x:v>Planning</x:v>
      </x:c>
      <x:c r="C802" s="71" t="str">
        <x:v>New trip builder</x:v>
      </x:c>
      <x:c r="D802" s="71" t="str">
        <x:v>/journey/new/trip-builder</x:v>
      </x:c>
      <x:c r="E802" s="71" t="str">
        <x:v>TripBuilderDocument</x:v>
      </x:c>
      <x:c r="F802" s="71" t="str">
        <x:v>Default</x:v>
      </x:c>
      <x:c r="G802" s="71" t="str">
        <x:v>Label</x:v>
      </x:c>
      <x:c r="H802" s="71" t="str">
        <x:v>Parada</x:v>
      </x:c>
      <x:c r="I802" s="71" t="str">
        <x:v>Parada</x:v>
      </x:c>
      <x:c r="J802" s="73"/>
      <x:c r="K802" s="74" t="str">
        <x:f>IF(J802="",H802,IF(J802=I802,I802,J802))</x:f>
        <x:v>Parada</x:v>
      </x:c>
      <x:c r="L802" s="74" t="str">
        <x:f>IF(J802="","Keep current",IF(J802=I802,"Use suggestion","Custom"))</x:f>
        <x:v>Keep current</x:v>
      </x:c>
      <x:c r="M802" s="71" t="str">
        <x:v>Pending review</x:v>
      </x:c>
      <x:c r="N802" s="71" t="str">
        <x:v>Normal</x:v>
      </x:c>
      <x:c r="O802" s="71" t="str">
        <x:v>app/journey/new/trip-builder.tsx</x:v>
      </x:c>
      <x:c r="P802" s="71" t="str">
        <x:v>TripBuilderDocument:2093</x:v>
      </x:c>
      <x:c r="Q802" s="71" t="str">
        <x:v>ES</x:v>
      </x:c>
      <x:c r="R802" s="71" t="str">
        <x:v>Already clear and direct; suggested wording intentionally keeps the current copy.</x:v>
      </x:c>
      <x:c r="S802" s="75" t="str">
        <x:v>Not applied — review required</x:v>
      </x:c>
    </x:row>
    <x:row r="803">
      <x:c r="A803" s="71" t="str">
        <x:v>MRV-6ED1DCB412</x:v>
      </x:c>
      <x:c r="B803" s="71" t="str">
        <x:v>Planning</x:v>
      </x:c>
      <x:c r="C803" s="71" t="str">
        <x:v>New trip builder</x:v>
      </x:c>
      <x:c r="D803" s="71" t="str">
        <x:v>/journey/new/trip-builder</x:v>
      </x:c>
      <x:c r="E803" s="71" t="str">
        <x:v>TripBuilderDocument</x:v>
      </x:c>
      <x:c r="F803" s="71" t="str">
        <x:v>Default</x:v>
      </x:c>
      <x:c r="G803" s="71" t="str">
        <x:v>Label</x:v>
      </x:c>
      <x:c r="H803" s="71" t="str">
        <x:v>Stop</x:v>
      </x:c>
      <x:c r="I803" s="71" t="str">
        <x:v>Stop</x:v>
      </x:c>
      <x:c r="J803" s="73"/>
      <x:c r="K803" s="74" t="str">
        <x:f>IF(J803="",H803,IF(J803=I803,I803,J803))</x:f>
        <x:v>Stop</x:v>
      </x:c>
      <x:c r="L803" s="74" t="str">
        <x:f>IF(J803="","Keep current",IF(J803=I803,"Use suggestion","Custom"))</x:f>
        <x:v>Keep current</x:v>
      </x:c>
      <x:c r="M803" s="71" t="str">
        <x:v>Pending review</x:v>
      </x:c>
      <x:c r="N803" s="71" t="str">
        <x:v>Normal</x:v>
      </x:c>
      <x:c r="O803" s="71" t="str">
        <x:v>app/journey/new/trip-builder.tsx</x:v>
      </x:c>
      <x:c r="P803" s="71" t="str">
        <x:v>TripBuilderDocument:2093</x:v>
      </x:c>
      <x:c r="Q803" s="71" t="str">
        <x:v>EN</x:v>
      </x:c>
      <x:c r="R803" s="71" t="str">
        <x:v>Already clear and direct; suggested wording intentionally keeps the current copy. Terminology watch: ‘trip’ and ‘journey’ both describe the same plan. Terminology watch: ‘stops’, ‘destinations’ and ‘places’ overlap.</x:v>
      </x:c>
      <x:c r="S803" s="75" t="str">
        <x:v>Not applied — review required</x:v>
      </x:c>
    </x:row>
    <x:row r="804">
      <x:c r="A804" s="71" t="str">
        <x:v>MRV-11FDAF7ACA</x:v>
      </x:c>
      <x:c r="B804" s="71" t="str">
        <x:v>Planning</x:v>
      </x:c>
      <x:c r="C804" s="71" t="str">
        <x:v>New trip builder</x:v>
      </x:c>
      <x:c r="D804" s="71" t="str">
        <x:v>/journey/new/trip-builder</x:v>
      </x:c>
      <x:c r="E804" s="71" t="str">
        <x:v>TripBuilderDocument</x:v>
      </x:c>
      <x:c r="F804" s="71" t="str">
        <x:v>Default</x:v>
      </x:c>
      <x:c r="G804" s="71" t="str">
        <x:v>Label</x:v>
      </x:c>
      <x:c r="H804" s="71" t="str">
        <x:v>Equilibraremos las noches</x:v>
      </x:c>
      <x:c r="I804" s="71" t="str">
        <x:v>Equilibraremos las noches</x:v>
      </x:c>
      <x:c r="J804" s="73"/>
      <x:c r="K804" s="74" t="str">
        <x:f>IF(J804="",H804,IF(J804=I804,I804,J804))</x:f>
        <x:v>Equilibraremos las noches</x:v>
      </x:c>
      <x:c r="L804" s="74" t="str">
        <x:f>IF(J804="","Keep current",IF(J804=I804,"Use suggestion","Custom"))</x:f>
        <x:v>Keep current</x:v>
      </x:c>
      <x:c r="M804" s="71" t="str">
        <x:v>Pending review</x:v>
      </x:c>
      <x:c r="N804" s="71" t="str">
        <x:v>Normal</x:v>
      </x:c>
      <x:c r="O804" s="71" t="str">
        <x:v>app/journey/new/trip-builder.tsx</x:v>
      </x:c>
      <x:c r="P804" s="71" t="str">
        <x:v>TripBuilderDocument:2094</x:v>
      </x:c>
      <x:c r="Q804" s="71" t="str">
        <x:v>ES</x:v>
      </x:c>
      <x:c r="R804" s="71" t="str">
        <x:v>Already clear and direct; suggested wording intentionally keeps the current copy.</x:v>
      </x:c>
      <x:c r="S804" s="75" t="str">
        <x:v>Not applied — review required</x:v>
      </x:c>
    </x:row>
    <x:row r="805">
      <x:c r="A805" s="71" t="str">
        <x:v>MRV-88D89BC36F</x:v>
      </x:c>
      <x:c r="B805" s="71" t="str">
        <x:v>Planning</x:v>
      </x:c>
      <x:c r="C805" s="71" t="str">
        <x:v>New trip builder</x:v>
      </x:c>
      <x:c r="D805" s="71" t="str">
        <x:v>/journey/new/trip-builder</x:v>
      </x:c>
      <x:c r="E805" s="71" t="str">
        <x:v>TripBuilderDocument</x:v>
      </x:c>
      <x:c r="F805" s="71" t="str">
        <x:v>Default</x:v>
      </x:c>
      <x:c r="G805" s="71" t="str">
        <x:v>Label</x:v>
      </x:c>
      <x:c r="H805" s="71" t="str">
        <x:v>We’ll balance nights</x:v>
      </x:c>
      <x:c r="I805" s="71" t="str">
        <x:v>We’ll balance nights</x:v>
      </x:c>
      <x:c r="J805" s="73"/>
      <x:c r="K805" s="74" t="str">
        <x:f>IF(J805="",H805,IF(J805=I805,I805,J805))</x:f>
        <x:v>We’ll balance nights</x:v>
      </x:c>
      <x:c r="L805" s="74" t="str">
        <x:f>IF(J805="","Keep current",IF(J805=I805,"Use suggestion","Custom"))</x:f>
        <x:v>Keep current</x:v>
      </x:c>
      <x:c r="M805" s="71" t="str">
        <x:v>Pending review</x:v>
      </x:c>
      <x:c r="N805" s="71" t="str">
        <x:v>Normal</x:v>
      </x:c>
      <x:c r="O805" s="71" t="str">
        <x:v>app/journey/new/trip-builder.tsx</x:v>
      </x:c>
      <x:c r="P805" s="71" t="str">
        <x:v>TripBuilderDocument:2094</x:v>
      </x:c>
      <x:c r="Q805" s="71" t="str">
        <x:v>EN</x:v>
      </x:c>
      <x:c r="R805" s="71" t="str">
        <x:v>Already clear and direct; suggested wording intentionally keeps the current copy.</x:v>
      </x:c>
      <x:c r="S805" s="75" t="str">
        <x:v>Not applied — review required</x:v>
      </x:c>
    </x:row>
    <x:row r="806">
      <x:c r="A806" s="71" t="str">
        <x:v>MRV-29C31F993C</x:v>
      </x:c>
      <x:c r="B806" s="71" t="str">
        <x:v>Planning</x:v>
      </x:c>
      <x:c r="C806" s="71" t="str">
        <x:v>New trip builder</x:v>
      </x:c>
      <x:c r="D806" s="71" t="str">
        <x:v>/journey/new/trip-builder</x:v>
      </x:c>
      <x:c r="E806" s="71" t="str">
        <x:v>TripBuilderDocument</x:v>
      </x:c>
      <x:c r="F806" s="71" t="str">
        <x:v>Default</x:v>
      </x:c>
      <x:c r="G806" s="71" t="str">
        <x:v>Body copy</x:v>
      </x:c>
      <x:c r="H806" s="71" t="str">
        <x:v>según el tiempo de viaje y lo que haya cerca.</x:v>
      </x:c>
      <x:c r="I806" s="71" t="str">
        <x:v>según el tiempo de viaje y lo que haya cerca.</x:v>
      </x:c>
      <x:c r="J806" s="73"/>
      <x:c r="K806" s="74" t="str">
        <x:f>IF(J806="",H806,IF(J806=I806,I806,J806))</x:f>
        <x:v>según el tiempo de viaje y lo que haya cerca.</x:v>
      </x:c>
      <x:c r="L806" s="74" t="str">
        <x:f>IF(J806="","Keep current",IF(J806=I806,"Use suggestion","Custom"))</x:f>
        <x:v>Keep current</x:v>
      </x:c>
      <x:c r="M806" s="71" t="str">
        <x:v>Pending review</x:v>
      </x:c>
      <x:c r="N806" s="71" t="str">
        <x:v>Normal</x:v>
      </x:c>
      <x:c r="O806" s="71" t="str">
        <x:v>app/journey/new/trip-builder.tsx</x:v>
      </x:c>
      <x:c r="P806" s="71" t="str">
        <x:v>TripBuilderDocument:2094</x:v>
      </x:c>
      <x:c r="Q806" s="71" t="str">
        <x:v>ES</x:v>
      </x:c>
      <x:c r="R806" s="71" t="str">
        <x:v>Already clear and direct; suggested wording intentionally keeps the current copy.</x:v>
      </x:c>
      <x:c r="S806" s="75" t="str">
        <x:v>Not applied — review required</x:v>
      </x:c>
    </x:row>
    <x:row r="807">
      <x:c r="A807" s="71" t="str">
        <x:v>MRV-809419CEF6</x:v>
      </x:c>
      <x:c r="B807" s="71" t="str">
        <x:v>Planning</x:v>
      </x:c>
      <x:c r="C807" s="71" t="str">
        <x:v>New trip builder</x:v>
      </x:c>
      <x:c r="D807" s="71" t="str">
        <x:v>/journey/new/trip-builder</x:v>
      </x:c>
      <x:c r="E807" s="71" t="str">
        <x:v>TripBuilderDocument</x:v>
      </x:c>
      <x:c r="F807" s="71" t="str">
        <x:v>Default</x:v>
      </x:c>
      <x:c r="G807" s="71" t="str">
        <x:v>Body copy</x:v>
      </x:c>
      <x:c r="H807" s="71" t="str">
        <x:v>around travel time and what’s nearby.</x:v>
      </x:c>
      <x:c r="I807" s="71" t="str">
        <x:v>around travel time and what’s nearby.</x:v>
      </x:c>
      <x:c r="J807" s="73"/>
      <x:c r="K807" s="74" t="str">
        <x:f>IF(J807="",H807,IF(J807=I807,I807,J807))</x:f>
        <x:v>around travel time and what’s nearby.</x:v>
      </x:c>
      <x:c r="L807" s="74" t="str">
        <x:f>IF(J807="","Keep current",IF(J807=I807,"Use suggestion","Custom"))</x:f>
        <x:v>Keep current</x:v>
      </x:c>
      <x:c r="M807" s="71" t="str">
        <x:v>Pending review</x:v>
      </x:c>
      <x:c r="N807" s="71" t="str">
        <x:v>Normal</x:v>
      </x:c>
      <x:c r="O807" s="71" t="str">
        <x:v>app/journey/new/trip-builder.tsx</x:v>
      </x:c>
      <x:c r="P807" s="71" t="str">
        <x:v>TripBuilderDocument:2094</x:v>
      </x:c>
      <x:c r="Q807" s="71" t="str">
        <x:v>EN</x:v>
      </x:c>
      <x:c r="R807" s="71" t="str">
        <x:v>Already clear and direct; suggested wording intentionally keeps the current copy.</x:v>
      </x:c>
      <x:c r="S807" s="75" t="str">
        <x:v>Not applied — review required</x:v>
      </x:c>
    </x:row>
    <x:row r="808">
      <x:c r="A808" s="71" t="str">
        <x:v>MRV-DB5EAD3581</x:v>
      </x:c>
      <x:c r="B808" s="71" t="str">
        <x:v>Planning</x:v>
      </x:c>
      <x:c r="C808" s="71" t="str">
        <x:v>New trip builder</x:v>
      </x:c>
      <x:c r="D808" s="71" t="str">
        <x:v>/journey/new/trip-builder</x:v>
      </x:c>
      <x:c r="E808" s="71" t="str">
        <x:v>TripBuilderDocument</x:v>
      </x:c>
      <x:c r="F808" s="71" t="str">
        <x:v>Accessibility / input support</x:v>
      </x:c>
      <x:c r="G808" s="71" t="str">
        <x:v>Accessibility label</x:v>
      </x:c>
      <x:c r="H808" s="71" t="str">
        <x:v>Consecuencias de tiempo</x:v>
      </x:c>
      <x:c r="I808" s="71" t="str">
        <x:v>Consecuencias de tiempo</x:v>
      </x:c>
      <x:c r="J808" s="73"/>
      <x:c r="K808" s="74" t="str">
        <x:f>IF(J808="",H808,IF(J808=I808,I808,J808))</x:f>
        <x:v>Consecuencias de tiempo</x:v>
      </x:c>
      <x:c r="L808" s="74" t="str">
        <x:f>IF(J808="","Keep current",IF(J808=I808,"Use suggestion","Custom"))</x:f>
        <x:v>Keep current</x:v>
      </x:c>
      <x:c r="M808" s="71" t="str">
        <x:v>Pending review</x:v>
      </x:c>
      <x:c r="N808" s="71" t="str">
        <x:v>Medium</x:v>
      </x:c>
      <x:c r="O808" s="71" t="str">
        <x:v>app/journey/new/trip-builder.tsx</x:v>
      </x:c>
      <x:c r="P808" s="71" t="str">
        <x:v>TripBuilderDocument:2095</x:v>
      </x:c>
      <x:c r="Q808" s="71" t="str">
        <x:v>ES</x:v>
      </x:c>
      <x:c r="R808" s="71" t="str">
        <x:v>Already clear and direct; suggested wording intentionally keeps the current copy.</x:v>
      </x:c>
      <x:c r="S808" s="75" t="str">
        <x:v>Not applied — review required</x:v>
      </x:c>
    </x:row>
    <x:row r="809">
      <x:c r="A809" s="71" t="str">
        <x:v>MRV-3F4E7CB176</x:v>
      </x:c>
      <x:c r="B809" s="71" t="str">
        <x:v>Planning</x:v>
      </x:c>
      <x:c r="C809" s="71" t="str">
        <x:v>New trip builder</x:v>
      </x:c>
      <x:c r="D809" s="71" t="str">
        <x:v>/journey/new/trip-builder</x:v>
      </x:c>
      <x:c r="E809" s="71" t="str">
        <x:v>TripBuilderDocument</x:v>
      </x:c>
      <x:c r="F809" s="71" t="str">
        <x:v>Accessibility / input support</x:v>
      </x:c>
      <x:c r="G809" s="71" t="str">
        <x:v>Accessibility label</x:v>
      </x:c>
      <x:c r="H809" s="71" t="str">
        <x:v>Timing consequences</x:v>
      </x:c>
      <x:c r="I809" s="71" t="str">
        <x:v>Timing consequences</x:v>
      </x:c>
      <x:c r="J809" s="73"/>
      <x:c r="K809" s="74" t="str">
        <x:f>IF(J809="",H809,IF(J809=I809,I809,J809))</x:f>
        <x:v>Timing consequences</x:v>
      </x:c>
      <x:c r="L809" s="74" t="str">
        <x:f>IF(J809="","Keep current",IF(J809=I809,"Use suggestion","Custom"))</x:f>
        <x:v>Keep current</x:v>
      </x:c>
      <x:c r="M809" s="71" t="str">
        <x:v>Pending review</x:v>
      </x:c>
      <x:c r="N809" s="71" t="str">
        <x:v>Medium</x:v>
      </x:c>
      <x:c r="O809" s="71" t="str">
        <x:v>app/journey/new/trip-builder.tsx</x:v>
      </x:c>
      <x:c r="P809" s="71" t="str">
        <x:v>TripBuilderDocument:2095</x:v>
      </x:c>
      <x:c r="Q809" s="71" t="str">
        <x:v>EN</x:v>
      </x:c>
      <x:c r="R809" s="71" t="str">
        <x:v>Already clear and direct; suggested wording intentionally keeps the current copy.</x:v>
      </x:c>
      <x:c r="S809" s="75" t="str">
        <x:v>Not applied — review required</x:v>
      </x:c>
    </x:row>
    <x:row r="810">
      <x:c r="A810" s="71" t="str">
        <x:v>MRV-A92B77E59E</x:v>
      </x:c>
      <x:c r="B810" s="71" t="str">
        <x:v>Planning</x:v>
      </x:c>
      <x:c r="C810" s="71" t="str">
        <x:v>New trip builder</x:v>
      </x:c>
      <x:c r="D810" s="71" t="str">
        <x:v>/journey/new/trip-builder</x:v>
      </x:c>
      <x:c r="E810" s="71" t="str">
        <x:v>TripBuilderDocument</x:v>
      </x:c>
      <x:c r="F810" s="71" t="str">
        <x:v>Default</x:v>
      </x:c>
      <x:c r="G810" s="71" t="str">
        <x:v>Label</x:v>
      </x:c>
      <x:c r="H810" s="71" t="str">
        <x:v>TU VIAJE</x:v>
      </x:c>
      <x:c r="I810" s="71" t="str">
        <x:v>TU VIAJE</x:v>
      </x:c>
      <x:c r="J810" s="73"/>
      <x:c r="K810" s="74" t="str">
        <x:f>IF(J810="",H810,IF(J810=I810,I810,J810))</x:f>
        <x:v>TU VIAJE</x:v>
      </x:c>
      <x:c r="L810" s="74" t="str">
        <x:f>IF(J810="","Keep current",IF(J810=I810,"Use suggestion","Custom"))</x:f>
        <x:v>Keep current</x:v>
      </x:c>
      <x:c r="M810" s="71" t="str">
        <x:v>Pending review</x:v>
      </x:c>
      <x:c r="N810" s="71" t="str">
        <x:v>Normal</x:v>
      </x:c>
      <x:c r="O810" s="71" t="str">
        <x:v>app/journey/new/trip-builder.tsx</x:v>
      </x:c>
      <x:c r="P810" s="71" t="str">
        <x:v>TripBuilderDocument:2097</x:v>
      </x:c>
      <x:c r="Q810" s="71" t="str">
        <x:v>ES</x:v>
      </x:c>
      <x:c r="R810" s="71" t="str">
        <x:v>Already clear and direct; suggested wording intentionally keeps the current copy. Duplicate wording: appears 2 times.</x:v>
      </x:c>
      <x:c r="S810" s="75" t="str">
        <x:v>Not applied — review required</x:v>
      </x:c>
    </x:row>
    <x:row r="811">
      <x:c r="A811" s="71" t="str">
        <x:v>MRV-B0372B16D4</x:v>
      </x:c>
      <x:c r="B811" s="71" t="str">
        <x:v>Planning</x:v>
      </x:c>
      <x:c r="C811" s="71" t="str">
        <x:v>New trip builder</x:v>
      </x:c>
      <x:c r="D811" s="71" t="str">
        <x:v>/journey/new/trip-builder</x:v>
      </x:c>
      <x:c r="E811" s="71" t="str">
        <x:v>TripBuilderDocument</x:v>
      </x:c>
      <x:c r="F811" s="71" t="str">
        <x:v>Default</x:v>
      </x:c>
      <x:c r="G811" s="71" t="str">
        <x:v>Label</x:v>
      </x:c>
      <x:c r="H811" s="71" t="str">
        <x:v>YOUR TRIP</x:v>
      </x:c>
      <x:c r="I811" s="71" t="str">
        <x:v>YOUR TRIP</x:v>
      </x:c>
      <x:c r="J811" s="73"/>
      <x:c r="K811" s="74" t="str">
        <x:f>IF(J811="",H811,IF(J811=I811,I811,J811))</x:f>
        <x:v>YOUR TRIP</x:v>
      </x:c>
      <x:c r="L811" s="74" t="str">
        <x:f>IF(J811="","Keep current",IF(J811=I811,"Use suggestion","Custom"))</x:f>
        <x:v>Keep current</x:v>
      </x:c>
      <x:c r="M811" s="71" t="str">
        <x:v>Pending review</x:v>
      </x:c>
      <x:c r="N811" s="71" t="str">
        <x:v>Normal</x:v>
      </x:c>
      <x:c r="O811" s="71" t="str">
        <x:v>app/journey/new/trip-builder.tsx</x:v>
      </x:c>
      <x:c r="P811" s="71" t="str">
        <x:v>TripBuilderDocument:2097</x:v>
      </x:c>
      <x:c r="Q811" s="71" t="str">
        <x:v>EN</x:v>
      </x:c>
      <x:c r="R811" s="71" t="str">
        <x:v>Already clear and direct; suggested wording intentionally keeps the current copy. Duplicate wording: appears 3 times. Terminology watch: ‘trip’ and ‘journey’ both describe the same plan. Terminology watch: ‘stops’, ‘destinations’ and ‘places’ overlap.</x:v>
      </x:c>
      <x:c r="S811" s="75" t="str">
        <x:v>Not applied — review required</x:v>
      </x:c>
    </x:row>
    <x:row r="812">
      <x:c r="A812" s="71" t="str">
        <x:v>MRV-053DD1B620</x:v>
      </x:c>
      <x:c r="B812" s="71" t="str">
        <x:v>Planning</x:v>
      </x:c>
      <x:c r="C812" s="71" t="str">
        <x:v>New trip builder</x:v>
      </x:c>
      <x:c r="D812" s="71" t="str">
        <x:v>/journey/new/trip-builder</x:v>
      </x:c>
      <x:c r="E812" s="71" t="str">
        <x:v>TripBuilderDocument</x:v>
      </x:c>
      <x:c r="F812" s="71" t="str">
        <x:v>Default</x:v>
      </x:c>
      <x:c r="G812" s="71" t="str">
        <x:v>Label</x:v>
      </x:c>
      <x:c r="H812" s="71" t="str">
        <x:v>Tu viaje de un vistazo</x:v>
      </x:c>
      <x:c r="I812" s="71" t="str">
        <x:v>Tu viaje de un vistazo</x:v>
      </x:c>
      <x:c r="J812" s="73"/>
      <x:c r="K812" s="74" t="str">
        <x:f>IF(J812="",H812,IF(J812=I812,I812,J812))</x:f>
        <x:v>Tu viaje de un vistazo</x:v>
      </x:c>
      <x:c r="L812" s="74" t="str">
        <x:f>IF(J812="","Keep current",IF(J812=I812,"Use suggestion","Custom"))</x:f>
        <x:v>Keep current</x:v>
      </x:c>
      <x:c r="M812" s="71" t="str">
        <x:v>Pending review</x:v>
      </x:c>
      <x:c r="N812" s="71" t="str">
        <x:v>Normal</x:v>
      </x:c>
      <x:c r="O812" s="71" t="str">
        <x:v>app/journey/new/trip-builder.tsx</x:v>
      </x:c>
      <x:c r="P812" s="71" t="str">
        <x:v>TripBuilderDocument:2098</x:v>
      </x:c>
      <x:c r="Q812" s="71" t="str">
        <x:v>ES</x:v>
      </x:c>
      <x:c r="R812" s="71" t="str">
        <x:v>Already clear and direct; suggested wording intentionally keeps the current copy.</x:v>
      </x:c>
      <x:c r="S812" s="75" t="str">
        <x:v>Not applied — review required</x:v>
      </x:c>
    </x:row>
    <x:row r="813">
      <x:c r="A813" s="71" t="str">
        <x:v>MRV-9DB0209570</x:v>
      </x:c>
      <x:c r="B813" s="71" t="str">
        <x:v>Planning</x:v>
      </x:c>
      <x:c r="C813" s="71" t="str">
        <x:v>New trip builder</x:v>
      </x:c>
      <x:c r="D813" s="71" t="str">
        <x:v>/journey/new/trip-builder</x:v>
      </x:c>
      <x:c r="E813" s="71" t="str">
        <x:v>TripBuilderDocument</x:v>
      </x:c>
      <x:c r="F813" s="71" t="str">
        <x:v>Default</x:v>
      </x:c>
      <x:c r="G813" s="71" t="str">
        <x:v>Label</x:v>
      </x:c>
      <x:c r="H813" s="71" t="str">
        <x:v>Your trip at a glance</x:v>
      </x:c>
      <x:c r="I813" s="71" t="str">
        <x:v>Your trip at a glance</x:v>
      </x:c>
      <x:c r="J813" s="73"/>
      <x:c r="K813" s="74" t="str">
        <x:f>IF(J813="",H813,IF(J813=I813,I813,J813))</x:f>
        <x:v>Your trip at a glance</x:v>
      </x:c>
      <x:c r="L813" s="74" t="str">
        <x:f>IF(J813="","Keep current",IF(J813=I813,"Use suggestion","Custom"))</x:f>
        <x:v>Keep current</x:v>
      </x:c>
      <x:c r="M813" s="71" t="str">
        <x:v>Pending review</x:v>
      </x:c>
      <x:c r="N813" s="71" t="str">
        <x:v>Normal</x:v>
      </x:c>
      <x:c r="O813" s="71" t="str">
        <x:v>app/journey/new/trip-builder.tsx</x:v>
      </x:c>
      <x:c r="P813" s="71" t="str">
        <x:v>TripBuilderDocument:2098</x:v>
      </x:c>
      <x:c r="Q813" s="71" t="str">
        <x:v>EN</x:v>
      </x:c>
      <x:c r="R813" s="71" t="str">
        <x:v>Already clear and direct; suggested wording intentionally keeps the current copy. Terminology watch: ‘trip’ and ‘journey’ both describe the same plan. Terminology watch: ‘stops’, ‘destinations’ and ‘places’ overlap.</x:v>
      </x:c>
      <x:c r="S813" s="75" t="str">
        <x:v>Not applied — review required</x:v>
      </x:c>
    </x:row>
    <x:row r="814">
      <x:c r="A814" s="71" t="str">
        <x:v>MRV-EA808B62FD</x:v>
      </x:c>
      <x:c r="B814" s="71" t="str">
        <x:v>Planning</x:v>
      </x:c>
      <x:c r="C814" s="71" t="str">
        <x:v>New trip builder</x:v>
      </x:c>
      <x:c r="D814" s="71" t="str">
        <x:v>/journey/new/trip-builder</x:v>
      </x:c>
      <x:c r="E814" s="71" t="str">
        <x:v>TripBuilderDocument</x:v>
      </x:c>
      <x:c r="F814" s="71" t="str">
        <x:v>Default</x:v>
      </x:c>
      <x:c r="G814" s="71" t="str">
        <x:v>Body copy</x:v>
      </x:c>
      <x:c r="H814" s="71" t="str">
        <x:v>de {totalNights} noches planificadas</x:v>
      </x:c>
      <x:c r="I814" s="71" t="str">
        <x:v>de {totalNights} noches planificadas</x:v>
      </x:c>
      <x:c r="J814" s="73"/>
      <x:c r="K814" s="74" t="str">
        <x:f>IF(J814="",H814,IF(J814=I814,I814,J814))</x:f>
        <x:v>de {totalNights} noches planificadas</x:v>
      </x:c>
      <x:c r="L814" s="74" t="str">
        <x:f>IF(J814="","Keep current",IF(J814=I814,"Use suggestion","Custom"))</x:f>
        <x:v>Keep current</x:v>
      </x:c>
      <x:c r="M814" s="71" t="str">
        <x:v>Pending review</x:v>
      </x:c>
      <x:c r="N814" s="71" t="str">
        <x:v>Normal</x:v>
      </x:c>
      <x:c r="O814" s="71" t="str">
        <x:v>app/journey/new/trip-builder.tsx</x:v>
      </x:c>
      <x:c r="P814" s="71" t="str">
        <x:v>TripBuilderDocument:2100</x:v>
      </x:c>
      <x:c r="Q814" s="71" t="str">
        <x:v>ES</x:v>
      </x:c>
      <x:c r="R814" s="71" t="str">
        <x:v>Already clear and direct; suggested wording intentionally keeps the current copy. Dynamic traveller or trip value is represented as a token; user-generated values are excluded.</x:v>
      </x:c>
      <x:c r="S814" s="75" t="str">
        <x:v>Not applied — review required</x:v>
      </x:c>
    </x:row>
    <x:row r="815">
      <x:c r="A815" s="71" t="str">
        <x:v>MRV-315162552E</x:v>
      </x:c>
      <x:c r="B815" s="71" t="str">
        <x:v>Planning</x:v>
      </x:c>
      <x:c r="C815" s="71" t="str">
        <x:v>New trip builder</x:v>
      </x:c>
      <x:c r="D815" s="71" t="str">
        <x:v>/journey/new/trip-builder</x:v>
      </x:c>
      <x:c r="E815" s="71" t="str">
        <x:v>TripBuilderDocument</x:v>
      </x:c>
      <x:c r="F815" s="71" t="str">
        <x:v>Default</x:v>
      </x:c>
      <x:c r="G815" s="71" t="str">
        <x:v>Body copy</x:v>
      </x:c>
      <x:c r="H815" s="71" t="str">
        <x:v>of {totalNights} nights planned</x:v>
      </x:c>
      <x:c r="I815" s="71" t="str">
        <x:v>of {totalNights} nights planned</x:v>
      </x:c>
      <x:c r="J815" s="73"/>
      <x:c r="K815" s="74" t="str">
        <x:f>IF(J815="",H815,IF(J815=I815,I815,J815))</x:f>
        <x:v>of {totalNights} nights planned</x:v>
      </x:c>
      <x:c r="L815" s="74" t="str">
        <x:f>IF(J815="","Keep current",IF(J815=I815,"Use suggestion","Custom"))</x:f>
        <x:v>Keep current</x:v>
      </x:c>
      <x:c r="M815" s="71" t="str">
        <x:v>Pending review</x:v>
      </x:c>
      <x:c r="N815" s="71" t="str">
        <x:v>Normal</x:v>
      </x:c>
      <x:c r="O815" s="71" t="str">
        <x:v>app/journey/new/trip-builder.tsx</x:v>
      </x:c>
      <x:c r="P815" s="71" t="str">
        <x:v>TripBuilderDocument:2100</x:v>
      </x:c>
      <x:c r="Q815" s="71" t="str">
        <x:v>EN</x:v>
      </x:c>
      <x:c r="R815" s="71" t="str">
        <x:v>Already clear and direct; suggested wording intentionally keeps the current copy. Dynamic traveller or trip value is represented as a token; user-generated values are excluded.</x:v>
      </x:c>
      <x:c r="S815" s="75" t="str">
        <x:v>Not applied — review required</x:v>
      </x:c>
    </x:row>
    <x:row r="816">
      <x:c r="A816" s="71" t="str">
        <x:v>MRV-8AAF7AE719</x:v>
      </x:c>
      <x:c r="B816" s="71" t="str">
        <x:v>Planning</x:v>
      </x:c>
      <x:c r="C816" s="71" t="str">
        <x:v>New trip builder</x:v>
      </x:c>
      <x:c r="D816" s="71" t="str">
        <x:v>/journey/new/trip-builder</x:v>
      </x:c>
      <x:c r="E816" s="71" t="str">
        <x:v>TripBuilderDocument</x:v>
      </x:c>
      <x:c r="F816" s="71" t="str">
        <x:v>Default</x:v>
      </x:c>
      <x:c r="G816" s="71" t="str">
        <x:v>Body copy</x:v>
      </x:c>
      <x:c r="H816" s="71" t="str">
        <x:v>Viaje largo a {specificTimingIssue.stop.name}</x:v>
      </x:c>
      <x:c r="I816" s="71" t="str">
        <x:v>Viaje largo a {specificTimingIssue.stop.name}</x:v>
      </x:c>
      <x:c r="J816" s="73"/>
      <x:c r="K816" s="74" t="str">
        <x:f>IF(J816="",H816,IF(J816=I816,I816,J816))</x:f>
        <x:v>Viaje largo a {specificTimingIssue.stop.name}</x:v>
      </x:c>
      <x:c r="L816" s="74" t="str">
        <x:f>IF(J816="","Keep current",IF(J816=I816,"Use suggestion","Custom"))</x:f>
        <x:v>Keep current</x:v>
      </x:c>
      <x:c r="M816" s="71" t="str">
        <x:v>Pending review</x:v>
      </x:c>
      <x:c r="N816" s="71" t="str">
        <x:v>Normal</x:v>
      </x:c>
      <x:c r="O816" s="71" t="str">
        <x:v>app/journey/new/trip-builder.tsx</x:v>
      </x:c>
      <x:c r="P816" s="71" t="str">
        <x:v>TripBuilderDocument:2104</x:v>
      </x:c>
      <x:c r="Q816" s="71" t="str">
        <x:v>ES</x:v>
      </x:c>
      <x:c r="R816"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816" s="75" t="str">
        <x:v>Not applied — review required</x:v>
      </x:c>
    </x:row>
    <x:row r="817">
      <x:c r="A817" s="71" t="str">
        <x:v>MRV-565A7AB3F1</x:v>
      </x:c>
      <x:c r="B817" s="71" t="str">
        <x:v>Planning</x:v>
      </x:c>
      <x:c r="C817" s="71" t="str">
        <x:v>New trip builder</x:v>
      </x:c>
      <x:c r="D817" s="71" t="str">
        <x:v>/journey/new/trip-builder</x:v>
      </x:c>
      <x:c r="E817" s="71" t="str">
        <x:v>TripBuilderDocument</x:v>
      </x:c>
      <x:c r="F817" s="71" t="str">
        <x:v>Default</x:v>
      </x:c>
      <x:c r="G817" s="71" t="str">
        <x:v>Body copy</x:v>
      </x:c>
      <x:c r="H817" s="71" t="str">
        <x:v>Long journey to {specificTimingIssue.stop.name}</x:v>
      </x:c>
      <x:c r="I817" s="71" t="str">
        <x:v>Long journey to {specificTimingIssue.stop.name}</x:v>
      </x:c>
      <x:c r="J817" s="73"/>
      <x:c r="K817" s="74" t="str">
        <x:f>IF(J817="",H817,IF(J817=I817,I817,J817))</x:f>
        <x:v>Long journey to {specificTimingIssue.stop.name}</x:v>
      </x:c>
      <x:c r="L817" s="74" t="str">
        <x:f>IF(J817="","Keep current",IF(J817=I817,"Use suggestion","Custom"))</x:f>
        <x:v>Keep current</x:v>
      </x:c>
      <x:c r="M817" s="71" t="str">
        <x:v>Pending review</x:v>
      </x:c>
      <x:c r="N817" s="71" t="str">
        <x:v>Normal</x:v>
      </x:c>
      <x:c r="O817" s="71" t="str">
        <x:v>app/journey/new/trip-builder.tsx</x:v>
      </x:c>
      <x:c r="P817" s="71" t="str">
        <x:v>TripBuilderDocument:2104</x:v>
      </x:c>
      <x:c r="Q817" s="71" t="str">
        <x:v>EN</x:v>
      </x:c>
      <x:c r="R817"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817" s="75" t="str">
        <x:v>Not applied — review required</x:v>
      </x:c>
    </x:row>
    <x:row r="818">
      <x:c r="A818" s="71" t="str">
        <x:v>MRV-2545039088</x:v>
      </x:c>
      <x:c r="B818" s="71" t="str">
        <x:v>Planning</x:v>
      </x:c>
      <x:c r="C818" s="71" t="str">
        <x:v>New trip builder</x:v>
      </x:c>
      <x:c r="D818" s="71" t="str">
        <x:v>/journey/new/trip-builder</x:v>
      </x:c>
      <x:c r="E818" s="71" t="str">
        <x:v>TripBuilderDocument</x:v>
      </x:c>
      <x:c r="F818" s="71" t="str">
        <x:v>Default</x:v>
      </x:c>
      <x:c r="G818" s="71" t="str">
        <x:v>Body copy</x:v>
      </x:c>
      <x:c r="H818" s="71" t="str">
        <x:v>de traslado reduce el tiempo aprovechable allí.</x:v>
      </x:c>
      <x:c r="I818" s="71" t="str">
        <x:v>de traslado reduce el tiempo aprovechable allí.</x:v>
      </x:c>
      <x:c r="J818" s="73"/>
      <x:c r="K818" s="74" t="str">
        <x:f>IF(J818="",H818,IF(J818=I818,I818,J818))</x:f>
        <x:v>de traslado reduce el tiempo aprovechable allí.</x:v>
      </x:c>
      <x:c r="L818" s="74" t="str">
        <x:f>IF(J818="","Keep current",IF(J818=I818,"Use suggestion","Custom"))</x:f>
        <x:v>Keep current</x:v>
      </x:c>
      <x:c r="M818" s="71" t="str">
        <x:v>Pending review</x:v>
      </x:c>
      <x:c r="N818" s="71" t="str">
        <x:v>Normal</x:v>
      </x:c>
      <x:c r="O818" s="71" t="str">
        <x:v>app/journey/new/trip-builder.tsx</x:v>
      </x:c>
      <x:c r="P818" s="71" t="str">
        <x:v>TripBuilderDocument:2104</x:v>
      </x:c>
      <x:c r="Q818" s="71" t="str">
        <x:v>ES</x:v>
      </x:c>
      <x:c r="R818" s="71" t="str">
        <x:v>Already clear and direct; suggested wording intentionally keeps the current copy. Duplicate wording: appears 2 times.</x:v>
      </x:c>
      <x:c r="S818" s="75" t="str">
        <x:v>Not applied — review required</x:v>
      </x:c>
    </x:row>
    <x:row r="819">
      <x:c r="A819" s="71" t="str">
        <x:v>MRV-4E48BD1D88</x:v>
      </x:c>
      <x:c r="B819" s="71" t="str">
        <x:v>Planning</x:v>
      </x:c>
      <x:c r="C819" s="71" t="str">
        <x:v>New trip builder</x:v>
      </x:c>
      <x:c r="D819" s="71" t="str">
        <x:v>/journey/new/trip-builder</x:v>
      </x:c>
      <x:c r="E819" s="71" t="str">
        <x:v>TripBuilderDocument</x:v>
      </x:c>
      <x:c r="F819" s="71" t="str">
        <x:v>Default</x:v>
      </x:c>
      <x:c r="G819" s="71" t="str">
        <x:v>Body copy</x:v>
      </x:c>
      <x:c r="H819" s="71" t="str">
        <x:v>transfer reduces your usable time there.</x:v>
      </x:c>
      <x:c r="I819" s="71" t="str">
        <x:v>transfer reduces your usable time there.</x:v>
      </x:c>
      <x:c r="J819" s="73"/>
      <x:c r="K819" s="74" t="str">
        <x:f>IF(J819="",H819,IF(J819=I819,I819,J819))</x:f>
        <x:v>transfer reduces your usable time there.</x:v>
      </x:c>
      <x:c r="L819" s="74" t="str">
        <x:f>IF(J819="","Keep current",IF(J819=I819,"Use suggestion","Custom"))</x:f>
        <x:v>Keep current</x:v>
      </x:c>
      <x:c r="M819" s="71" t="str">
        <x:v>Pending review</x:v>
      </x:c>
      <x:c r="N819" s="71" t="str">
        <x:v>Normal</x:v>
      </x:c>
      <x:c r="O819" s="71" t="str">
        <x:v>app/journey/new/trip-builder.tsx</x:v>
      </x:c>
      <x:c r="P819" s="71" t="str">
        <x:v>TripBuilderDocument:2104</x:v>
      </x:c>
      <x:c r="Q819" s="71" t="str">
        <x:v>EN</x:v>
      </x:c>
      <x:c r="R819" s="71" t="str">
        <x:v>Already clear and direct; suggested wording intentionally keeps the current copy. Duplicate wording: appears 2 times.</x:v>
      </x:c>
      <x:c r="S819" s="75" t="str">
        <x:v>Not applied — review required</x:v>
      </x:c>
    </x:row>
    <x:row r="820">
      <x:c r="A820" s="71" t="str">
        <x:v>MRV-6FB62D03BB</x:v>
      </x:c>
      <x:c r="B820" s="71" t="str">
        <x:v>Planning</x:v>
      </x:c>
      <x:c r="C820" s="71" t="str">
        <x:v>New trip builder</x:v>
      </x:c>
      <x:c r="D820" s="71" t="str">
        <x:v>/journey/new/trip-builder</x:v>
      </x:c>
      <x:c r="E820" s="71" t="str">
        <x:v>TripBuilderDocument</x:v>
      </x:c>
      <x:c r="F820" s="71" t="str">
        <x:v>Default</x:v>
      </x:c>
      <x:c r="G820" s="71" t="str">
        <x:v>Label</x:v>
      </x:c>
      <x:c r="H820" s="71" t="str">
        <x:v>Abrir copia en la nube</x:v>
      </x:c>
      <x:c r="I820" s="71" t="str">
        <x:v>Abrir copia en la nube</x:v>
      </x:c>
      <x:c r="J820" s="73"/>
      <x:c r="K820" s="74" t="str">
        <x:f>IF(J820="",H820,IF(J820=I820,I820,J820))</x:f>
        <x:v>Abrir copia en la nube</x:v>
      </x:c>
      <x:c r="L820" s="74" t="str">
        <x:f>IF(J820="","Keep current",IF(J820=I820,"Use suggestion","Custom"))</x:f>
        <x:v>Keep current</x:v>
      </x:c>
      <x:c r="M820" s="71" t="str">
        <x:v>Pending review</x:v>
      </x:c>
      <x:c r="N820" s="71" t="str">
        <x:v>Normal</x:v>
      </x:c>
      <x:c r="O820" s="71" t="str">
        <x:v>app/journey/new/trip-builder.tsx</x:v>
      </x:c>
      <x:c r="P820" s="71" t="str">
        <x:v>TripBuilderDocument:2123</x:v>
      </x:c>
      <x:c r="Q820" s="71" t="str">
        <x:v>ES</x:v>
      </x:c>
      <x:c r="R820" s="71" t="str">
        <x:v>Already clear and direct; suggested wording intentionally keeps the current copy. Duplicate wording: appears 2 times.</x:v>
      </x:c>
      <x:c r="S820" s="75" t="str">
        <x:v>Not applied — review required</x:v>
      </x:c>
    </x:row>
    <x:row r="821">
      <x:c r="A821" s="71" t="str">
        <x:v>MRV-3401A69077</x:v>
      </x:c>
      <x:c r="B821" s="71" t="str">
        <x:v>Planning</x:v>
      </x:c>
      <x:c r="C821" s="71" t="str">
        <x:v>New trip builder</x:v>
      </x:c>
      <x:c r="D821" s="71" t="str">
        <x:v>/journey/new/trip-builder</x:v>
      </x:c>
      <x:c r="E821" s="71" t="str">
        <x:v>TripBuilderDocument</x:v>
      </x:c>
      <x:c r="F821" s="71" t="str">
        <x:v>Default</x:v>
      </x:c>
      <x:c r="G821" s="71" t="str">
        <x:v>CTA / button</x:v>
      </x:c>
      <x:c r="H821" s="71" t="str">
        <x:v>Open cloud copy</x:v>
      </x:c>
      <x:c r="I821" s="71" t="str">
        <x:v>Open cloud copy</x:v>
      </x:c>
      <x:c r="J821" s="73"/>
      <x:c r="K821" s="74" t="str">
        <x:f>IF(J821="",H821,IF(J821=I821,I821,J821))</x:f>
        <x:v>Open cloud copy</x:v>
      </x:c>
      <x:c r="L821" s="74" t="str">
        <x:f>IF(J821="","Keep current",IF(J821=I821,"Use suggestion","Custom"))</x:f>
        <x:v>Keep current</x:v>
      </x:c>
      <x:c r="M821" s="71" t="str">
        <x:v>Pending review</x:v>
      </x:c>
      <x:c r="N821" s="71" t="str">
        <x:v>Medium</x:v>
      </x:c>
      <x:c r="O821" s="71" t="str">
        <x:v>app/journey/new/trip-builder.tsx</x:v>
      </x:c>
      <x:c r="P821" s="71" t="str">
        <x:v>TripBuilderDocument:2123</x:v>
      </x:c>
      <x:c r="Q821" s="71" t="str">
        <x:v>EN</x:v>
      </x:c>
      <x:c r="R821" s="71" t="str">
        <x:v>Already clear and direct; suggested wording intentionally keeps the current copy.</x:v>
      </x:c>
      <x:c r="S821" s="75" t="str">
        <x:v>Not applied — review required</x:v>
      </x:c>
    </x:row>
    <x:row r="822">
      <x:c r="A822" s="71" t="str">
        <x:v>MRV-6115102E0B</x:v>
      </x:c>
      <x:c r="B822" s="71" t="str">
        <x:v>Planning</x:v>
      </x:c>
      <x:c r="C822" s="71" t="str">
        <x:v>New trip builder</x:v>
      </x:c>
      <x:c r="D822" s="71" t="str">
        <x:v>/journey/new/trip-builder</x:v>
      </x:c>
      <x:c r="E822" s="71" t="str">
        <x:v>TripBuilderDocument</x:v>
      </x:c>
      <x:c r="F822" s="71" t="str">
        <x:v>Default</x:v>
      </x:c>
      <x:c r="G822" s="71" t="str">
        <x:v>Label</x:v>
      </x:c>
      <x:c r="H822" s="71" t="str">
        <x:v>Abrir copia del dispositivo</x:v>
      </x:c>
      <x:c r="I822" s="71" t="str">
        <x:v>Abrir copia del dispositivo</x:v>
      </x:c>
      <x:c r="J822" s="73"/>
      <x:c r="K822" s="74" t="str">
        <x:f>IF(J822="",H822,IF(J822=I822,I822,J822))</x:f>
        <x:v>Abrir copia del dispositivo</x:v>
      </x:c>
      <x:c r="L822" s="74" t="str">
        <x:f>IF(J822="","Keep current",IF(J822=I822,"Use suggestion","Custom"))</x:f>
        <x:v>Keep current</x:v>
      </x:c>
      <x:c r="M822" s="71" t="str">
        <x:v>Pending review</x:v>
      </x:c>
      <x:c r="N822" s="71" t="str">
        <x:v>Normal</x:v>
      </x:c>
      <x:c r="O822" s="71" t="str">
        <x:v>app/journey/new/trip-builder.tsx</x:v>
      </x:c>
      <x:c r="P822" s="71" t="str">
        <x:v>TripBuilderDocument:2123</x:v>
      </x:c>
      <x:c r="Q822" s="71" t="str">
        <x:v>ES</x:v>
      </x:c>
      <x:c r="R822" s="71" t="str">
        <x:v>Already clear and direct; suggested wording intentionally keeps the current copy. Duplicate wording: appears 3 times.</x:v>
      </x:c>
      <x:c r="S822" s="75" t="str">
        <x:v>Not applied — review required</x:v>
      </x:c>
    </x:row>
    <x:row r="823">
      <x:c r="A823" s="71" t="str">
        <x:v>MRV-39FD6DA931</x:v>
      </x:c>
      <x:c r="B823" s="71" t="str">
        <x:v>Planning</x:v>
      </x:c>
      <x:c r="C823" s="71" t="str">
        <x:v>New trip builder</x:v>
      </x:c>
      <x:c r="D823" s="71" t="str">
        <x:v>/journey/new/trip-builder</x:v>
      </x:c>
      <x:c r="E823" s="71" t="str">
        <x:v>TripBuilderDocument</x:v>
      </x:c>
      <x:c r="F823" s="71" t="str">
        <x:v>Default</x:v>
      </x:c>
      <x:c r="G823" s="71" t="str">
        <x:v>CTA / button</x:v>
      </x:c>
      <x:c r="H823" s="71" t="str">
        <x:v>Open device copy</x:v>
      </x:c>
      <x:c r="I823" s="71" t="str">
        <x:v>Open device copy</x:v>
      </x:c>
      <x:c r="J823" s="73"/>
      <x:c r="K823" s="74" t="str">
        <x:f>IF(J823="",H823,IF(J823=I823,I823,J823))</x:f>
        <x:v>Open device copy</x:v>
      </x:c>
      <x:c r="L823" s="74" t="str">
        <x:f>IF(J823="","Keep current",IF(J823=I823,"Use suggestion","Custom"))</x:f>
        <x:v>Keep current</x:v>
      </x:c>
      <x:c r="M823" s="71" t="str">
        <x:v>Pending review</x:v>
      </x:c>
      <x:c r="N823" s="71" t="str">
        <x:v>Medium</x:v>
      </x:c>
      <x:c r="O823" s="71" t="str">
        <x:v>app/journey/new/trip-builder.tsx</x:v>
      </x:c>
      <x:c r="P823" s="71" t="str">
        <x:v>TripBuilderDocument:2123</x:v>
      </x:c>
      <x:c r="Q823" s="71" t="str">
        <x:v>EN</x:v>
      </x:c>
      <x:c r="R823" s="71" t="str">
        <x:v>Already clear and direct; suggested wording intentionally keeps the current copy. Duplicate wording: appears 4 times.</x:v>
      </x:c>
      <x:c r="S823" s="75" t="str">
        <x:v>Not applied — review required</x:v>
      </x:c>
    </x:row>
    <x:row r="824">
      <x:c r="A824" s="71" t="str">
        <x:v>MRV-C45A579974</x:v>
      </x:c>
      <x:c r="B824" s="71" t="str">
        <x:v>Planning</x:v>
      </x:c>
      <x:c r="C824" s="71" t="str">
        <x:v>New trip builder</x:v>
      </x:c>
      <x:c r="D824" s="71" t="str">
        <x:v>/journey/new/trip-builder</x:v>
      </x:c>
      <x:c r="E824" s="71" t="str">
        <x:v>TripBuilderDocument</x:v>
      </x:c>
      <x:c r="F824" s="71" t="str">
        <x:v>Default</x:v>
      </x:c>
      <x:c r="G824" s="71" t="str">
        <x:v>Label</x:v>
      </x:c>
      <x:c r="H824" s="71" t="str">
        <x:v>Reintentar guardado</x:v>
      </x:c>
      <x:c r="I824" s="71" t="str">
        <x:v>Reintentar guardado</x:v>
      </x:c>
      <x:c r="J824" s="73"/>
      <x:c r="K824" s="74" t="str">
        <x:f>IF(J824="",H824,IF(J824=I824,I824,J824))</x:f>
        <x:v>Reintentar guardado</x:v>
      </x:c>
      <x:c r="L824" s="74" t="str">
        <x:f>IF(J824="","Keep current",IF(J824=I824,"Use suggestion","Custom"))</x:f>
        <x:v>Keep current</x:v>
      </x:c>
      <x:c r="M824" s="71" t="str">
        <x:v>Pending review</x:v>
      </x:c>
      <x:c r="N824" s="71" t="str">
        <x:v>Normal</x:v>
      </x:c>
      <x:c r="O824" s="71" t="str">
        <x:v>app/journey/new/trip-builder.tsx</x:v>
      </x:c>
      <x:c r="P824" s="71" t="str">
        <x:v>TripBuilderDocument:2123</x:v>
      </x:c>
      <x:c r="Q824" s="71" t="str">
        <x:v>ES</x:v>
      </x:c>
      <x:c r="R824" s="71" t="str">
        <x:v>Already clear and direct; suggested wording intentionally keeps the current copy.</x:v>
      </x:c>
      <x:c r="S824" s="75" t="str">
        <x:v>Not applied — review required</x:v>
      </x:c>
    </x:row>
    <x:row r="825">
      <x:c r="A825" s="71" t="str">
        <x:v>MRV-4B1569F457</x:v>
      </x:c>
      <x:c r="B825" s="71" t="str">
        <x:v>Planning</x:v>
      </x:c>
      <x:c r="C825" s="71" t="str">
        <x:v>New trip builder</x:v>
      </x:c>
      <x:c r="D825" s="71" t="str">
        <x:v>/journey/new/trip-builder</x:v>
      </x:c>
      <x:c r="E825" s="71" t="str">
        <x:v>TripBuilderDocument</x:v>
      </x:c>
      <x:c r="F825" s="71" t="str">
        <x:v>Default</x:v>
      </x:c>
      <x:c r="G825" s="71" t="str">
        <x:v>Label</x:v>
      </x:c>
      <x:c r="H825" s="71" t="str">
        <x:v>Try device save again</x:v>
      </x:c>
      <x:c r="I825" s="71" t="str">
        <x:v>Try device save again</x:v>
      </x:c>
      <x:c r="J825" s="73"/>
      <x:c r="K825" s="74" t="str">
        <x:f>IF(J825="",H825,IF(J825=I825,I825,J825))</x:f>
        <x:v>Try device save again</x:v>
      </x:c>
      <x:c r="L825" s="74" t="str">
        <x:f>IF(J825="","Keep current",IF(J825=I825,"Use suggestion","Custom"))</x:f>
        <x:v>Keep current</x:v>
      </x:c>
      <x:c r="M825" s="71" t="str">
        <x:v>Pending review</x:v>
      </x:c>
      <x:c r="N825" s="71" t="str">
        <x:v>Normal</x:v>
      </x:c>
      <x:c r="O825" s="71" t="str">
        <x:v>app/journey/new/trip-builder.tsx</x:v>
      </x:c>
      <x:c r="P825" s="71" t="str">
        <x:v>TripBuilderDocument:2123</x:v>
      </x:c>
      <x:c r="Q825" s="71" t="str">
        <x:v>EN</x:v>
      </x:c>
      <x:c r="R825" s="71" t="str">
        <x:v>Already clear and direct; suggested wording intentionally keeps the current copy.</x:v>
      </x:c>
      <x:c r="S825" s="75" t="str">
        <x:v>Not applied — review required</x:v>
      </x:c>
    </x:row>
    <x:row r="826">
      <x:c r="A826" s="71" t="str">
        <x:v>MRV-38A56FB7A2</x:v>
      </x:c>
      <x:c r="B826" s="71" t="str">
        <x:v>Planning</x:v>
      </x:c>
      <x:c r="C826" s="71" t="str">
        <x:v>New trip builder</x:v>
      </x:c>
      <x:c r="D826" s="71" t="str">
        <x:v>/journey/new/trip-builder</x:v>
      </x:c>
      <x:c r="E826" s="71" t="str">
        <x:v>TripBuilderDocument</x:v>
      </x:c>
      <x:c r="F826" s="71" t="str">
        <x:v>Session expired</x:v>
      </x:c>
      <x:c r="G826" s="71" t="str">
        <x:v>Label</x:v>
      </x:c>
      <x:c r="H826" s="71" t="str">
        <x:v>Iniciar sesión de nuevo</x:v>
      </x:c>
      <x:c r="I826" s="71" t="str">
        <x:v>Iniciar sesión de nuevo</x:v>
      </x:c>
      <x:c r="J826" s="73"/>
      <x:c r="K826" s="74" t="str">
        <x:f>IF(J826="",H826,IF(J826=I826,I826,J826))</x:f>
        <x:v>Iniciar sesión de nuevo</x:v>
      </x:c>
      <x:c r="L826" s="74" t="str">
        <x:f>IF(J826="","Keep current",IF(J826=I826,"Use suggestion","Custom"))</x:f>
        <x:v>Keep current</x:v>
      </x:c>
      <x:c r="M826" s="71" t="str">
        <x:v>Pending review</x:v>
      </x:c>
      <x:c r="N826" s="71" t="str">
        <x:v>High</x:v>
      </x:c>
      <x:c r="O826" s="71" t="str">
        <x:v>app/journey/new/trip-builder.tsx</x:v>
      </x:c>
      <x:c r="P826" s="71" t="str">
        <x:v>TripBuilderDocument:2123</x:v>
      </x:c>
      <x:c r="Q826" s="71" t="str">
        <x:v>ES</x:v>
      </x:c>
      <x:c r="R826" s="71" t="str">
        <x:v>Already clear and direct; suggested wording intentionally keeps the current copy. Duplicate wording: appears 2 times.</x:v>
      </x:c>
      <x:c r="S826" s="75" t="str">
        <x:v>Not applied — review required</x:v>
      </x:c>
    </x:row>
    <x:row r="827">
      <x:c r="A827" s="71" t="str">
        <x:v>MRV-55E40675CF</x:v>
      </x:c>
      <x:c r="B827" s="71" t="str">
        <x:v>Planning</x:v>
      </x:c>
      <x:c r="C827" s="71" t="str">
        <x:v>New trip builder</x:v>
      </x:c>
      <x:c r="D827" s="71" t="str">
        <x:v>/journey/new/trip-builder</x:v>
      </x:c>
      <x:c r="E827" s="71" t="str">
        <x:v>TripBuilderDocument</x:v>
      </x:c>
      <x:c r="F827" s="71" t="str">
        <x:v>Session expired</x:v>
      </x:c>
      <x:c r="G827" s="71" t="str">
        <x:v>CTA / button</x:v>
      </x:c>
      <x:c r="H827" s="71" t="str">
        <x:v>Sign in again</x:v>
      </x:c>
      <x:c r="I827" s="71" t="str">
        <x:v>Sign in again</x:v>
      </x:c>
      <x:c r="J827" s="73"/>
      <x:c r="K827" s="74" t="str">
        <x:f>IF(J827="",H827,IF(J827=I827,I827,J827))</x:f>
        <x:v>Sign in again</x:v>
      </x:c>
      <x:c r="L827" s="74" t="str">
        <x:f>IF(J827="","Keep current",IF(J827=I827,"Use suggestion","Custom"))</x:f>
        <x:v>Keep current</x:v>
      </x:c>
      <x:c r="M827" s="71" t="str">
        <x:v>Pending review</x:v>
      </x:c>
      <x:c r="N827" s="71" t="str">
        <x:v>High</x:v>
      </x:c>
      <x:c r="O827" s="71" t="str">
        <x:v>app/journey/new/trip-builder.tsx</x:v>
      </x:c>
      <x:c r="P827" s="71" t="str">
        <x:v>TripBuilderDocument:2123</x:v>
      </x:c>
      <x:c r="Q827" s="71" t="str">
        <x:v>EN</x:v>
      </x:c>
      <x:c r="R827" s="71" t="str">
        <x:v>Already clear and direct; suggested wording intentionally keeps the current copy. Duplicate wording: appears 8 times.</x:v>
      </x:c>
      <x:c r="S827" s="75" t="str">
        <x:v>Not applied — review required</x:v>
      </x:c>
    </x:row>
    <x:row r="828">
      <x:c r="A828" s="71" t="str">
        <x:v>MRV-02BDE48061</x:v>
      </x:c>
      <x:c r="B828" s="71" t="str">
        <x:v>Planning</x:v>
      </x:c>
      <x:c r="C828" s="71" t="str">
        <x:v>New trip builder</x:v>
      </x:c>
      <x:c r="D828" s="71" t="str">
        <x:v>/journey/new/trip-builder</x:v>
      </x:c>
      <x:c r="E828" s="71" t="str">
        <x:v>TripBuilderDocument</x:v>
      </x:c>
      <x:c r="F828" s="71" t="str">
        <x:v>Failure / recovery</x:v>
      </x:c>
      <x:c r="G828" s="71" t="str">
        <x:v>Label</x:v>
      </x:c>
      <x:c r="H828" s="71" t="str">
        <x:v>Reintentar</x:v>
      </x:c>
      <x:c r="I828" s="71" t="str">
        <x:v>Reintentar</x:v>
      </x:c>
      <x:c r="J828" s="73"/>
      <x:c r="K828" s="74" t="str">
        <x:f>IF(J828="",H828,IF(J828=I828,I828,J828))</x:f>
        <x:v>Reintentar</x:v>
      </x:c>
      <x:c r="L828" s="74" t="str">
        <x:f>IF(J828="","Keep current",IF(J828=I828,"Use suggestion","Custom"))</x:f>
        <x:v>Keep current</x:v>
      </x:c>
      <x:c r="M828" s="71" t="str">
        <x:v>Pending review</x:v>
      </x:c>
      <x:c r="N828" s="71" t="str">
        <x:v>High</x:v>
      </x:c>
      <x:c r="O828" s="71" t="str">
        <x:v>app/journey/new/trip-builder.tsx</x:v>
      </x:c>
      <x:c r="P828" s="71" t="str">
        <x:v>TripBuilderDocument:2123</x:v>
      </x:c>
      <x:c r="Q828" s="71" t="str">
        <x:v>ES</x:v>
      </x:c>
      <x:c r="R828" s="71" t="str">
        <x:v>Already clear and direct; suggested wording intentionally keeps the current copy. Duplicate wording: appears 4 times.</x:v>
      </x:c>
      <x:c r="S828" s="75" t="str">
        <x:v>Not applied — review required</x:v>
      </x:c>
    </x:row>
    <x:row r="829">
      <x:c r="A829" s="71" t="str">
        <x:v>MRV-0CE2A4BAF3</x:v>
      </x:c>
      <x:c r="B829" s="71" t="str">
        <x:v>Planning</x:v>
      </x:c>
      <x:c r="C829" s="71" t="str">
        <x:v>New trip builder</x:v>
      </x:c>
      <x:c r="D829" s="71" t="str">
        <x:v>/journey/new/trip-builder</x:v>
      </x:c>
      <x:c r="E829" s="71" t="str">
        <x:v>TripBuilderDocument</x:v>
      </x:c>
      <x:c r="F829" s="71" t="str">
        <x:v>Failure / recovery</x:v>
      </x:c>
      <x:c r="G829" s="71" t="str">
        <x:v>CTA / button</x:v>
      </x:c>
      <x:c r="H829" s="71" t="str">
        <x:v>Try again</x:v>
      </x:c>
      <x:c r="I829" s="71" t="str">
        <x:v>Try again</x:v>
      </x:c>
      <x:c r="J829" s="73"/>
      <x:c r="K829" s="74" t="str">
        <x:f>IF(J829="",H829,IF(J829=I829,I829,J829))</x:f>
        <x:v>Try again</x:v>
      </x:c>
      <x:c r="L829" s="74" t="str">
        <x:f>IF(J829="","Keep current",IF(J829=I829,"Use suggestion","Custom"))</x:f>
        <x:v>Keep current</x:v>
      </x:c>
      <x:c r="M829" s="71" t="str">
        <x:v>Pending review</x:v>
      </x:c>
      <x:c r="N829" s="71" t="str">
        <x:v>High</x:v>
      </x:c>
      <x:c r="O829" s="71" t="str">
        <x:v>app/journey/new/trip-builder.tsx</x:v>
      </x:c>
      <x:c r="P829" s="71" t="str">
        <x:v>TripBuilderDocument:2123</x:v>
      </x:c>
      <x:c r="Q829" s="71" t="str">
        <x:v>EN</x:v>
      </x:c>
      <x:c r="R829" s="71" t="str">
        <x:v>Already clear and direct; suggested wording intentionally keeps the current copy. Duplicate wording: appears 7 times.</x:v>
      </x:c>
      <x:c r="S829" s="75" t="str">
        <x:v>Not applied — review required</x:v>
      </x:c>
    </x:row>
    <x:row r="830">
      <x:c r="A830" s="71" t="str">
        <x:v>MRV-8B7D5E6281</x:v>
      </x:c>
      <x:c r="B830" s="71" t="str">
        <x:v>Planning</x:v>
      </x:c>
      <x:c r="C830" s="71" t="str">
        <x:v>New trip builder</x:v>
      </x:c>
      <x:c r="D830" s="71" t="str">
        <x:v>/journey/new/trip-builder</x:v>
      </x:c>
      <x:c r="E830" s="71" t="str">
        <x:v>TripBuilderDocument</x:v>
      </x:c>
      <x:c r="F830" s="71" t="str">
        <x:v>Default</x:v>
      </x:c>
      <x:c r="G830" s="71" t="str">
        <x:v>Label</x:v>
      </x:c>
      <x:c r="H830" s="71" t="str">
        <x:v>Guardado en tu cuenta</x:v>
      </x:c>
      <x:c r="I830" s="71" t="str">
        <x:v>Guardado en tu cuenta</x:v>
      </x:c>
      <x:c r="J830" s="73"/>
      <x:c r="K830" s="74" t="str">
        <x:f>IF(J830="",H830,IF(J830=I830,I830,J830))</x:f>
        <x:v>Guardado en tu cuenta</x:v>
      </x:c>
      <x:c r="L830" s="74" t="str">
        <x:f>IF(J830="","Keep current",IF(J830=I830,"Use suggestion","Custom"))</x:f>
        <x:v>Keep current</x:v>
      </x:c>
      <x:c r="M830" s="71" t="str">
        <x:v>Pending review</x:v>
      </x:c>
      <x:c r="N830" s="71" t="str">
        <x:v>Normal</x:v>
      </x:c>
      <x:c r="O830" s="71" t="str">
        <x:v>app/journey/new/trip-builder.tsx</x:v>
      </x:c>
      <x:c r="P830" s="71" t="str">
        <x:v>TripBuilderDocument:2127</x:v>
      </x:c>
      <x:c r="Q830" s="71" t="str">
        <x:v>ES</x:v>
      </x:c>
      <x:c r="R830" s="71" t="str">
        <x:v>Already clear and direct; suggested wording intentionally keeps the current copy.</x:v>
      </x:c>
      <x:c r="S830" s="75" t="str">
        <x:v>Not applied — review required</x:v>
      </x:c>
    </x:row>
    <x:row r="831">
      <x:c r="A831" s="71" t="str">
        <x:v>MRV-05C4D02E2F</x:v>
      </x:c>
      <x:c r="B831" s="71" t="str">
        <x:v>Planning</x:v>
      </x:c>
      <x:c r="C831" s="71" t="str">
        <x:v>New trip builder</x:v>
      </x:c>
      <x:c r="D831" s="71" t="str">
        <x:v>/journey/new/trip-builder</x:v>
      </x:c>
      <x:c r="E831" s="71" t="str">
        <x:v>TripBuilderDocument</x:v>
      </x:c>
      <x:c r="F831" s="71" t="str">
        <x:v>Default</x:v>
      </x:c>
      <x:c r="G831" s="71" t="str">
        <x:v>CTA / button</x:v>
      </x:c>
      <x:c r="H831" s="71" t="str">
        <x:v>Saved to your account</x:v>
      </x:c>
      <x:c r="I831" s="71" t="str">
        <x:v>Saved to your account</x:v>
      </x:c>
      <x:c r="J831" s="73"/>
      <x:c r="K831" s="74" t="str">
        <x:f>IF(J831="",H831,IF(J831=I831,I831,J831))</x:f>
        <x:v>Saved to your account</x:v>
      </x:c>
      <x:c r="L831" s="74" t="str">
        <x:f>IF(J831="","Keep current",IF(J831=I831,"Use suggestion","Custom"))</x:f>
        <x:v>Keep current</x:v>
      </x:c>
      <x:c r="M831" s="71" t="str">
        <x:v>Pending review</x:v>
      </x:c>
      <x:c r="N831" s="71" t="str">
        <x:v>Medium</x:v>
      </x:c>
      <x:c r="O831" s="71" t="str">
        <x:v>app/journey/new/trip-builder.tsx</x:v>
      </x:c>
      <x:c r="P831" s="71" t="str">
        <x:v>TripBuilderDocument:2127</x:v>
      </x:c>
      <x:c r="Q831" s="71" t="str">
        <x:v>EN</x:v>
      </x:c>
      <x:c r="R831" s="71" t="str">
        <x:v>Already clear and direct; suggested wording intentionally keeps the current copy.</x:v>
      </x:c>
      <x:c r="S831" s="75" t="str">
        <x:v>Not applied — review required</x:v>
      </x:c>
    </x:row>
    <x:row r="832">
      <x:c r="A832" s="71" t="str">
        <x:v>MRV-E9ED54F598</x:v>
      </x:c>
      <x:c r="B832" s="71" t="str">
        <x:v>Planning</x:v>
      </x:c>
      <x:c r="C832" s="71" t="str">
        <x:v>New trip builder</x:v>
      </x:c>
      <x:c r="D832" s="71" t="str">
        <x:v>/journey/new/trip-builder</x:v>
      </x:c>
      <x:c r="E832" s="71" t="str">
        <x:v>TripBuilderDocument</x:v>
      </x:c>
      <x:c r="F832" s="71" t="str">
        <x:v>Default</x:v>
      </x:c>
      <x:c r="G832" s="71" t="str">
        <x:v>Label</x:v>
      </x:c>
      <x:c r="H832" s="71" t="str">
        <x:v>No sincronizado</x:v>
      </x:c>
      <x:c r="I832" s="71" t="str">
        <x:v>No sincronizado</x:v>
      </x:c>
      <x:c r="J832" s="73"/>
      <x:c r="K832" s="74" t="str">
        <x:f>IF(J832="",H832,IF(J832=I832,I832,J832))</x:f>
        <x:v>No sincronizado</x:v>
      </x:c>
      <x:c r="L832" s="74" t="str">
        <x:f>IF(J832="","Keep current",IF(J832=I832,"Use suggestion","Custom"))</x:f>
        <x:v>Keep current</x:v>
      </x:c>
      <x:c r="M832" s="71" t="str">
        <x:v>Pending review</x:v>
      </x:c>
      <x:c r="N832" s="71" t="str">
        <x:v>Normal</x:v>
      </x:c>
      <x:c r="O832" s="71" t="str">
        <x:v>app/journey/new/trip-builder.tsx</x:v>
      </x:c>
      <x:c r="P832" s="71" t="str">
        <x:v>TripBuilderDocument:2127</x:v>
      </x:c>
      <x:c r="Q832" s="71" t="str">
        <x:v>ES</x:v>
      </x:c>
      <x:c r="R832" s="71" t="str">
        <x:v>Already clear and direct; suggested wording intentionally keeps the current copy.</x:v>
      </x:c>
      <x:c r="S832" s="75" t="str">
        <x:v>Not applied — review required</x:v>
      </x:c>
    </x:row>
    <x:row r="833">
      <x:c r="A833" s="71" t="str">
        <x:v>MRV-96CF569877</x:v>
      </x:c>
      <x:c r="B833" s="71" t="str">
        <x:v>Planning</x:v>
      </x:c>
      <x:c r="C833" s="71" t="str">
        <x:v>New trip builder</x:v>
      </x:c>
      <x:c r="D833" s="71" t="str">
        <x:v>/journey/new/trip-builder</x:v>
      </x:c>
      <x:c r="E833" s="71" t="str">
        <x:v>TripBuilderDocument</x:v>
      </x:c>
      <x:c r="F833" s="71" t="str">
        <x:v>Default</x:v>
      </x:c>
      <x:c r="G833" s="71" t="str">
        <x:v>Label</x:v>
      </x:c>
      <x:c r="H833" s="71" t="str">
        <x:v>Not synced</x:v>
      </x:c>
      <x:c r="I833" s="71" t="str">
        <x:v>Not synced</x:v>
      </x:c>
      <x:c r="J833" s="73"/>
      <x:c r="K833" s="74" t="str">
        <x:f>IF(J833="",H833,IF(J833=I833,I833,J833))</x:f>
        <x:v>Not synced</x:v>
      </x:c>
      <x:c r="L833" s="74" t="str">
        <x:f>IF(J833="","Keep current",IF(J833=I833,"Use suggestion","Custom"))</x:f>
        <x:v>Keep current</x:v>
      </x:c>
      <x:c r="M833" s="71" t="str">
        <x:v>Pending review</x:v>
      </x:c>
      <x:c r="N833" s="71" t="str">
        <x:v>Normal</x:v>
      </x:c>
      <x:c r="O833" s="71" t="str">
        <x:v>app/journey/new/trip-builder.tsx</x:v>
      </x:c>
      <x:c r="P833" s="71" t="str">
        <x:v>TripBuilderDocument:2127</x:v>
      </x:c>
      <x:c r="Q833" s="71" t="str">
        <x:v>EN</x:v>
      </x:c>
      <x:c r="R833" s="71" t="str">
        <x:v>Already clear and direct; suggested wording intentionally keeps the current copy.</x:v>
      </x:c>
      <x:c r="S833" s="75" t="str">
        <x:v>Not applied — review required</x:v>
      </x:c>
    </x:row>
    <x:row r="834">
      <x:c r="A834" s="71" t="str">
        <x:v>MRV-C6BE8BEC98</x:v>
      </x:c>
      <x:c r="B834" s="71" t="str">
        <x:v>Planning</x:v>
      </x:c>
      <x:c r="C834" s="71" t="str">
        <x:v>New trip builder</x:v>
      </x:c>
      <x:c r="D834" s="71" t="str">
        <x:v>/journey/new/trip-builder</x:v>
      </x:c>
      <x:c r="E834" s="71" t="str">
        <x:v>TripBuilderDocument</x:v>
      </x:c>
      <x:c r="F834" s="71" t="str">
        <x:v>Default</x:v>
      </x:c>
      <x:c r="G834" s="71" t="str">
        <x:v>Label</x:v>
      </x:c>
      <x:c r="H834" s="71" t="str">
        <x:v>Abriendo tu ruta…</x:v>
      </x:c>
      <x:c r="I834" s="71" t="str">
        <x:v>Abriendo tu ruta…</x:v>
      </x:c>
      <x:c r="J834" s="73"/>
      <x:c r="K834" s="74" t="str">
        <x:f>IF(J834="",H834,IF(J834=I834,I834,J834))</x:f>
        <x:v>Abriendo tu ruta…</x:v>
      </x:c>
      <x:c r="L834" s="74" t="str">
        <x:f>IF(J834="","Keep current",IF(J834=I834,"Use suggestion","Custom"))</x:f>
        <x:v>Keep current</x:v>
      </x:c>
      <x:c r="M834" s="71" t="str">
        <x:v>Pending review</x:v>
      </x:c>
      <x:c r="N834" s="71" t="str">
        <x:v>Normal</x:v>
      </x:c>
      <x:c r="O834" s="71" t="str">
        <x:v>app/journey/new/trip-builder.tsx</x:v>
      </x:c>
      <x:c r="P834" s="71" t="str">
        <x:v>TripBuilderDocument:2139</x:v>
      </x:c>
      <x:c r="Q834" s="71" t="str">
        <x:v>ES</x:v>
      </x:c>
      <x:c r="R834" s="71" t="str">
        <x:v>Already clear and direct; suggested wording intentionally keeps the current copy.</x:v>
      </x:c>
      <x:c r="S834" s="75" t="str">
        <x:v>Not applied — review required</x:v>
      </x:c>
    </x:row>
    <x:row r="835">
      <x:c r="A835" s="71" t="str">
        <x:v>MRV-6B94EB86B5</x:v>
      </x:c>
      <x:c r="B835" s="71" t="str">
        <x:v>Planning</x:v>
      </x:c>
      <x:c r="C835" s="71" t="str">
        <x:v>New trip builder</x:v>
      </x:c>
      <x:c r="D835" s="71" t="str">
        <x:v>/journey/new/trip-builder</x:v>
      </x:c>
      <x:c r="E835" s="71" t="str">
        <x:v>TripBuilderDocument</x:v>
      </x:c>
      <x:c r="F835" s="71" t="str">
        <x:v>Default</x:v>
      </x:c>
      <x:c r="G835" s="71" t="str">
        <x:v>CTA / button</x:v>
      </x:c>
      <x:c r="H835" s="71" t="str">
        <x:v>Opening your route…</x:v>
      </x:c>
      <x:c r="I835" s="71" t="str">
        <x:v>Opening your route…</x:v>
      </x:c>
      <x:c r="J835" s="73"/>
      <x:c r="K835" s="74" t="str">
        <x:f>IF(J835="",H835,IF(J835=I835,I835,J835))</x:f>
        <x:v>Opening your route…</x:v>
      </x:c>
      <x:c r="L835" s="74" t="str">
        <x:f>IF(J835="","Keep current",IF(J835=I835,"Use suggestion","Custom"))</x:f>
        <x:v>Keep current</x:v>
      </x:c>
      <x:c r="M835" s="71" t="str">
        <x:v>Pending review</x:v>
      </x:c>
      <x:c r="N835" s="71" t="str">
        <x:v>Medium</x:v>
      </x:c>
      <x:c r="O835" s="71" t="str">
        <x:v>app/journey/new/trip-builder.tsx</x:v>
      </x:c>
      <x:c r="P835" s="71" t="str">
        <x:v>TripBuilderDocument:2139</x:v>
      </x:c>
      <x:c r="Q835" s="71" t="str">
        <x:v>EN</x:v>
      </x:c>
      <x:c r="R835" s="71" t="str">
        <x:v>Already clear and direct; suggested wording intentionally keeps the current copy. Duplicate wording: appears 2 times.</x:v>
      </x:c>
      <x:c r="S835" s="75" t="str">
        <x:v>Not applied — review required</x:v>
      </x:c>
    </x:row>
    <x:row r="836">
      <x:c r="A836" s="71" t="str">
        <x:v>MRV-DD39F80BBF</x:v>
      </x:c>
      <x:c r="B836" s="71" t="str">
        <x:v>Planning</x:v>
      </x:c>
      <x:c r="C836" s="71" t="str">
        <x:v>New trip builder</x:v>
      </x:c>
      <x:c r="D836" s="71" t="str">
        <x:v>/journey/new/trip-builder</x:v>
      </x:c>
      <x:c r="E836" s="71" t="str">
        <x:v>TripBuilderDocument</x:v>
      </x:c>
      <x:c r="F836" s="71" t="str">
        <x:v>Default</x:v>
      </x:c>
      <x:c r="G836" s="71" t="str">
        <x:v>Label</x:v>
      </x:c>
      <x:c r="H836" s="71" t="str">
        <x:v>Establecer fechas y noches</x:v>
      </x:c>
      <x:c r="I836" s="71" t="str">
        <x:v>Establecer fechas y noches</x:v>
      </x:c>
      <x:c r="J836" s="73"/>
      <x:c r="K836" s="74" t="str">
        <x:f>IF(J836="",H836,IF(J836=I836,I836,J836))</x:f>
        <x:v>Establecer fechas y noches</x:v>
      </x:c>
      <x:c r="L836" s="74" t="str">
        <x:f>IF(J836="","Keep current",IF(J836=I836,"Use suggestion","Custom"))</x:f>
        <x:v>Keep current</x:v>
      </x:c>
      <x:c r="M836" s="71" t="str">
        <x:v>Pending review</x:v>
      </x:c>
      <x:c r="N836" s="71" t="str">
        <x:v>Normal</x:v>
      </x:c>
      <x:c r="O836" s="71" t="str">
        <x:v>app/journey/new/trip-builder.tsx</x:v>
      </x:c>
      <x:c r="P836" s="71" t="str">
        <x:v>TripBuilderDocument:2139</x:v>
      </x:c>
      <x:c r="Q836" s="71" t="str">
        <x:v>ES</x:v>
      </x:c>
      <x:c r="R836" s="71" t="str">
        <x:v>Already clear and direct; suggested wording intentionally keeps the current copy.</x:v>
      </x:c>
      <x:c r="S836" s="75" t="str">
        <x:v>Not applied — review required</x:v>
      </x:c>
    </x:row>
    <x:row r="837">
      <x:c r="A837" s="71" t="str">
        <x:v>MRV-0863E4BC28</x:v>
      </x:c>
      <x:c r="B837" s="71" t="str">
        <x:v>Planning</x:v>
      </x:c>
      <x:c r="C837" s="71" t="str">
        <x:v>New trip builder</x:v>
      </x:c>
      <x:c r="D837" s="71" t="str">
        <x:v>/journey/new/trip-builder</x:v>
      </x:c>
      <x:c r="E837" s="71" t="str">
        <x:v>TripBuilderDocument</x:v>
      </x:c>
      <x:c r="F837" s="71" t="str">
        <x:v>Default</x:v>
      </x:c>
      <x:c r="G837" s="71" t="str">
        <x:v>Label</x:v>
      </x:c>
      <x:c r="H837" s="71" t="str">
        <x:v>Set dates &amp; nights</x:v>
      </x:c>
      <x:c r="I837" s="71" t="str">
        <x:v>Set dates &amp; nights</x:v>
      </x:c>
      <x:c r="J837" s="73"/>
      <x:c r="K837" s="74" t="str">
        <x:f>IF(J837="",H837,IF(J837=I837,I837,J837))</x:f>
        <x:v>Set dates &amp; nights</x:v>
      </x:c>
      <x:c r="L837" s="74" t="str">
        <x:f>IF(J837="","Keep current",IF(J837=I837,"Use suggestion","Custom"))</x:f>
        <x:v>Keep current</x:v>
      </x:c>
      <x:c r="M837" s="71" t="str">
        <x:v>Pending review</x:v>
      </x:c>
      <x:c r="N837" s="71" t="str">
        <x:v>Normal</x:v>
      </x:c>
      <x:c r="O837" s="71" t="str">
        <x:v>app/journey/new/trip-builder.tsx</x:v>
      </x:c>
      <x:c r="P837" s="71" t="str">
        <x:v>TripBuilderDocument:2139</x:v>
      </x:c>
      <x:c r="Q837" s="71" t="str">
        <x:v>EN</x:v>
      </x:c>
      <x:c r="R837" s="71" t="str">
        <x:v>Already clear and direct; suggested wording intentionally keeps the current copy.</x:v>
      </x:c>
      <x:c r="S837" s="75" t="str">
        <x:v>Not applied — review required</x:v>
      </x:c>
    </x:row>
    <x:row r="838">
      <x:c r="A838" s="71" t="str">
        <x:v>MRV-69D061BA9A</x:v>
      </x:c>
      <x:c r="B838" s="71" t="str">
        <x:v>Planning</x:v>
      </x:c>
      <x:c r="C838" s="71" t="str">
        <x:v>New trip builder</x:v>
      </x:c>
      <x:c r="D838" s="71" t="str">
        <x:v>/journey/new/trip-builder</x:v>
      </x:c>
      <x:c r="E838" s="71" t="str">
        <x:v>TripBuilderDocument</x:v>
      </x:c>
      <x:c r="F838" s="71" t="str">
        <x:v>Default</x:v>
      </x:c>
      <x:c r="G838" s="71" t="str">
        <x:v>Label</x:v>
      </x:c>
      <x:c r="H838" s="71" t="str">
        <x:v>Crear viaje</x:v>
      </x:c>
      <x:c r="I838" s="71" t="str">
        <x:v>Crear viaje</x:v>
      </x:c>
      <x:c r="J838" s="73"/>
      <x:c r="K838" s="74" t="str">
        <x:f>IF(J838="",H838,IF(J838=I838,I838,J838))</x:f>
        <x:v>Crear viaje</x:v>
      </x:c>
      <x:c r="L838" s="74" t="str">
        <x:f>IF(J838="","Keep current",IF(J838=I838,"Use suggestion","Custom"))</x:f>
        <x:v>Keep current</x:v>
      </x:c>
      <x:c r="M838" s="71" t="str">
        <x:v>Pending review</x:v>
      </x:c>
      <x:c r="N838" s="71" t="str">
        <x:v>Normal</x:v>
      </x:c>
      <x:c r="O838" s="71" t="str">
        <x:v>app/journey/new/trip-builder.tsx</x:v>
      </x:c>
      <x:c r="P838" s="71" t="str">
        <x:v>TripBuilderDocument:2139</x:v>
      </x:c>
      <x:c r="Q838" s="71" t="str">
        <x:v>ES</x:v>
      </x:c>
      <x:c r="R838" s="71" t="str">
        <x:v>Already clear and direct; suggested wording intentionally keeps the current copy.</x:v>
      </x:c>
      <x:c r="S838" s="75" t="str">
        <x:v>Not applied — review required</x:v>
      </x:c>
    </x:row>
    <x:row r="839">
      <x:c r="A839" s="71" t="str">
        <x:v>MRV-0156E17650</x:v>
      </x:c>
      <x:c r="B839" s="71" t="str">
        <x:v>Planning</x:v>
      </x:c>
      <x:c r="C839" s="71" t="str">
        <x:v>New trip builder</x:v>
      </x:c>
      <x:c r="D839" s="71" t="str">
        <x:v>/journey/new/trip-builder</x:v>
      </x:c>
      <x:c r="E839" s="71" t="str">
        <x:v>TripBuilderDocument</x:v>
      </x:c>
      <x:c r="F839" s="71" t="str">
        <x:v>Default</x:v>
      </x:c>
      <x:c r="G839" s="71" t="str">
        <x:v>CTA / button</x:v>
      </x:c>
      <x:c r="H839" s="71" t="str">
        <x:v>Build trip</x:v>
      </x:c>
      <x:c r="I839" s="71" t="str">
        <x:v>Build trip</x:v>
      </x:c>
      <x:c r="J839" s="73"/>
      <x:c r="K839" s="74" t="str">
        <x:f>IF(J839="",H839,IF(J839=I839,I839,J839))</x:f>
        <x:v>Build trip</x:v>
      </x:c>
      <x:c r="L839" s="74" t="str">
        <x:f>IF(J839="","Keep current",IF(J839=I839,"Use suggestion","Custom"))</x:f>
        <x:v>Keep current</x:v>
      </x:c>
      <x:c r="M839" s="71" t="str">
        <x:v>Pending review</x:v>
      </x:c>
      <x:c r="N839" s="71" t="str">
        <x:v>Medium</x:v>
      </x:c>
      <x:c r="O839" s="71" t="str">
        <x:v>app/journey/new/trip-builder.tsx</x:v>
      </x:c>
      <x:c r="P839" s="71" t="str">
        <x:v>TripBuilderDocument:2139</x:v>
      </x:c>
      <x:c r="Q839" s="71" t="str">
        <x:v>EN</x:v>
      </x:c>
      <x:c r="R839" s="71" t="str">
        <x:v>Already clear and direct; suggested wording intentionally keeps the current copy. Terminology watch: ‘trip’ and ‘journey’ both describe the same plan. Terminology watch: ‘stops’, ‘destinations’ and ‘places’ overlap.</x:v>
      </x:c>
      <x:c r="S839" s="75" t="str">
        <x:v>Not applied — review required</x:v>
      </x:c>
    </x:row>
    <x:row r="840">
      <x:c r="A840" s="71" t="str">
        <x:v>MRV-E3B347B88D</x:v>
      </x:c>
      <x:c r="B840" s="71" t="str">
        <x:v>System</x:v>
      </x:c>
      <x:c r="C840" s="71" t="str">
        <x:v>Shared recovery / system</x:v>
      </x:c>
      <x:c r="D840" s="71" t="str">
        <x:v>/journey</x:v>
      </x:c>
      <x:c r="E840" s="71" t="str">
        <x:v>JourneyNotFound</x:v>
      </x:c>
      <x:c r="F840" s="71" t="str">
        <x:v>System recovery</x:v>
      </x:c>
      <x:c r="G840" s="71" t="str">
        <x:v>Label</x:v>
      </x:c>
      <x:c r="H840" s="71" t="str">
        <x:v>Morrovia</x:v>
      </x:c>
      <x:c r="I840" s="71" t="str">
        <x:v>Morrovia</x:v>
      </x:c>
      <x:c r="J840" s="73"/>
      <x:c r="K840" s="74" t="str">
        <x:f>IF(J840="",H840,IF(J840=I840,I840,J840))</x:f>
        <x:v>Morrovia</x:v>
      </x:c>
      <x:c r="L840" s="74" t="str">
        <x:f>IF(J840="","Keep current",IF(J840=I840,"Use suggestion","Custom"))</x:f>
        <x:v>Keep current</x:v>
      </x:c>
      <x:c r="M840" s="71" t="str">
        <x:v>Pending review</x:v>
      </x:c>
      <x:c r="N840" s="71" t="str">
        <x:v>High</x:v>
      </x:c>
      <x:c r="O840" s="71" t="str">
        <x:v>app/journey/not-found.tsx</x:v>
      </x:c>
      <x:c r="P840" s="71" t="str">
        <x:v>JourneyNotFound:7</x:v>
      </x:c>
      <x:c r="Q840" s="71" t="str">
        <x:v>EN (default / shared)</x:v>
      </x:c>
      <x:c r="R840" s="71" t="str">
        <x:v>Already clear and direct; suggested wording intentionally keeps the current copy. Duplicate wording: appears 2 times.</x:v>
      </x:c>
      <x:c r="S840" s="75" t="str">
        <x:v>Not applied — review required</x:v>
      </x:c>
    </x:row>
    <x:row r="841">
      <x:c r="A841" s="71" t="str">
        <x:v>MRV-EF57263745</x:v>
      </x:c>
      <x:c r="B841" s="71" t="str">
        <x:v>System</x:v>
      </x:c>
      <x:c r="C841" s="71" t="str">
        <x:v>Shared recovery / system</x:v>
      </x:c>
      <x:c r="D841" s="71" t="str">
        <x:v>/journey</x:v>
      </x:c>
      <x:c r="E841" s="71" t="str">
        <x:v>JourneyNotFound</x:v>
      </x:c>
      <x:c r="F841" s="71" t="str">
        <x:v>System recovery</x:v>
      </x:c>
      <x:c r="G841" s="71" t="str">
        <x:v>Body copy</x:v>
      </x:c>
      <x:c r="H841" s="71" t="str">
        <x:v>That route has moved.</x:v>
      </x:c>
      <x:c r="I841" s="71" t="str">
        <x:v>That route has moved.</x:v>
      </x:c>
      <x:c r="J841" s="73"/>
      <x:c r="K841" s="74" t="str">
        <x:f>IF(J841="",H841,IF(J841=I841,I841,J841))</x:f>
        <x:v>That route has moved.</x:v>
      </x:c>
      <x:c r="L841" s="74" t="str">
        <x:f>IF(J841="","Keep current",IF(J841=I841,"Use suggestion","Custom"))</x:f>
        <x:v>Keep current</x:v>
      </x:c>
      <x:c r="M841" s="71" t="str">
        <x:v>Pending review</x:v>
      </x:c>
      <x:c r="N841" s="71" t="str">
        <x:v>High</x:v>
      </x:c>
      <x:c r="O841" s="71" t="str">
        <x:v>app/journey/not-found.tsx</x:v>
      </x:c>
      <x:c r="P841" s="71" t="str">
        <x:v>JourneyNotFound:8</x:v>
      </x:c>
      <x:c r="Q841" s="71" t="str">
        <x:v>EN (default / shared)</x:v>
      </x:c>
      <x:c r="R841" s="71" t="str">
        <x:v>Already clear and direct; suggested wording intentionally keeps the current copy.</x:v>
      </x:c>
      <x:c r="S841" s="75" t="str">
        <x:v>Not applied — review required</x:v>
      </x:c>
    </x:row>
    <x:row r="842">
      <x:c r="A842" s="71" t="str">
        <x:v>MRV-A4A23E9C68</x:v>
      </x:c>
      <x:c r="B842" s="71" t="str">
        <x:v>System</x:v>
      </x:c>
      <x:c r="C842" s="71" t="str">
        <x:v>Shared recovery / system</x:v>
      </x:c>
      <x:c r="D842" s="71" t="str">
        <x:v>/journey</x:v>
      </x:c>
      <x:c r="E842" s="71" t="str">
        <x:v>JourneyNotFound</x:v>
      </x:c>
      <x:c r="F842" s="71" t="str">
        <x:v>System recovery</x:v>
      </x:c>
      <x:c r="G842" s="71" t="str">
        <x:v>Body copy</x:v>
      </x:c>
      <x:c r="H842" s="71" t="str">
        <x:v>Try one of the routes on the homepage, or start shaping a trip from scratch.</x:v>
      </x:c>
      <x:c r="I842" s="71" t="str">
        <x:v>Try one of the routes on the homepage, or start shaping a trip from scratch.</x:v>
      </x:c>
      <x:c r="J842" s="73"/>
      <x:c r="K842" s="74" t="str">
        <x:f>IF(J842="",H842,IF(J842=I842,I842,J842))</x:f>
        <x:v>Try one of the routes on the homepage, or start shaping a trip from scratch.</x:v>
      </x:c>
      <x:c r="L842" s="74" t="str">
        <x:f>IF(J842="","Keep current",IF(J842=I842,"Use suggestion","Custom"))</x:f>
        <x:v>Keep current</x:v>
      </x:c>
      <x:c r="M842" s="71" t="str">
        <x:v>Pending review</x:v>
      </x:c>
      <x:c r="N842" s="71" t="str">
        <x:v>High</x:v>
      </x:c>
      <x:c r="O842" s="71" t="str">
        <x:v>app/journey/not-found.tsx</x:v>
      </x:c>
      <x:c r="P842" s="71" t="str">
        <x:v>JourneyNotFound:9</x:v>
      </x:c>
      <x:c r="Q842" s="71" t="str">
        <x:v>EN (default / shared)</x:v>
      </x:c>
      <x:c r="R842" s="71" t="str">
        <x:v>Already clear and direct; suggested wording intentionally keeps the current copy. Terminology watch: ‘trip’ and ‘journey’ both describe the same plan. Terminology watch: ‘stops’, ‘destinations’ and ‘places’ overlap.</x:v>
      </x:c>
      <x:c r="S842" s="75" t="str">
        <x:v>Not applied — review required</x:v>
      </x:c>
    </x:row>
    <x:row r="843">
      <x:c r="A843" s="71" t="str">
        <x:v>MRV-76B9E70DA7</x:v>
      </x:c>
      <x:c r="B843" s="71" t="str">
        <x:v>System</x:v>
      </x:c>
      <x:c r="C843" s="71" t="str">
        <x:v>Shared recovery / system</x:v>
      </x:c>
      <x:c r="D843" s="71" t="str">
        <x:v>/journey</x:v>
      </x:c>
      <x:c r="E843" s="71" t="str">
        <x:v>JourneyNotFound</x:v>
      </x:c>
      <x:c r="F843" s="71" t="str">
        <x:v>System recovery</x:v>
      </x:c>
      <x:c r="G843" s="71" t="str">
        <x:v>CTA / button</x:v>
      </x:c>
      <x:c r="H843" s="71" t="str">
        <x:v>Explore Morrovia</x:v>
      </x:c>
      <x:c r="I843" s="71" t="str">
        <x:v>Explore Morrovia</x:v>
      </x:c>
      <x:c r="J843" s="73"/>
      <x:c r="K843" s="74" t="str">
        <x:f>IF(J843="",H843,IF(J843=I843,I843,J843))</x:f>
        <x:v>Explore Morrovia</x:v>
      </x:c>
      <x:c r="L843" s="74" t="str">
        <x:f>IF(J843="","Keep current",IF(J843=I843,"Use suggestion","Custom"))</x:f>
        <x:v>Keep current</x:v>
      </x:c>
      <x:c r="M843" s="71" t="str">
        <x:v>Pending review</x:v>
      </x:c>
      <x:c r="N843" s="71" t="str">
        <x:v>High</x:v>
      </x:c>
      <x:c r="O843" s="71" t="str">
        <x:v>app/journey/not-found.tsx</x:v>
      </x:c>
      <x:c r="P843" s="71" t="str">
        <x:v>JourneyNotFound:11</x:v>
      </x:c>
      <x:c r="Q843" s="71" t="str">
        <x:v>EN (default / shared)</x:v>
      </x:c>
      <x:c r="R843" s="71" t="str">
        <x:v>Already clear and direct; suggested wording intentionally keeps the current copy.</x:v>
      </x:c>
      <x:c r="S843" s="75" t="str">
        <x:v>Not applied — review required</x:v>
      </x:c>
    </x:row>
    <x:row r="844">
      <x:c r="A844" s="71" t="str">
        <x:v>MRV-41FC3CAE56</x:v>
      </x:c>
      <x:c r="B844" s="71" t="str">
        <x:v>System</x:v>
      </x:c>
      <x:c r="C844" s="71" t="str">
        <x:v>Shared recovery / system</x:v>
      </x:c>
      <x:c r="D844" s="71" t="str">
        <x:v>/journey</x:v>
      </x:c>
      <x:c r="E844" s="71" t="str">
        <x:v>JourneyNotFound</x:v>
      </x:c>
      <x:c r="F844" s="71" t="str">
        <x:v>System recovery</x:v>
      </x:c>
      <x:c r="G844" s="71" t="str">
        <x:v>CTA / button</x:v>
      </x:c>
      <x:c r="H844" s="71" t="str">
        <x:v>Start a trip</x:v>
      </x:c>
      <x:c r="I844" s="71" t="str">
        <x:v>Start a trip</x:v>
      </x:c>
      <x:c r="J844" s="73"/>
      <x:c r="K844" s="74" t="str">
        <x:f>IF(J844="",H844,IF(J844=I844,I844,J844))</x:f>
        <x:v>Start a trip</x:v>
      </x:c>
      <x:c r="L844" s="74" t="str">
        <x:f>IF(J844="","Keep current",IF(J844=I844,"Use suggestion","Custom"))</x:f>
        <x:v>Keep current</x:v>
      </x:c>
      <x:c r="M844" s="71" t="str">
        <x:v>Pending review</x:v>
      </x:c>
      <x:c r="N844" s="71" t="str">
        <x:v>High</x:v>
      </x:c>
      <x:c r="O844" s="71" t="str">
        <x:v>app/journey/not-found.tsx</x:v>
      </x:c>
      <x:c r="P844" s="71" t="str">
        <x:v>JourneyNotFound:12</x:v>
      </x:c>
      <x:c r="Q844" s="71" t="str">
        <x:v>EN (default / shared)</x:v>
      </x:c>
      <x:c r="R844" s="71" t="str">
        <x:v>Already clear and direct; suggested wording intentionally keeps the current copy. Duplicate wording: appears 3 times. Terminology watch: ‘trip’ and ‘journey’ both describe the same plan. Terminology watch: ‘stops’, ‘destinations’ and ‘places’ overlap.</x:v>
      </x:c>
      <x:c r="S844" s="75" t="str">
        <x:v>Not applied — review required</x:v>
      </x:c>
    </x:row>
    <x:row r="845">
      <x:c r="A845" s="71" t="str">
        <x:v>MRV-BF4042D638</x:v>
      </x:c>
      <x:c r="B845" s="71" t="str">
        <x:v>Travel utility</x:v>
      </x:c>
      <x:c r="C845" s="71" t="str">
        <x:v>Passport</x:v>
      </x:c>
      <x:c r="D845" s="71" t="str">
        <x:v>/journey/passport</x:v>
      </x:c>
      <x:c r="E845" s="71" t="str">
        <x:v>metadata</x:v>
      </x:c>
      <x:c r="F845" s="71" t="str">
        <x:v>Default</x:v>
      </x:c>
      <x:c r="G845" s="71" t="str">
        <x:v>Tooltip</x:v>
      </x:c>
      <x:c r="H845" s="71" t="str">
        <x:v>Passport to Destination · Morrovia</x:v>
      </x:c>
      <x:c r="I845" s="71" t="str">
        <x:v>Passport to Destination · Morrovia</x:v>
      </x:c>
      <x:c r="J845" s="73"/>
      <x:c r="K845" s="74" t="str">
        <x:f>IF(J845="",H845,IF(J845=I845,I845,J845))</x:f>
        <x:v>Passport to Destination · Morrovia</x:v>
      </x:c>
      <x:c r="L845" s="74" t="str">
        <x:f>IF(J845="","Keep current",IF(J845=I845,"Use suggestion","Custom"))</x:f>
        <x:v>Keep current</x:v>
      </x:c>
      <x:c r="M845" s="71" t="str">
        <x:v>Pending review</x:v>
      </x:c>
      <x:c r="N845" s="71" t="str">
        <x:v>High</x:v>
      </x:c>
      <x:c r="O845" s="71" t="str">
        <x:v>app/journey/passport/page.tsx</x:v>
      </x:c>
      <x:c r="P845" s="71" t="str">
        <x:v>metadata:4</x:v>
      </x:c>
      <x:c r="Q845" s="71" t="str">
        <x:v>EN (default / shared)</x:v>
      </x:c>
      <x:c r="R845" s="71" t="str">
        <x:v>Already clear and direct; suggested wording intentionally keeps the current copy. Terminology watch: ‘trip’ and ‘journey’ both describe the same plan. Terminology watch: ‘stops’, ‘destinations’ and ‘places’ overlap.</x:v>
      </x:c>
      <x:c r="S845" s="75" t="str">
        <x:v>Not applied — review required</x:v>
      </x:c>
    </x:row>
    <x:row r="846">
      <x:c r="A846" s="71" t="str">
        <x:v>MRV-4C28E90013</x:v>
      </x:c>
      <x:c r="B846" s="71" t="str">
        <x:v>Travel utility</x:v>
      </x:c>
      <x:c r="C846" s="71" t="str">
        <x:v>Passport</x:v>
      </x:c>
      <x:c r="D846" s="71" t="str">
        <x:v>/journey/passport/passport-destination-client</x:v>
      </x:c>
      <x:c r="E846" s="71" t="str">
        <x:v>copy</x:v>
      </x:c>
      <x:c r="F846" s="71" t="str">
        <x:v>Default</x:v>
      </x:c>
      <x:c r="G846" s="71" t="str">
        <x:v>Tooltip</x:v>
      </x:c>
      <x:c r="H846" s="71" t="str">
        <x:v>Check what to verify before you book.</x:v>
      </x:c>
      <x:c r="I846" s="71" t="str">
        <x:v>Check what to verify before you book.</x:v>
      </x:c>
      <x:c r="J846" s="73"/>
      <x:c r="K846" s="74" t="str">
        <x:f>IF(J846="",H846,IF(J846=I846,I846,J846))</x:f>
        <x:v>Check what to verify before you book.</x:v>
      </x:c>
      <x:c r="L846" s="74" t="str">
        <x:f>IF(J846="","Keep current",IF(J846=I846,"Use suggestion","Custom"))</x:f>
        <x:v>Keep current</x:v>
      </x:c>
      <x:c r="M846" s="71" t="str">
        <x:v>Pending review</x:v>
      </x:c>
      <x:c r="N846" s="71" t="str">
        <x:v>Normal</x:v>
      </x:c>
      <x:c r="O846" s="71" t="str">
        <x:v>app/journey/passport/passport-destination-client.tsx</x:v>
      </x:c>
      <x:c r="P846" s="71" t="str">
        <x:v>copy:42</x:v>
      </x:c>
      <x:c r="Q846" s="71" t="str">
        <x:v>EN (default / shared)</x:v>
      </x:c>
      <x:c r="R846" s="71" t="str">
        <x:v>Already clear and direct; suggested wording intentionally keeps the current copy.</x:v>
      </x:c>
      <x:c r="S846" s="75" t="str">
        <x:v>Not applied — review required</x:v>
      </x:c>
    </x:row>
    <x:row r="847">
      <x:c r="A847" s="71" t="str">
        <x:v>MRV-38075D9B35</x:v>
      </x:c>
      <x:c r="B847" s="71" t="str">
        <x:v>Travel utility</x:v>
      </x:c>
      <x:c r="C847" s="71" t="str">
        <x:v>Passport</x:v>
      </x:c>
      <x:c r="D847" s="71" t="str">
        <x:v>/journey/passport/passport-destination-client</x:v>
      </x:c>
      <x:c r="E847" s="71" t="str">
        <x:v>copy</x:v>
      </x:c>
      <x:c r="F847" s="71" t="str">
        <x:v>Default</x:v>
      </x:c>
      <x:c r="G847" s="71" t="str">
        <x:v>Tooltip</x:v>
      </x:c>
      <x:c r="H847" s="71" t="str">
        <x:v>Comprueba qué verificar antes de reservar.</x:v>
      </x:c>
      <x:c r="I847" s="71" t="str">
        <x:v>Comprueba qué verificar antes de reservar.</x:v>
      </x:c>
      <x:c r="J847" s="73"/>
      <x:c r="K847" s="74" t="str">
        <x:f>IF(J847="",H847,IF(J847=I847,I847,J847))</x:f>
        <x:v>Comprueba qué verificar antes de reservar.</x:v>
      </x:c>
      <x:c r="L847" s="74" t="str">
        <x:f>IF(J847="","Keep current",IF(J847=I847,"Use suggestion","Custom"))</x:f>
        <x:v>Keep current</x:v>
      </x:c>
      <x:c r="M847" s="71" t="str">
        <x:v>Pending review</x:v>
      </x:c>
      <x:c r="N847" s="71" t="str">
        <x:v>Normal</x:v>
      </x:c>
      <x:c r="O847" s="71" t="str">
        <x:v>app/journey/passport/passport-destination-client.tsx</x:v>
      </x:c>
      <x:c r="P847" s="71" t="str">
        <x:v>copy:51</x:v>
      </x:c>
      <x:c r="Q847" s="71" t="str">
        <x:v>EN (default / shared)</x:v>
      </x:c>
      <x:c r="R847" s="71" t="str">
        <x:v>Already clear and direct; suggested wording intentionally keeps the current copy.</x:v>
      </x:c>
      <x:c r="S847" s="75" t="str">
        <x:v>Not applied — review required</x:v>
      </x:c>
    </x:row>
    <x:row r="848">
      <x:c r="A848" s="71" t="str">
        <x:v>MRV-79D392B003</x:v>
      </x:c>
      <x:c r="B848" s="71" t="str">
        <x:v>Travel utility</x:v>
      </x:c>
      <x:c r="C848" s="71" t="str">
        <x:v>Passport</x:v>
      </x:c>
      <x:c r="D848" s="71" t="str">
        <x:v>/journey/passport/passport-destination-client</x:v>
      </x:c>
      <x:c r="E848" s="71" t="str">
        <x:v>PassportDestinationClient</x:v>
      </x:c>
      <x:c r="F848" s="71" t="str">
        <x:v>Default</x:v>
      </x:c>
      <x:c r="G848" s="71" t="str">
        <x:v>Label</x:v>
      </x:c>
      <x:c r="H848" s="71" t="str">
        <x:v>United Kingdom</x:v>
      </x:c>
      <x:c r="I848" s="71" t="str">
        <x:v>United Kingdom</x:v>
      </x:c>
      <x:c r="J848" s="73"/>
      <x:c r="K848" s="74" t="str">
        <x:f>IF(J848="",H848,IF(J848=I848,I848,J848))</x:f>
        <x:v>United Kingdom</x:v>
      </x:c>
      <x:c r="L848" s="74" t="str">
        <x:f>IF(J848="","Keep current",IF(J848=I848,"Use suggestion","Custom"))</x:f>
        <x:v>Keep current</x:v>
      </x:c>
      <x:c r="M848" s="71" t="str">
        <x:v>Pending review</x:v>
      </x:c>
      <x:c r="N848" s="71" t="str">
        <x:v>Normal</x:v>
      </x:c>
      <x:c r="O848" s="71" t="str">
        <x:v>app/journey/passport/passport-destination-client.tsx</x:v>
      </x:c>
      <x:c r="P848" s="71" t="str">
        <x:v>PassportDestinationClient:74</x:v>
      </x:c>
      <x:c r="Q848" s="71" t="str">
        <x:v>EN (default / shared)</x:v>
      </x:c>
      <x:c r="R848" s="71" t="str">
        <x:v>Already clear and direct; suggested wording intentionally keeps the current copy. Duplicate wording: appears 3 times.</x:v>
      </x:c>
      <x:c r="S848" s="75" t="str">
        <x:v>Not applied — review required</x:v>
      </x:c>
    </x:row>
    <x:row r="849">
      <x:c r="A849" s="71" t="str">
        <x:v>MRV-EC635C3585</x:v>
      </x:c>
      <x:c r="B849" s="71" t="str">
        <x:v>Travel utility</x:v>
      </x:c>
      <x:c r="C849" s="71" t="str">
        <x:v>Passport</x:v>
      </x:c>
      <x:c r="D849" s="71" t="str">
        <x:v>/journey/passport/passport-destination-client</x:v>
      </x:c>
      <x:c r="E849" s="71" t="str">
        <x:v>PassportDestinationClient</x:v>
      </x:c>
      <x:c r="F849" s="71" t="str">
        <x:v>Default</x:v>
      </x:c>
      <x:c r="G849" s="71" t="str">
        <x:v>Label</x:v>
      </x:c>
      <x:c r="H849" s="71" t="str">
        <x:v>Guatemala</x:v>
      </x:c>
      <x:c r="I849" s="71" t="str">
        <x:v>Guatemala</x:v>
      </x:c>
      <x:c r="J849" s="73"/>
      <x:c r="K849" s="74" t="str">
        <x:f>IF(J849="",H849,IF(J849=I849,I849,J849))</x:f>
        <x:v>Guatemala</x:v>
      </x:c>
      <x:c r="L849" s="74" t="str">
        <x:f>IF(J849="","Keep current",IF(J849=I849,"Use suggestion","Custom"))</x:f>
        <x:v>Keep current</x:v>
      </x:c>
      <x:c r="M849" s="71" t="str">
        <x:v>Pending review</x:v>
      </x:c>
      <x:c r="N849" s="71" t="str">
        <x:v>Normal</x:v>
      </x:c>
      <x:c r="O849" s="71" t="str">
        <x:v>app/journey/passport/passport-destination-client.tsx</x:v>
      </x:c>
      <x:c r="P849" s="71" t="str">
        <x:v>PassportDestinationClient:75</x:v>
      </x:c>
      <x:c r="Q849" s="71" t="str">
        <x:v>EN (default / shared)</x:v>
      </x:c>
      <x:c r="R849" s="71" t="str">
        <x:v>Already clear and direct; suggested wording intentionally keeps the current copy. Duplicate wording: appears 3 times.</x:v>
      </x:c>
      <x:c r="S849" s="75" t="str">
        <x:v>Not applied — review required</x:v>
      </x:c>
    </x:row>
    <x:row r="850">
      <x:c r="A850" s="71" t="str">
        <x:v>MRV-A075F1613A</x:v>
      </x:c>
      <x:c r="B850" s="71" t="str">
        <x:v>Travel utility</x:v>
      </x:c>
      <x:c r="C850" s="71" t="str">
        <x:v>Passport</x:v>
      </x:c>
      <x:c r="D850" s="71" t="str">
        <x:v>/journey/passport/passport-destination-client</x:v>
      </x:c>
      <x:c r="E850" s="71" t="str">
        <x:v>checkDestination</x:v>
      </x:c>
      <x:c r="F850" s="71" t="str">
        <x:v>Failure / recovery</x:v>
      </x:c>
      <x:c r="G850" s="71" t="str">
        <x:v>Body copy</x:v>
      </x:c>
      <x:c r="H850" s="71" t="str">
        <x:v>Passport requirements unavailable</x:v>
      </x:c>
      <x:c r="I850" s="71" t="str">
        <x:v>Passport requirements unavailable</x:v>
      </x:c>
      <x:c r="J850" s="73"/>
      <x:c r="K850" s="74" t="str">
        <x:f>IF(J850="",H850,IF(J850=I850,I850,J850))</x:f>
        <x:v>Passport requirements unavailable</x:v>
      </x:c>
      <x:c r="L850" s="74" t="str">
        <x:f>IF(J850="","Keep current",IF(J850=I850,"Use suggestion","Custom"))</x:f>
        <x:v>Keep current</x:v>
      </x:c>
      <x:c r="M850" s="71" t="str">
        <x:v>Pending review</x:v>
      </x:c>
      <x:c r="N850" s="71" t="str">
        <x:v>High</x:v>
      </x:c>
      <x:c r="O850" s="71" t="str">
        <x:v>app/journey/passport/passport-destination-client.tsx</x:v>
      </x:c>
      <x:c r="P850" s="71" t="str">
        <x:v>checkDestination:137</x:v>
      </x:c>
      <x:c r="Q850" s="71" t="str">
        <x:v>EN (default / shared)</x:v>
      </x:c>
      <x:c r="R850" s="71" t="str">
        <x:v>Already clear and direct; suggested wording intentionally keeps the current copy.</x:v>
      </x:c>
      <x:c r="S850" s="75" t="str">
        <x:v>Not applied — review required</x:v>
      </x:c>
    </x:row>
    <x:row r="851">
      <x:c r="A851" s="71" t="str">
        <x:v>MRV-1CF474E91C</x:v>
      </x:c>
      <x:c r="B851" s="71" t="str">
        <x:v>Travel utility</x:v>
      </x:c>
      <x:c r="C851" s="71" t="str">
        <x:v>Passport</x:v>
      </x:c>
      <x:c r="D851" s="71" t="str">
        <x:v>/journey/passport/passport-destination-client</x:v>
      </x:c>
      <x:c r="E851" s="71" t="str">
        <x:v>PassportDestinationClient</x:v>
      </x:c>
      <x:c r="F851" s="71" t="str">
        <x:v>Accessibility / input support</x:v>
      </x:c>
      <x:c r="G851" s="71" t="str">
        <x:v>Accessibility label</x:v>
      </x:c>
      <x:c r="H851" s="71" t="str">
        <x:v>Confianza y privacidad</x:v>
      </x:c>
      <x:c r="I851" s="71" t="str">
        <x:v>Confianza y privacidad</x:v>
      </x:c>
      <x:c r="J851" s="73"/>
      <x:c r="K851" s="74" t="str">
        <x:f>IF(J851="",H851,IF(J851=I851,I851,J851))</x:f>
        <x:v>Confianza y privacidad</x:v>
      </x:c>
      <x:c r="L851" s="74" t="str">
        <x:f>IF(J851="","Keep current",IF(J851=I851,"Use suggestion","Custom"))</x:f>
        <x:v>Keep current</x:v>
      </x:c>
      <x:c r="M851" s="71" t="str">
        <x:v>Pending review</x:v>
      </x:c>
      <x:c r="N851" s="71" t="str">
        <x:v>Medium</x:v>
      </x:c>
      <x:c r="O851" s="71" t="str">
        <x:v>app/journey/passport/passport-destination-client.tsx</x:v>
      </x:c>
      <x:c r="P851" s="71" t="str">
        <x:v>PassportDestinationClient:211</x:v>
      </x:c>
      <x:c r="Q851" s="71" t="str">
        <x:v>ES</x:v>
      </x:c>
      <x:c r="R851" s="71" t="str">
        <x:v>Already clear and direct; suggested wording intentionally keeps the current copy.</x:v>
      </x:c>
      <x:c r="S851" s="75" t="str">
        <x:v>Not applied — review required</x:v>
      </x:c>
    </x:row>
    <x:row r="852">
      <x:c r="A852" s="71" t="str">
        <x:v>MRV-E31859D7D3</x:v>
      </x:c>
      <x:c r="B852" s="71" t="str">
        <x:v>Travel utility</x:v>
      </x:c>
      <x:c r="C852" s="71" t="str">
        <x:v>Passport</x:v>
      </x:c>
      <x:c r="D852" s="71" t="str">
        <x:v>/journey/passport/passport-destination-client</x:v>
      </x:c>
      <x:c r="E852" s="71" t="str">
        <x:v>PassportDestinationClient</x:v>
      </x:c>
      <x:c r="F852" s="71" t="str">
        <x:v>Accessibility / input support</x:v>
      </x:c>
      <x:c r="G852" s="71" t="str">
        <x:v>Accessibility label</x:v>
      </x:c>
      <x:c r="H852" s="71" t="str">
        <x:v>Trust and privacy</x:v>
      </x:c>
      <x:c r="I852" s="71" t="str">
        <x:v>Trust and privacy</x:v>
      </x:c>
      <x:c r="J852" s="73"/>
      <x:c r="K852" s="74" t="str">
        <x:f>IF(J852="",H852,IF(J852=I852,I852,J852))</x:f>
        <x:v>Trust and privacy</x:v>
      </x:c>
      <x:c r="L852" s="74" t="str">
        <x:f>IF(J852="","Keep current",IF(J852=I852,"Use suggestion","Custom"))</x:f>
        <x:v>Keep current</x:v>
      </x:c>
      <x:c r="M852" s="71" t="str">
        <x:v>Pending review</x:v>
      </x:c>
      <x:c r="N852" s="71" t="str">
        <x:v>High</x:v>
      </x:c>
      <x:c r="O852" s="71" t="str">
        <x:v>app/journey/passport/passport-destination-client.tsx</x:v>
      </x:c>
      <x:c r="P852" s="71" t="str">
        <x:v>PassportDestinationClient:211</x:v>
      </x:c>
      <x:c r="Q852" s="71" t="str">
        <x:v>EN</x:v>
      </x:c>
      <x:c r="R852" s="71" t="str">
        <x:v>Already clear and direct; suggested wording intentionally keeps the current copy.</x:v>
      </x:c>
      <x:c r="S852" s="75" t="str">
        <x:v>Not applied — review required</x:v>
      </x:c>
    </x:row>
    <x:row r="853">
      <x:c r="A853" s="71" t="str">
        <x:v>MRV-247094BB06</x:v>
      </x:c>
      <x:c r="B853" s="71" t="str">
        <x:v>Legacy</x:v>
      </x:c>
      <x:c r="C853" s="71" t="str">
        <x:v>Plan next</x:v>
      </x:c>
      <x:c r="D853" s="71" t="str">
        <x:v>/journey/plan-next/map-plan-next</x:v>
      </x:c>
      <x:c r="E853" s="71" t="str">
        <x:v>formatDate</x:v>
      </x:c>
      <x:c r="F853" s="71" t="str">
        <x:v>Default</x:v>
      </x:c>
      <x:c r="G853" s="71" t="str">
        <x:v>Label</x:v>
      </x:c>
      <x:c r="H853" s="71" t="str">
        <x:v>{value}T00:00:00</x:v>
      </x:c>
      <x:c r="I853" s="71" t="str">
        <x:v>{value}T00:00:00</x:v>
      </x:c>
      <x:c r="J853" s="73"/>
      <x:c r="K853" s="74" t="str">
        <x:f>IF(J853="",H853,IF(J853=I853,I853,J853))</x:f>
        <x:v>{value}T00:00:00</x:v>
      </x:c>
      <x:c r="L853" s="74" t="str">
        <x:f>IF(J853="","Keep current",IF(J853=I853,"Use suggestion","Custom"))</x:f>
        <x:v>Keep current</x:v>
      </x:c>
      <x:c r="M853" s="71" t="str">
        <x:v>Pending review</x:v>
      </x:c>
      <x:c r="N853" s="71" t="str">
        <x:v>Normal</x:v>
      </x:c>
      <x:c r="O853" s="71" t="str">
        <x:v>app/journey/plan-next/map-plan-next.tsx</x:v>
      </x:c>
      <x:c r="P853" s="71" t="str">
        <x:v>formatDate:21</x:v>
      </x:c>
      <x:c r="Q853" s="71" t="str">
        <x:v>EN (default / shared)</x:v>
      </x:c>
      <x:c r="R853" s="71" t="str">
        <x:v>Already clear and direct; suggested wording intentionally keeps the current copy. Duplicate wording: appears 2 times. Dynamic traveller or trip value is represented as a token; user-generated values are excluded.</x:v>
      </x:c>
      <x:c r="S853" s="75" t="str">
        <x:v>Not applied — review required</x:v>
      </x:c>
    </x:row>
    <x:row r="854">
      <x:c r="A854" s="71" t="str">
        <x:v>MRV-38682F033A</x:v>
      </x:c>
      <x:c r="B854" s="71" t="str">
        <x:v>Legacy</x:v>
      </x:c>
      <x:c r="C854" s="71" t="str">
        <x:v>Plan next</x:v>
      </x:c>
      <x:c r="D854" s="71" t="str">
        <x:v>/journey/plan-next/map-plan-next</x:v>
      </x:c>
      <x:c r="E854" s="71" t="str">
        <x:v>formatDuration</x:v>
      </x:c>
      <x:c r="F854" s="71" t="str">
        <x:v>Default</x:v>
      </x:c>
      <x:c r="G854" s="71" t="str">
        <x:v>Label</x:v>
      </x:c>
      <x:c r="H854" s="71" t="str">
        <x:v>Timing to confirm</x:v>
      </x:c>
      <x:c r="I854" s="71" t="str">
        <x:v>Timing to confirm</x:v>
      </x:c>
      <x:c r="J854" s="73"/>
      <x:c r="K854" s="74" t="str">
        <x:f>IF(J854="",H854,IF(J854=I854,I854,J854))</x:f>
        <x:v>Timing to confirm</x:v>
      </x:c>
      <x:c r="L854" s="74" t="str">
        <x:f>IF(J854="","Keep current",IF(J854=I854,"Use suggestion","Custom"))</x:f>
        <x:v>Keep current</x:v>
      </x:c>
      <x:c r="M854" s="71" t="str">
        <x:v>Pending review</x:v>
      </x:c>
      <x:c r="N854" s="71" t="str">
        <x:v>Normal</x:v>
      </x:c>
      <x:c r="O854" s="71" t="str">
        <x:v>app/journey/plan-next/map-plan-next.tsx</x:v>
      </x:c>
      <x:c r="P854" s="71" t="str">
        <x:v>formatDuration:25</x:v>
      </x:c>
      <x:c r="Q854" s="71" t="str">
        <x:v>EN (default / shared)</x:v>
      </x:c>
      <x:c r="R854" s="71" t="str">
        <x:v>Already clear and direct; suggested wording intentionally keeps the current copy.</x:v>
      </x:c>
      <x:c r="S854" s="75" t="str">
        <x:v>Not applied — review required</x:v>
      </x:c>
    </x:row>
    <x:row r="855">
      <x:c r="A855" s="71" t="str">
        <x:v>MRV-D04F57B0C7</x:v>
      </x:c>
      <x:c r="B855" s="71" t="str">
        <x:v>Legacy</x:v>
      </x:c>
      <x:c r="C855" s="71" t="str">
        <x:v>Plan next</x:v>
      </x:c>
      <x:c r="D855" s="71" t="str">
        <x:v>/journey/plan-next/map-plan-next</x:v>
      </x:c>
      <x:c r="E855" s="71" t="str">
        <x:v>formatDuration</x:v>
      </x:c>
      <x:c r="F855" s="71" t="str">
        <x:v>Default</x:v>
      </x:c>
      <x:c r="G855" s="71" t="str">
        <x:v>Body copy</x:v>
      </x:c>
      <x:c r="H855" s="71" t="str">
        <x:v>{hours ? `{hours}h ` : ""}{remainder ? `{remainder}m` : ""}</x:v>
      </x:c>
      <x:c r="I855" s="71" t="str">
        <x:v>{hours ? `{hours}h ` : ""}{remainder ? `{remainder}m` : ""}</x:v>
      </x:c>
      <x:c r="J855" s="73"/>
      <x:c r="K855" s="74" t="str">
        <x:f>IF(J855="",H855,IF(J855=I855,I855,J855))</x:f>
        <x:v>{hours ? `{hours}h ` : ""}{remainder ? `{remainder}m` : ""}</x:v>
      </x:c>
      <x:c r="L855" s="74" t="str">
        <x:f>IF(J855="","Keep current",IF(J855=I855,"Use suggestion","Custom"))</x:f>
        <x:v>Keep current</x:v>
      </x:c>
      <x:c r="M855" s="71" t="str">
        <x:v>Pending review</x:v>
      </x:c>
      <x:c r="N855" s="71" t="str">
        <x:v>Normal</x:v>
      </x:c>
      <x:c r="O855" s="71" t="str">
        <x:v>app/journey/plan-next/map-plan-next.tsx</x:v>
      </x:c>
      <x:c r="P855" s="71" t="str">
        <x:v>formatDuration:28</x:v>
      </x:c>
      <x:c r="Q855" s="71" t="str">
        <x:v>EN (default / shared)</x:v>
      </x:c>
      <x:c r="R855" s="71" t="str">
        <x:v>Already clear and direct; suggested wording intentionally keeps the current copy. Dynamic traveller or trip value is represented as a token; user-generated values are excluded.</x:v>
      </x:c>
      <x:c r="S855" s="75" t="str">
        <x:v>Not applied — review required</x:v>
      </x:c>
    </x:row>
    <x:row r="856">
      <x:c r="A856" s="71" t="str">
        <x:v>MRV-14E845B83D</x:v>
      </x:c>
      <x:c r="B856" s="71" t="str">
        <x:v>Legacy</x:v>
      </x:c>
      <x:c r="C856" s="71" t="str">
        <x:v>Plan next</x:v>
      </x:c>
      <x:c r="D856" s="71" t="str">
        <x:v>/journey/plan-next/map-plan-next</x:v>
      </x:c>
      <x:c r="E856" s="71" t="str">
        <x:v>formatDuration</x:v>
      </x:c>
      <x:c r="F856" s="71" t="str">
        <x:v>Default</x:v>
      </x:c>
      <x:c r="G856" s="71" t="str">
        <x:v>Label</x:v>
      </x:c>
      <x:c r="H856" s="71" t="str">
        <x:v>{hours}h</x:v>
      </x:c>
      <x:c r="I856" s="71" t="str">
        <x:v>{hours}h</x:v>
      </x:c>
      <x:c r="J856" s="73"/>
      <x:c r="K856" s="74" t="str">
        <x:f>IF(J856="",H856,IF(J856=I856,I856,J856))</x:f>
        <x:v>{hours}h</x:v>
      </x:c>
      <x:c r="L856" s="74" t="str">
        <x:f>IF(J856="","Keep current",IF(J856=I856,"Use suggestion","Custom"))</x:f>
        <x:v>Keep current</x:v>
      </x:c>
      <x:c r="M856" s="71" t="str">
        <x:v>Pending review</x:v>
      </x:c>
      <x:c r="N856" s="71" t="str">
        <x:v>Normal</x:v>
      </x:c>
      <x:c r="O856" s="71" t="str">
        <x:v>app/journey/plan-next/map-plan-next.tsx</x:v>
      </x:c>
      <x:c r="P856" s="71" t="str">
        <x:v>formatDuration:28</x:v>
      </x:c>
      <x:c r="Q856" s="71" t="str">
        <x:v>EN (default / shared)</x:v>
      </x:c>
      <x:c r="R856" s="71" t="str">
        <x:v>Already clear and direct; suggested wording intentionally keeps the current copy. Dynamic traveller or trip value is represented as a token; user-generated values are excluded.</x:v>
      </x:c>
      <x:c r="S856" s="75" t="str">
        <x:v>Not applied — review required</x:v>
      </x:c>
    </x:row>
    <x:row r="857">
      <x:c r="A857" s="71" t="str">
        <x:v>MRV-30089C8688</x:v>
      </x:c>
      <x:c r="B857" s="71" t="str">
        <x:v>Legacy</x:v>
      </x:c>
      <x:c r="C857" s="71" t="str">
        <x:v>Plan next</x:v>
      </x:c>
      <x:c r="D857" s="71" t="str">
        <x:v>/journey/plan-next/map-plan-next</x:v>
      </x:c>
      <x:c r="E857" s="71" t="str">
        <x:v>formatDuration</x:v>
      </x:c>
      <x:c r="F857" s="71" t="str">
        <x:v>Default</x:v>
      </x:c>
      <x:c r="G857" s="71" t="str">
        <x:v>Label</x:v>
      </x:c>
      <x:c r="H857" s="71" t="str">
        <x:v>{remainder}m</x:v>
      </x:c>
      <x:c r="I857" s="71" t="str">
        <x:v>{remainder}m</x:v>
      </x:c>
      <x:c r="J857" s="73"/>
      <x:c r="K857" s="74" t="str">
        <x:f>IF(J857="",H857,IF(J857=I857,I857,J857))</x:f>
        <x:v>{remainder}m</x:v>
      </x:c>
      <x:c r="L857" s="74" t="str">
        <x:f>IF(J857="","Keep current",IF(J857=I857,"Use suggestion","Custom"))</x:f>
        <x:v>Keep current</x:v>
      </x:c>
      <x:c r="M857" s="71" t="str">
        <x:v>Pending review</x:v>
      </x:c>
      <x:c r="N857" s="71" t="str">
        <x:v>Normal</x:v>
      </x:c>
      <x:c r="O857" s="71" t="str">
        <x:v>app/journey/plan-next/map-plan-next.tsx</x:v>
      </x:c>
      <x:c r="P857" s="71" t="str">
        <x:v>formatDuration:28</x:v>
      </x:c>
      <x:c r="Q857" s="71" t="str">
        <x:v>EN (default / shared)</x:v>
      </x:c>
      <x:c r="R857" s="71" t="str">
        <x:v>Already clear and direct; suggested wording intentionally keeps the current copy. Dynamic traveller or trip value is represented as a token; user-generated values are excluded.</x:v>
      </x:c>
      <x:c r="S857" s="75" t="str">
        <x:v>Not applied — review required</x:v>
      </x:c>
    </x:row>
    <x:row r="858">
      <x:c r="A858" s="71" t="str">
        <x:v>MRV-D9FB6A3D40</x:v>
      </x:c>
      <x:c r="B858" s="71" t="str">
        <x:v>Legacy</x:v>
      </x:c>
      <x:c r="C858" s="71" t="str">
        <x:v>Plan next</x:v>
      </x:c>
      <x:c r="D858" s="71" t="str">
        <x:v>/journey/plan-next/map-plan-next</x:v>
      </x:c>
      <x:c r="E858" s="71" t="str">
        <x:v>legs</x:v>
      </x:c>
      <x:c r="F858" s="71" t="str">
        <x:v>Default</x:v>
      </x:c>
      <x:c r="G858" s="71" t="str">
        <x:v>Body copy</x:v>
      </x:c>
      <x:c r="H858" s="71" t="str">
        <x:v>{stopById.get(leg.fromStopId)?.city ?? "Previous stop"} → {stopById.get(leg.toStopId)?.city ?? "Next stop"}</x:v>
      </x:c>
      <x:c r="I858" s="71" t="str">
        <x:v>{stopById.get(leg.fromStopId)?.city ?? "Previous stop"} → {stopById.get(leg.toStopId)?.city ?? "Next stop"}</x:v>
      </x:c>
      <x:c r="J858" s="73"/>
      <x:c r="K858" s="74" t="str">
        <x:f>IF(J858="",H858,IF(J858=I858,I858,J858))</x:f>
        <x:v>{stopById.get(leg.fromStopId)?.city ?? "Previous stop"} → {stopById.get(leg.toStopId)?.city ?? "Next stop"}</x:v>
      </x:c>
      <x:c r="L858" s="74" t="str">
        <x:f>IF(J858="","Keep current",IF(J858=I858,"Use suggestion","Custom"))</x:f>
        <x:v>Keep current</x:v>
      </x:c>
      <x:c r="M858" s="71" t="str">
        <x:v>Pending review</x:v>
      </x:c>
      <x:c r="N858" s="71" t="str">
        <x:v>Normal</x:v>
      </x:c>
      <x:c r="O858" s="71" t="str">
        <x:v>app/journey/plan-next/map-plan-next.tsx</x:v>
      </x:c>
      <x:c r="P858" s="71" t="str">
        <x:v>legs:51</x:v>
      </x:c>
      <x:c r="Q858" s="71" t="str">
        <x:v>EN (default / shared)</x:v>
      </x:c>
      <x:c r="R85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858" s="75" t="str">
        <x:v>Not applied — review required</x:v>
      </x:c>
    </x:row>
    <x:row r="859">
      <x:c r="A859" s="71" t="str">
        <x:v>MRV-C1A2035793</x:v>
      </x:c>
      <x:c r="B859" s="71" t="str">
        <x:v>Legacy</x:v>
      </x:c>
      <x:c r="C859" s="71" t="str">
        <x:v>Plan next</x:v>
      </x:c>
      <x:c r="D859" s="71" t="str">
        <x:v>/journey/plan-next/map-plan-next</x:v>
      </x:c>
      <x:c r="E859" s="71" t="str">
        <x:v>legs</x:v>
      </x:c>
      <x:c r="F859" s="71" t="str">
        <x:v>Default</x:v>
      </x:c>
      <x:c r="G859" s="71" t="str">
        <x:v>Label</x:v>
      </x:c>
      <x:c r="H859" s="71" t="str">
        <x:v>Previous stop</x:v>
      </x:c>
      <x:c r="I859" s="71" t="str">
        <x:v>Previous stop</x:v>
      </x:c>
      <x:c r="J859" s="73"/>
      <x:c r="K859" s="74" t="str">
        <x:f>IF(J859="",H859,IF(J859=I859,I859,J859))</x:f>
        <x:v>Previous stop</x:v>
      </x:c>
      <x:c r="L859" s="74" t="str">
        <x:f>IF(J859="","Keep current",IF(J859=I859,"Use suggestion","Custom"))</x:f>
        <x:v>Keep current</x:v>
      </x:c>
      <x:c r="M859" s="71" t="str">
        <x:v>Pending review</x:v>
      </x:c>
      <x:c r="N859" s="71" t="str">
        <x:v>Normal</x:v>
      </x:c>
      <x:c r="O859" s="71" t="str">
        <x:v>app/journey/plan-next/map-plan-next.tsx</x:v>
      </x:c>
      <x:c r="P859" s="71" t="str">
        <x:v>legs:51</x:v>
      </x:c>
      <x:c r="Q859" s="71" t="str">
        <x:v>EN (default / shared)</x:v>
      </x:c>
      <x:c r="R859" s="71" t="str">
        <x:v>Already clear and direct; suggested wording intentionally keeps the current copy. Terminology watch: ‘trip’ and ‘journey’ both describe the same plan. Terminology watch: ‘stops’, ‘destinations’ and ‘places’ overlap.</x:v>
      </x:c>
      <x:c r="S859" s="75" t="str">
        <x:v>Not applied — review required</x:v>
      </x:c>
    </x:row>
    <x:row r="860">
      <x:c r="A860" s="71" t="str">
        <x:v>MRV-33B424824A</x:v>
      </x:c>
      <x:c r="B860" s="71" t="str">
        <x:v>Legacy</x:v>
      </x:c>
      <x:c r="C860" s="71" t="str">
        <x:v>Plan next</x:v>
      </x:c>
      <x:c r="D860" s="71" t="str">
        <x:v>/journey/plan-next/map-plan-next</x:v>
      </x:c>
      <x:c r="E860" s="71" t="str">
        <x:v>legs</x:v>
      </x:c>
      <x:c r="F860" s="71" t="str">
        <x:v>Default</x:v>
      </x:c>
      <x:c r="G860" s="71" t="str">
        <x:v>Label</x:v>
      </x:c>
      <x:c r="H860" s="71" t="str">
        <x:v>Next stop</x:v>
      </x:c>
      <x:c r="I860" s="71" t="str">
        <x:v>Next stop</x:v>
      </x:c>
      <x:c r="J860" s="73"/>
      <x:c r="K860" s="74" t="str">
        <x:f>IF(J860="",H860,IF(J860=I860,I860,J860))</x:f>
        <x:v>Next stop</x:v>
      </x:c>
      <x:c r="L860" s="74" t="str">
        <x:f>IF(J860="","Keep current",IF(J860=I860,"Use suggestion","Custom"))</x:f>
        <x:v>Keep current</x:v>
      </x:c>
      <x:c r="M860" s="71" t="str">
        <x:v>Pending review</x:v>
      </x:c>
      <x:c r="N860" s="71" t="str">
        <x:v>Normal</x:v>
      </x:c>
      <x:c r="O860" s="71" t="str">
        <x:v>app/journey/plan-next/map-plan-next.tsx</x:v>
      </x:c>
      <x:c r="P860" s="71" t="str">
        <x:v>legs:51</x:v>
      </x:c>
      <x:c r="Q860" s="71" t="str">
        <x:v>EN (default / shared)</x:v>
      </x:c>
      <x:c r="R860" s="71" t="str">
        <x:v>Already clear and direct; suggested wording intentionally keeps the current copy. Terminology watch: ‘trip’ and ‘journey’ both describe the same plan. Terminology watch: ‘stops’, ‘destinations’ and ‘places’ overlap.</x:v>
      </x:c>
      <x:c r="S860" s="75" t="str">
        <x:v>Not applied — review required</x:v>
      </x:c>
    </x:row>
    <x:row r="861">
      <x:c r="A861" s="71" t="str">
        <x:v>MRV-3C3C29E0E9</x:v>
      </x:c>
      <x:c r="B861" s="71" t="str">
        <x:v>Legacy</x:v>
      </x:c>
      <x:c r="C861" s="71" t="str">
        <x:v>Plan next</x:v>
      </x:c>
      <x:c r="D861" s="71" t="str">
        <x:v>/journey/plan-next/map-plan-next</x:v>
      </x:c>
      <x:c r="E861" s="71" t="str">
        <x:v>currentHref</x:v>
      </x:c>
      <x:c r="F861" s="71" t="str">
        <x:v>Default</x:v>
      </x:c>
      <x:c r="G861" s="71" t="str">
        <x:v>Body copy</x:v>
      </x:c>
      <x:c r="H861" s="71" t="str">
        <x:v>?trip={encodeURIComponent(trip.id)}</x:v>
      </x:c>
      <x:c r="I861" s="71" t="str">
        <x:v>?trip={encodeURIComponent(trip.id)}</x:v>
      </x:c>
      <x:c r="J861" s="73"/>
      <x:c r="K861" s="74" t="str">
        <x:f>IF(J861="",H861,IF(J861=I861,I861,J861))</x:f>
        <x:v>?trip={encodeURIComponent(trip.id)}</x:v>
      </x:c>
      <x:c r="L861" s="74" t="str">
        <x:f>IF(J861="","Keep current",IF(J861=I861,"Use suggestion","Custom"))</x:f>
        <x:v>Keep current</x:v>
      </x:c>
      <x:c r="M861" s="71" t="str">
        <x:v>Pending review</x:v>
      </x:c>
      <x:c r="N861" s="71" t="str">
        <x:v>Normal</x:v>
      </x:c>
      <x:c r="O861" s="71" t="str">
        <x:v>app/journey/plan-next/map-plan-next.tsx</x:v>
      </x:c>
      <x:c r="P861" s="71" t="str">
        <x:v>currentHref:132</x:v>
      </x:c>
      <x:c r="Q861" s="71" t="str">
        <x:v>EN (default / shared)</x:v>
      </x:c>
      <x:c r="R861"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861" s="75" t="str">
        <x:v>Not applied — review required</x:v>
      </x:c>
    </x:row>
    <x:row r="862">
      <x:c r="A862" s="71" t="str">
        <x:v>MRV-113A96AA51</x:v>
      </x:c>
      <x:c r="B862" s="71" t="str">
        <x:v>Legacy</x:v>
      </x:c>
      <x:c r="C862" s="71" t="str">
        <x:v>Plan next</x:v>
      </x:c>
      <x:c r="D862" s="71" t="str">
        <x:v>/journey/plan-next/map-plan-next</x:v>
      </x:c>
      <x:c r="E862" s="71" t="str">
        <x:v>MapPlanNext</x:v>
      </x:c>
      <x:c r="F862" s="71" t="str">
        <x:v>Default</x:v>
      </x:c>
      <x:c r="G862" s="71" t="str">
        <x:v>CTA / button</x:v>
      </x:c>
      <x:c r="H862" s="71" t="str">
        <x:v>Open a trip first.</x:v>
      </x:c>
      <x:c r="I862" s="71" t="str">
        <x:v>Open a trip first.</x:v>
      </x:c>
      <x:c r="J862" s="73"/>
      <x:c r="K862" s="74" t="str">
        <x:f>IF(J862="",H862,IF(J862=I862,I862,J862))</x:f>
        <x:v>Open a trip first.</x:v>
      </x:c>
      <x:c r="L862" s="74" t="str">
        <x:f>IF(J862="","Keep current",IF(J862=I862,"Use suggestion","Custom"))</x:f>
        <x:v>Keep current</x:v>
      </x:c>
      <x:c r="M862" s="71" t="str">
        <x:v>Pending review</x:v>
      </x:c>
      <x:c r="N862" s="71" t="str">
        <x:v>Medium</x:v>
      </x:c>
      <x:c r="O862" s="71" t="str">
        <x:v>app/journey/plan-next/map-plan-next.tsx</x:v>
      </x:c>
      <x:c r="P862" s="71" t="str">
        <x:v>MapPlanNext:142</x:v>
      </x:c>
      <x:c r="Q862" s="71" t="str">
        <x:v>EN (default / shared)</x:v>
      </x:c>
      <x:c r="R862" s="71" t="str">
        <x:v>Already clear and direct; suggested wording intentionally keeps the current copy. Terminology watch: ‘trip’ and ‘journey’ both describe the same plan. Terminology watch: ‘stops’, ‘destinations’ and ‘places’ overlap.</x:v>
      </x:c>
      <x:c r="S862" s="75" t="str">
        <x:v>Not applied — review required</x:v>
      </x:c>
    </x:row>
    <x:row r="863">
      <x:c r="A863" s="71" t="str">
        <x:v>MRV-9DB567F088</x:v>
      </x:c>
      <x:c r="B863" s="71" t="str">
        <x:v>Legacy</x:v>
      </x:c>
      <x:c r="C863" s="71" t="str">
        <x:v>Plan next</x:v>
      </x:c>
      <x:c r="D863" s="71" t="str">
        <x:v>/journey/plan-next/map-plan-next</x:v>
      </x:c>
      <x:c r="E863" s="71" t="str">
        <x:v>MapPlanNext</x:v>
      </x:c>
      <x:c r="F863" s="71" t="str">
        <x:v>Default</x:v>
      </x:c>
      <x:c r="G863" s="71" t="str">
        <x:v>Body copy</x:v>
      </x:c>
      <x:c r="H863" s="71" t="str">
        <x:v>This comparison view reads the same saved plan as the current map planner.</x:v>
      </x:c>
      <x:c r="I863" s="71" t="str">
        <x:v>This comparison view reads the same saved plan as the current map planner.</x:v>
      </x:c>
      <x:c r="J863" s="73"/>
      <x:c r="K863" s="74" t="str">
        <x:f>IF(J863="",H863,IF(J863=I863,I863,J863))</x:f>
        <x:v>This comparison view reads the same saved plan as the current map planner.</x:v>
      </x:c>
      <x:c r="L863" s="74" t="str">
        <x:f>IF(J863="","Keep current",IF(J863=I863,"Use suggestion","Custom"))</x:f>
        <x:v>Keep current</x:v>
      </x:c>
      <x:c r="M863" s="71" t="str">
        <x:v>Pending review</x:v>
      </x:c>
      <x:c r="N863" s="71" t="str">
        <x:v>Normal</x:v>
      </x:c>
      <x:c r="O863" s="71" t="str">
        <x:v>app/journey/plan-next/map-plan-next.tsx</x:v>
      </x:c>
      <x:c r="P863" s="71" t="str">
        <x:v>MapPlanNext:142</x:v>
      </x:c>
      <x:c r="Q863" s="71" t="str">
        <x:v>EN (default / shared)</x:v>
      </x:c>
      <x:c r="R863" s="71" t="str">
        <x:v>Already clear and direct; suggested wording intentionally keeps the current copy.</x:v>
      </x:c>
      <x:c r="S863" s="75" t="str">
        <x:v>Not applied — review required</x:v>
      </x:c>
    </x:row>
    <x:row r="864">
      <x:c r="A864" s="71" t="str">
        <x:v>MRV-F69064E45D</x:v>
      </x:c>
      <x:c r="B864" s="71" t="str">
        <x:v>Legacy</x:v>
      </x:c>
      <x:c r="C864" s="71" t="str">
        <x:v>Plan next</x:v>
      </x:c>
      <x:c r="D864" s="71" t="str">
        <x:v>/journey/plan-next/map-plan-next</x:v>
      </x:c>
      <x:c r="E864" s="71" t="str">
        <x:v>MapPlanNext</x:v>
      </x:c>
      <x:c r="F864" s="71" t="str">
        <x:v>Default</x:v>
      </x:c>
      <x:c r="G864" s="71" t="str">
        <x:v>CTA / button</x:v>
      </x:c>
      <x:c r="H864" s="71" t="str">
        <x:v>Go to trips</x:v>
      </x:c>
      <x:c r="I864" s="71" t="str">
        <x:v>Go to trips</x:v>
      </x:c>
      <x:c r="J864" s="73"/>
      <x:c r="K864" s="74" t="str">
        <x:f>IF(J864="",H864,IF(J864=I864,I864,J864))</x:f>
        <x:v>Go to trips</x:v>
      </x:c>
      <x:c r="L864" s="74" t="str">
        <x:f>IF(J864="","Keep current",IF(J864=I864,"Use suggestion","Custom"))</x:f>
        <x:v>Keep current</x:v>
      </x:c>
      <x:c r="M864" s="71" t="str">
        <x:v>Pending review</x:v>
      </x:c>
      <x:c r="N864" s="71" t="str">
        <x:v>Medium</x:v>
      </x:c>
      <x:c r="O864" s="71" t="str">
        <x:v>app/journey/plan-next/map-plan-next.tsx</x:v>
      </x:c>
      <x:c r="P864" s="71" t="str">
        <x:v>MapPlanNext:142</x:v>
      </x:c>
      <x:c r="Q864" s="71" t="str">
        <x:v>EN (default / shared)</x:v>
      </x:c>
      <x:c r="R864" s="71" t="str">
        <x:v>Already clear and direct; suggested wording intentionally keeps the current copy. Terminology watch: ‘trip’ and ‘journey’ both describe the same plan. Terminology watch: ‘stops’, ‘destinations’ and ‘places’ overlap.</x:v>
      </x:c>
      <x:c r="S864" s="75" t="str">
        <x:v>Not applied — review required</x:v>
      </x:c>
    </x:row>
    <x:row r="865">
      <x:c r="A865" s="71" t="str">
        <x:v>MRV-FF2B70C1DF</x:v>
      </x:c>
      <x:c r="B865" s="71" t="str">
        <x:v>Legacy</x:v>
      </x:c>
      <x:c r="C865" s="71" t="str">
        <x:v>Plan next</x:v>
      </x:c>
      <x:c r="D865" s="71" t="str">
        <x:v>/journey/plan-next/map-plan-next</x:v>
      </x:c>
      <x:c r="E865" s="71" t="str">
        <x:v>transferLabel</x:v>
      </x:c>
      <x:c r="F865" s="71" t="str">
        <x:v>Default</x:v>
      </x:c>
      <x:c r="G865" s="71" t="str">
        <x:v>Body copy</x:v>
      </x:c>
      <x:c r="H865" s="71" t="str">
        <x:v>{selectedLeg.mode === "train" ? "Train" : selectedLeg.mode === "flight" ? "Flight" : selectedLeg.mode === "road" ? "Road" : selectedLeg.mode === "ferry" ? "Ferry" : "Mode to confirm"} · {formatDuration(selectedLeg.durationMinutes)}</x:v>
      </x:c>
      <x:c r="I865" s="71" t="str">
        <x:v>{selectedLeg.mode === "train" ? "Train" : selectedLeg.mode === "flight" ? "Flight" : selectedLeg.mode === "road" ? "Road" : selectedLeg.mode === "ferry" ? "Ferry" : "Mode to confirm"} · {formatDuration(selectedLeg.durationMinutes)}</x:v>
      </x:c>
      <x:c r="J865" s="73"/>
      <x:c r="K865" s="74" t="str">
        <x:f>IF(J865="",H865,IF(J865=I865,I865,J865))</x:f>
        <x:v>{selectedLeg.mode === "train" ? "Train" : selectedLeg.mode === "flight" ? "Flight" : selectedLeg.mode === "road" ? "Road" : selectedLeg.mode === "ferry" ? "Ferry" : "Mode to confirm"} · {formatDuration(selectedLeg.durationMinutes)}</x:v>
      </x:c>
      <x:c r="L865" s="74" t="str">
        <x:f>IF(J865="","Keep current",IF(J865=I865,"Use suggestion","Custom"))</x:f>
        <x:v>Keep current</x:v>
      </x:c>
      <x:c r="M865" s="71" t="str">
        <x:v>Pending review</x:v>
      </x:c>
      <x:c r="N865" s="71" t="str">
        <x:v>Normal</x:v>
      </x:c>
      <x:c r="O865" s="71" t="str">
        <x:v>app/journey/plan-next/map-plan-next.tsx</x:v>
      </x:c>
      <x:c r="P865" s="71" t="str">
        <x:v>transferLabel:144</x:v>
      </x:c>
      <x:c r="Q865" s="71" t="str">
        <x:v>EN (default / shared)</x:v>
      </x:c>
      <x:c r="R865" s="71" t="str">
        <x:v>Already clear and direct; suggested wording intentionally keeps the current copy. Dynamic traveller or trip value is represented as a token; user-generated values are excluded.</x:v>
      </x:c>
      <x:c r="S865" s="75" t="str">
        <x:v>Not applied — review required</x:v>
      </x:c>
    </x:row>
    <x:row r="866">
      <x:c r="A866" s="71" t="str">
        <x:v>MRV-13FA62D473</x:v>
      </x:c>
      <x:c r="B866" s="71" t="str">
        <x:v>Legacy</x:v>
      </x:c>
      <x:c r="C866" s="71" t="str">
        <x:v>Plan next</x:v>
      </x:c>
      <x:c r="D866" s="71" t="str">
        <x:v>/journey/plan-next/map-plan-next</x:v>
      </x:c>
      <x:c r="E866" s="71" t="str">
        <x:v>transferLabel</x:v>
      </x:c>
      <x:c r="F866" s="71" t="str">
        <x:v>Default</x:v>
      </x:c>
      <x:c r="G866" s="71" t="str">
        <x:v>Label</x:v>
      </x:c>
      <x:c r="H866" s="71" t="str">
        <x:v>Train</x:v>
      </x:c>
      <x:c r="I866" s="71" t="str">
        <x:v>Train</x:v>
      </x:c>
      <x:c r="J866" s="73"/>
      <x:c r="K866" s="74" t="str">
        <x:f>IF(J866="",H866,IF(J866=I866,I866,J866))</x:f>
        <x:v>Train</x:v>
      </x:c>
      <x:c r="L866" s="74" t="str">
        <x:f>IF(J866="","Keep current",IF(J866=I866,"Use suggestion","Custom"))</x:f>
        <x:v>Keep current</x:v>
      </x:c>
      <x:c r="M866" s="71" t="str">
        <x:v>Pending review</x:v>
      </x:c>
      <x:c r="N866" s="71" t="str">
        <x:v>Normal</x:v>
      </x:c>
      <x:c r="O866" s="71" t="str">
        <x:v>app/journey/plan-next/map-plan-next.tsx</x:v>
      </x:c>
      <x:c r="P866" s="71" t="str">
        <x:v>transferLabel:144</x:v>
      </x:c>
      <x:c r="Q866" s="71" t="str">
        <x:v>EN (default / shared)</x:v>
      </x:c>
      <x:c r="R866" s="71" t="str">
        <x:v>Already clear and direct; suggested wording intentionally keeps the current copy. Duplicate wording: appears 2 times.</x:v>
      </x:c>
      <x:c r="S866" s="75" t="str">
        <x:v>Not applied — review required</x:v>
      </x:c>
    </x:row>
    <x:row r="867">
      <x:c r="A867" s="71" t="str">
        <x:v>MRV-D58D3E13DB</x:v>
      </x:c>
      <x:c r="B867" s="71" t="str">
        <x:v>Legacy</x:v>
      </x:c>
      <x:c r="C867" s="71" t="str">
        <x:v>Plan next</x:v>
      </x:c>
      <x:c r="D867" s="71" t="str">
        <x:v>/journey/plan-next/map-plan-next</x:v>
      </x:c>
      <x:c r="E867" s="71" t="str">
        <x:v>transferLabel</x:v>
      </x:c>
      <x:c r="F867" s="71" t="str">
        <x:v>Default</x:v>
      </x:c>
      <x:c r="G867" s="71" t="str">
        <x:v>Label</x:v>
      </x:c>
      <x:c r="H867" s="71" t="str">
        <x:v>Flight</x:v>
      </x:c>
      <x:c r="I867" s="71" t="str">
        <x:v>Flight</x:v>
      </x:c>
      <x:c r="J867" s="73"/>
      <x:c r="K867" s="74" t="str">
        <x:f>IF(J867="",H867,IF(J867=I867,I867,J867))</x:f>
        <x:v>Flight</x:v>
      </x:c>
      <x:c r="L867" s="74" t="str">
        <x:f>IF(J867="","Keep current",IF(J867=I867,"Use suggestion","Custom"))</x:f>
        <x:v>Keep current</x:v>
      </x:c>
      <x:c r="M867" s="71" t="str">
        <x:v>Pending review</x:v>
      </x:c>
      <x:c r="N867" s="71" t="str">
        <x:v>Normal</x:v>
      </x:c>
      <x:c r="O867" s="71" t="str">
        <x:v>app/journey/plan-next/map-plan-next.tsx</x:v>
      </x:c>
      <x:c r="P867" s="71" t="str">
        <x:v>transferLabel:144</x:v>
      </x:c>
      <x:c r="Q867" s="71" t="str">
        <x:v>EN (default / shared)</x:v>
      </x:c>
      <x:c r="R867" s="71" t="str">
        <x:v>Already clear and direct; suggested wording intentionally keeps the current copy. Duplicate wording: appears 2 times.</x:v>
      </x:c>
      <x:c r="S867" s="75" t="str">
        <x:v>Not applied — review required</x:v>
      </x:c>
    </x:row>
    <x:row r="868">
      <x:c r="A868" s="71" t="str">
        <x:v>MRV-8DC6D00FA2</x:v>
      </x:c>
      <x:c r="B868" s="71" t="str">
        <x:v>Legacy</x:v>
      </x:c>
      <x:c r="C868" s="71" t="str">
        <x:v>Plan next</x:v>
      </x:c>
      <x:c r="D868" s="71" t="str">
        <x:v>/journey/plan-next/map-plan-next</x:v>
      </x:c>
      <x:c r="E868" s="71" t="str">
        <x:v>transferLabel</x:v>
      </x:c>
      <x:c r="F868" s="71" t="str">
        <x:v>Default</x:v>
      </x:c>
      <x:c r="G868" s="71" t="str">
        <x:v>Label</x:v>
      </x:c>
      <x:c r="H868" s="71" t="str">
        <x:v>Road</x:v>
      </x:c>
      <x:c r="I868" s="71" t="str">
        <x:v>Road</x:v>
      </x:c>
      <x:c r="J868" s="73"/>
      <x:c r="K868" s="74" t="str">
        <x:f>IF(J868="",H868,IF(J868=I868,I868,J868))</x:f>
        <x:v>Road</x:v>
      </x:c>
      <x:c r="L868" s="74" t="str">
        <x:f>IF(J868="","Keep current",IF(J868=I868,"Use suggestion","Custom"))</x:f>
        <x:v>Keep current</x:v>
      </x:c>
      <x:c r="M868" s="71" t="str">
        <x:v>Pending review</x:v>
      </x:c>
      <x:c r="N868" s="71" t="str">
        <x:v>Normal</x:v>
      </x:c>
      <x:c r="O868" s="71" t="str">
        <x:v>app/journey/plan-next/map-plan-next.tsx</x:v>
      </x:c>
      <x:c r="P868" s="71" t="str">
        <x:v>transferLabel:144</x:v>
      </x:c>
      <x:c r="Q868" s="71" t="str">
        <x:v>EN (default / shared)</x:v>
      </x:c>
      <x:c r="R868" s="71" t="str">
        <x:v>Already clear and direct; suggested wording intentionally keeps the current copy.</x:v>
      </x:c>
      <x:c r="S868" s="75" t="str">
        <x:v>Not applied — review required</x:v>
      </x:c>
    </x:row>
    <x:row r="869">
      <x:c r="A869" s="71" t="str">
        <x:v>MRV-0E6E0124E8</x:v>
      </x:c>
      <x:c r="B869" s="71" t="str">
        <x:v>Legacy</x:v>
      </x:c>
      <x:c r="C869" s="71" t="str">
        <x:v>Plan next</x:v>
      </x:c>
      <x:c r="D869" s="71" t="str">
        <x:v>/journey/plan-next/map-plan-next</x:v>
      </x:c>
      <x:c r="E869" s="71" t="str">
        <x:v>transferLabel</x:v>
      </x:c>
      <x:c r="F869" s="71" t="str">
        <x:v>Default</x:v>
      </x:c>
      <x:c r="G869" s="71" t="str">
        <x:v>Label</x:v>
      </x:c>
      <x:c r="H869" s="71" t="str">
        <x:v>Ferry</x:v>
      </x:c>
      <x:c r="I869" s="71" t="str">
        <x:v>Ferry</x:v>
      </x:c>
      <x:c r="J869" s="73"/>
      <x:c r="K869" s="74" t="str">
        <x:f>IF(J869="",H869,IF(J869=I869,I869,J869))</x:f>
        <x:v>Ferry</x:v>
      </x:c>
      <x:c r="L869" s="74" t="str">
        <x:f>IF(J869="","Keep current",IF(J869=I869,"Use suggestion","Custom"))</x:f>
        <x:v>Keep current</x:v>
      </x:c>
      <x:c r="M869" s="71" t="str">
        <x:v>Pending review</x:v>
      </x:c>
      <x:c r="N869" s="71" t="str">
        <x:v>Normal</x:v>
      </x:c>
      <x:c r="O869" s="71" t="str">
        <x:v>app/journey/plan-next/map-plan-next.tsx</x:v>
      </x:c>
      <x:c r="P869" s="71" t="str">
        <x:v>transferLabel:144</x:v>
      </x:c>
      <x:c r="Q869" s="71" t="str">
        <x:v>EN (default / shared)</x:v>
      </x:c>
      <x:c r="R869" s="71" t="str">
        <x:v>Already clear and direct; suggested wording intentionally keeps the current copy.</x:v>
      </x:c>
      <x:c r="S869" s="75" t="str">
        <x:v>Not applied — review required</x:v>
      </x:c>
    </x:row>
    <x:row r="870">
      <x:c r="A870" s="71" t="str">
        <x:v>MRV-123C177A48</x:v>
      </x:c>
      <x:c r="B870" s="71" t="str">
        <x:v>Legacy</x:v>
      </x:c>
      <x:c r="C870" s="71" t="str">
        <x:v>Plan next</x:v>
      </x:c>
      <x:c r="D870" s="71" t="str">
        <x:v>/journey/plan-next/map-plan-next</x:v>
      </x:c>
      <x:c r="E870" s="71" t="str">
        <x:v>transferLabel</x:v>
      </x:c>
      <x:c r="F870" s="71" t="str">
        <x:v>Default</x:v>
      </x:c>
      <x:c r="G870" s="71" t="str">
        <x:v>Label</x:v>
      </x:c>
      <x:c r="H870" s="71" t="str">
        <x:v>Mode to confirm</x:v>
      </x:c>
      <x:c r="I870" s="71" t="str">
        <x:v>Mode to confirm</x:v>
      </x:c>
      <x:c r="J870" s="73"/>
      <x:c r="K870" s="74" t="str">
        <x:f>IF(J870="",H870,IF(J870=I870,I870,J870))</x:f>
        <x:v>Mode to confirm</x:v>
      </x:c>
      <x:c r="L870" s="74" t="str">
        <x:f>IF(J870="","Keep current",IF(J870=I870,"Use suggestion","Custom"))</x:f>
        <x:v>Keep current</x:v>
      </x:c>
      <x:c r="M870" s="71" t="str">
        <x:v>Pending review</x:v>
      </x:c>
      <x:c r="N870" s="71" t="str">
        <x:v>Normal</x:v>
      </x:c>
      <x:c r="O870" s="71" t="str">
        <x:v>app/journey/plan-next/map-plan-next.tsx</x:v>
      </x:c>
      <x:c r="P870" s="71" t="str">
        <x:v>transferLabel:144</x:v>
      </x:c>
      <x:c r="Q870" s="71" t="str">
        <x:v>EN (default / shared)</x:v>
      </x:c>
      <x:c r="R870" s="71" t="str">
        <x:v>Already clear and direct; suggested wording intentionally keeps the current copy. Duplicate wording: appears 2 times.</x:v>
      </x:c>
      <x:c r="S870" s="75" t="str">
        <x:v>Not applied — review required</x:v>
      </x:c>
    </x:row>
    <x:row r="871">
      <x:c r="A871" s="71" t="str">
        <x:v>MRV-911CC105C6</x:v>
      </x:c>
      <x:c r="B871" s="71" t="str">
        <x:v>Legacy</x:v>
      </x:c>
      <x:c r="C871" s="71" t="str">
        <x:v>Plan next</x:v>
      </x:c>
      <x:c r="D871" s="71" t="str">
        <x:v>/journey/plan-next/map-plan-next</x:v>
      </x:c>
      <x:c r="E871" s="71" t="str">
        <x:v>transferLabel</x:v>
      </x:c>
      <x:c r="F871" s="71" t="str">
        <x:v>Default</x:v>
      </x:c>
      <x:c r="G871" s="71" t="str">
        <x:v>Label</x:v>
      </x:c>
      <x:c r="H871" s="71" t="str">
        <x:v>Arrival details to confirm</x:v>
      </x:c>
      <x:c r="I871" s="71" t="str">
        <x:v>Arrival details to confirm</x:v>
      </x:c>
      <x:c r="J871" s="73"/>
      <x:c r="K871" s="74" t="str">
        <x:f>IF(J871="",H871,IF(J871=I871,I871,J871))</x:f>
        <x:v>Arrival details to confirm</x:v>
      </x:c>
      <x:c r="L871" s="74" t="str">
        <x:f>IF(J871="","Keep current",IF(J871=I871,"Use suggestion","Custom"))</x:f>
        <x:v>Keep current</x:v>
      </x:c>
      <x:c r="M871" s="71" t="str">
        <x:v>Pending review</x:v>
      </x:c>
      <x:c r="N871" s="71" t="str">
        <x:v>Normal</x:v>
      </x:c>
      <x:c r="O871" s="71" t="str">
        <x:v>app/journey/plan-next/map-plan-next.tsx</x:v>
      </x:c>
      <x:c r="P871" s="71" t="str">
        <x:v>transferLabel:144</x:v>
      </x:c>
      <x:c r="Q871" s="71" t="str">
        <x:v>EN (default / shared)</x:v>
      </x:c>
      <x:c r="R871" s="71" t="str">
        <x:v>Already clear and direct; suggested wording intentionally keeps the current copy.</x:v>
      </x:c>
      <x:c r="S871" s="75" t="str">
        <x:v>Not applied — review required</x:v>
      </x:c>
    </x:row>
    <x:row r="872">
      <x:c r="A872" s="71" t="str">
        <x:v>MRV-B8694C7F6F</x:v>
      </x:c>
      <x:c r="B872" s="71" t="str">
        <x:v>Legacy</x:v>
      </x:c>
      <x:c r="C872" s="71" t="str">
        <x:v>Plan next</x:v>
      </x:c>
      <x:c r="D872" s="71" t="str">
        <x:v>/journey/plan-next/map-plan-next</x:v>
      </x:c>
      <x:c r="E872" s="71" t="str">
        <x:v>MapPlanNext</x:v>
      </x:c>
      <x:c r="F872" s="71" t="str">
        <x:v>Accessibility / input support</x:v>
      </x:c>
      <x:c r="G872" s="71" t="str">
        <x:v>Accessibility label</x:v>
      </x:c>
      <x:c r="H872" s="71" t="str">
        <x:v>Route stops</x:v>
      </x:c>
      <x:c r="I872" s="71" t="str">
        <x:v>Route stops</x:v>
      </x:c>
      <x:c r="J872" s="73"/>
      <x:c r="K872" s="74" t="str">
        <x:f>IF(J872="",H872,IF(J872=I872,I872,J872))</x:f>
        <x:v>Route stops</x:v>
      </x:c>
      <x:c r="L872" s="74" t="str">
        <x:f>IF(J872="","Keep current",IF(J872=I872,"Use suggestion","Custom"))</x:f>
        <x:v>Keep current</x:v>
      </x:c>
      <x:c r="M872" s="71" t="str">
        <x:v>Pending review</x:v>
      </x:c>
      <x:c r="N872" s="71" t="str">
        <x:v>Medium</x:v>
      </x:c>
      <x:c r="O872" s="71" t="str">
        <x:v>app/journey/plan-next/map-plan-next.tsx</x:v>
      </x:c>
      <x:c r="P872" s="71" t="str">
        <x:v>MapPlanNext:155</x:v>
      </x:c>
      <x:c r="Q872" s="71" t="str">
        <x:v>EN (default / shared)</x:v>
      </x:c>
      <x:c r="R872" s="71" t="str">
        <x:v>Already clear and direct; suggested wording intentionally keeps the current copy. Terminology watch: ‘trip’ and ‘journey’ both describe the same plan. Terminology watch: ‘stops’, ‘destinations’ and ‘places’ overlap.</x:v>
      </x:c>
      <x:c r="S872" s="75" t="str">
        <x:v>Not applied — review required</x:v>
      </x:c>
    </x:row>
    <x:row r="873">
      <x:c r="A873" s="71" t="str">
        <x:v>MRV-785E67CF3B</x:v>
      </x:c>
      <x:c r="B873" s="71" t="str">
        <x:v>Legacy</x:v>
      </x:c>
      <x:c r="C873" s="71" t="str">
        <x:v>Plan next</x:v>
      </x:c>
      <x:c r="D873" s="71" t="str">
        <x:v>/journey/plan-next/map-plan-next</x:v>
      </x:c>
      <x:c r="E873" s="71" t="str">
        <x:v>MapPlanNext</x:v>
      </x:c>
      <x:c r="F873" s="71" t="str">
        <x:v>Default</x:v>
      </x:c>
      <x:c r="G873" s="71" t="str">
        <x:v>Body copy</x:v>
      </x:c>
      <x:c r="H873" s="71" t="str">
        <x:v>An editable base in your current route.</x:v>
      </x:c>
      <x:c r="I873" s="71" t="str">
        <x:v>An editable base in your current route.</x:v>
      </x:c>
      <x:c r="J873" s="73"/>
      <x:c r="K873" s="74" t="str">
        <x:f>IF(J873="",H873,IF(J873=I873,I873,J873))</x:f>
        <x:v>An editable base in your current route.</x:v>
      </x:c>
      <x:c r="L873" s="74" t="str">
        <x:f>IF(J873="","Keep current",IF(J873=I873,"Use suggestion","Custom"))</x:f>
        <x:v>Keep current</x:v>
      </x:c>
      <x:c r="M873" s="71" t="str">
        <x:v>Pending review</x:v>
      </x:c>
      <x:c r="N873" s="71" t="str">
        <x:v>Normal</x:v>
      </x:c>
      <x:c r="O873" s="71" t="str">
        <x:v>app/journey/plan-next/map-plan-next.tsx</x:v>
      </x:c>
      <x:c r="P873" s="71" t="str">
        <x:v>MapPlanNext:166</x:v>
      </x:c>
      <x:c r="Q873" s="71" t="str">
        <x:v>EN (default / shared)</x:v>
      </x:c>
      <x:c r="R873" s="71" t="str">
        <x:v>Already clear and direct; suggested wording intentionally keeps the current copy.</x:v>
      </x:c>
      <x:c r="S873" s="75" t="str">
        <x:v>Not applied — review required</x:v>
      </x:c>
    </x:row>
    <x:row r="874">
      <x:c r="A874" s="71" t="str">
        <x:v>MRV-1B2A5292DB</x:v>
      </x:c>
      <x:c r="B874" s="71" t="str">
        <x:v>Legacy</x:v>
      </x:c>
      <x:c r="C874" s="71" t="str">
        <x:v>Plan next</x:v>
      </x:c>
      <x:c r="D874" s="71" t="str">
        <x:v>/journey/plan-next/map-plan-next</x:v>
      </x:c>
      <x:c r="E874" s="71" t="str">
        <x:v>MapPlanNext</x:v>
      </x:c>
      <x:c r="F874" s="71" t="str">
        <x:v>Default</x:v>
      </x:c>
      <x:c r="G874" s="71" t="str">
        <x:v>Label</x:v>
      </x:c>
      <x:c r="H874" s="71" t="str">
        <x:v>Arrival</x:v>
      </x:c>
      <x:c r="I874" s="71" t="str">
        <x:v>Arrival</x:v>
      </x:c>
      <x:c r="J874" s="73"/>
      <x:c r="K874" s="74" t="str">
        <x:f>IF(J874="",H874,IF(J874=I874,I874,J874))</x:f>
        <x:v>Arrival</x:v>
      </x:c>
      <x:c r="L874" s="74" t="str">
        <x:f>IF(J874="","Keep current",IF(J874=I874,"Use suggestion","Custom"))</x:f>
        <x:v>Keep current</x:v>
      </x:c>
      <x:c r="M874" s="71" t="str">
        <x:v>Pending review</x:v>
      </x:c>
      <x:c r="N874" s="71" t="str">
        <x:v>Normal</x:v>
      </x:c>
      <x:c r="O874" s="71" t="str">
        <x:v>app/journey/plan-next/map-plan-next.tsx</x:v>
      </x:c>
      <x:c r="P874" s="71" t="str">
        <x:v>MapPlanNext:168</x:v>
      </x:c>
      <x:c r="Q874" s="71" t="str">
        <x:v>EN (default / shared)</x:v>
      </x:c>
      <x:c r="R874" s="71" t="str">
        <x:v>Already clear and direct; suggested wording intentionally keeps the current copy. Duplicate wording: appears 2 times.</x:v>
      </x:c>
      <x:c r="S874" s="75" t="str">
        <x:v>Not applied — review required</x:v>
      </x:c>
    </x:row>
    <x:row r="875">
      <x:c r="A875" s="71" t="str">
        <x:v>MRV-7A88A224B4</x:v>
      </x:c>
      <x:c r="B875" s="71" t="str">
        <x:v>Legacy</x:v>
      </x:c>
      <x:c r="C875" s="71" t="str">
        <x:v>Plan next</x:v>
      </x:c>
      <x:c r="D875" s="71" t="str">
        <x:v>/journey/plan-next/map-plan-next</x:v>
      </x:c>
      <x:c r="E875" s="71" t="str">
        <x:v>MapPlanNext</x:v>
      </x:c>
      <x:c r="F875" s="71" t="str">
        <x:v>Default</x:v>
      </x:c>
      <x:c r="G875" s="71" t="str">
        <x:v>Label</x:v>
      </x:c>
      <x:c r="H875" s="71" t="str">
        <x:v>Dates</x:v>
      </x:c>
      <x:c r="I875" s="71" t="str">
        <x:v>Dates</x:v>
      </x:c>
      <x:c r="J875" s="73"/>
      <x:c r="K875" s="74" t="str">
        <x:f>IF(J875="",H875,IF(J875=I875,I875,J875))</x:f>
        <x:v>Dates</x:v>
      </x:c>
      <x:c r="L875" s="74" t="str">
        <x:f>IF(J875="","Keep current",IF(J875=I875,"Use suggestion","Custom"))</x:f>
        <x:v>Keep current</x:v>
      </x:c>
      <x:c r="M875" s="71" t="str">
        <x:v>Pending review</x:v>
      </x:c>
      <x:c r="N875" s="71" t="str">
        <x:v>Normal</x:v>
      </x:c>
      <x:c r="O875" s="71" t="str">
        <x:v>app/journey/plan-next/map-plan-next.tsx</x:v>
      </x:c>
      <x:c r="P875" s="71" t="str">
        <x:v>MapPlanNext:169</x:v>
      </x:c>
      <x:c r="Q875" s="71" t="str">
        <x:v>EN (default / shared)</x:v>
      </x:c>
      <x:c r="R875" s="71" t="str">
        <x:v>Already clear and direct; suggested wording intentionally keeps the current copy.</x:v>
      </x:c>
      <x:c r="S875" s="75" t="str">
        <x:v>Not applied — review required</x:v>
      </x:c>
    </x:row>
    <x:row r="876">
      <x:c r="A876" s="71" t="str">
        <x:v>MRV-00A4A7E51D</x:v>
      </x:c>
      <x:c r="B876" s="71" t="str">
        <x:v>Legacy</x:v>
      </x:c>
      <x:c r="C876" s="71" t="str">
        <x:v>Plan next</x:v>
      </x:c>
      <x:c r="D876" s="71" t="str">
        <x:v>/journey/plan-next/map-plan-next</x:v>
      </x:c>
      <x:c r="E876" s="71" t="str">
        <x:v>MapPlanNext</x:v>
      </x:c>
      <x:c r="F876" s="71" t="str">
        <x:v>Default</x:v>
      </x:c>
      <x:c r="G876" s="71" t="str">
        <x:v>Body copy</x:v>
      </x:c>
      <x:c r="H876" s="71" t="str">
        <x:v>{formatDate(selectedTripStop.arrivalDate)} – {selectedTripStop.departureDate ? formatDate(selectedTripStop.departureDate) : "confirm"}</x:v>
      </x:c>
      <x:c r="I876" s="71" t="str">
        <x:v>{formatDate(selectedTripStop.arrivalDate)} – {selectedTripStop.departureDate ? formatDate(selectedTripStop.departureDate) : "confirm"}</x:v>
      </x:c>
      <x:c r="J876" s="73"/>
      <x:c r="K876" s="74" t="str">
        <x:f>IF(J876="",H876,IF(J876=I876,I876,J876))</x:f>
        <x:v>{formatDate(selectedTripStop.arrivalDate)} – {selectedTripStop.departureDate ? formatDate(selectedTripStop.departureDate) : "confirm"}</x:v>
      </x:c>
      <x:c r="L876" s="74" t="str">
        <x:f>IF(J876="","Keep current",IF(J876=I876,"Use suggestion","Custom"))</x:f>
        <x:v>Keep current</x:v>
      </x:c>
      <x:c r="M876" s="71" t="str">
        <x:v>Pending review</x:v>
      </x:c>
      <x:c r="N876" s="71" t="str">
        <x:v>Normal</x:v>
      </x:c>
      <x:c r="O876" s="71" t="str">
        <x:v>app/journey/plan-next/map-plan-next.tsx</x:v>
      </x:c>
      <x:c r="P876" s="71" t="str">
        <x:v>MapPlanNext:169</x:v>
      </x:c>
      <x:c r="Q876" s="71" t="str">
        <x:v>EN (default / shared)</x:v>
      </x:c>
      <x:c r="R876" s="71" t="str">
        <x:v>Already clear and direct; suggested wording intentionally keeps the current copy. Dynamic traveller or trip value is represented as a token; user-generated values are excluded.</x:v>
      </x:c>
      <x:c r="S876" s="75" t="str">
        <x:v>Not applied — review required</x:v>
      </x:c>
    </x:row>
    <x:row r="877">
      <x:c r="A877" s="71" t="str">
        <x:v>MRV-B225F07B3A</x:v>
      </x:c>
      <x:c r="B877" s="71" t="str">
        <x:v>Legacy</x:v>
      </x:c>
      <x:c r="C877" s="71" t="str">
        <x:v>Plan next</x:v>
      </x:c>
      <x:c r="D877" s="71" t="str">
        <x:v>/journey/plan-next/map-plan-next</x:v>
      </x:c>
      <x:c r="E877" s="71" t="str">
        <x:v>MapPlanNext</x:v>
      </x:c>
      <x:c r="F877" s="71" t="str">
        <x:v>Default</x:v>
      </x:c>
      <x:c r="G877" s="71" t="str">
        <x:v>Label</x:v>
      </x:c>
      <x:c r="H877" s="71" t="str">
        <x:v>To confirm</x:v>
      </x:c>
      <x:c r="I877" s="71" t="str">
        <x:v>To confirm</x:v>
      </x:c>
      <x:c r="J877" s="73"/>
      <x:c r="K877" s="74" t="str">
        <x:f>IF(J877="",H877,IF(J877=I877,I877,J877))</x:f>
        <x:v>To confirm</x:v>
      </x:c>
      <x:c r="L877" s="74" t="str">
        <x:f>IF(J877="","Keep current",IF(J877=I877,"Use suggestion","Custom"))</x:f>
        <x:v>Keep current</x:v>
      </x:c>
      <x:c r="M877" s="71" t="str">
        <x:v>Pending review</x:v>
      </x:c>
      <x:c r="N877" s="71" t="str">
        <x:v>Normal</x:v>
      </x:c>
      <x:c r="O877" s="71" t="str">
        <x:v>app/journey/plan-next/map-plan-next.tsx</x:v>
      </x:c>
      <x:c r="P877" s="71" t="str">
        <x:v>MapPlanNext:169</x:v>
      </x:c>
      <x:c r="Q877" s="71" t="str">
        <x:v>EN (default / shared)</x:v>
      </x:c>
      <x:c r="R877" s="71" t="str">
        <x:v>Already clear and direct; suggested wording intentionally keeps the current copy. Duplicate wording: appears 4 times.</x:v>
      </x:c>
      <x:c r="S877" s="75" t="str">
        <x:v>Not applied — review required</x:v>
      </x:c>
    </x:row>
    <x:row r="878">
      <x:c r="A878" s="71" t="str">
        <x:v>MRV-935EF4C7DA</x:v>
      </x:c>
      <x:c r="B878" s="71" t="str">
        <x:v>Legacy</x:v>
      </x:c>
      <x:c r="C878" s="71" t="str">
        <x:v>Plan next</x:v>
      </x:c>
      <x:c r="D878" s="71" t="str">
        <x:v>/journey/plan-next/map-plan-next</x:v>
      </x:c>
      <x:c r="E878" s="71" t="str">
        <x:v>MapPlanNext</x:v>
      </x:c>
      <x:c r="F878" s="71" t="str">
        <x:v>Accessibility / input support</x:v>
      </x:c>
      <x:c r="G878" s="71" t="str">
        <x:v>Accessibility label</x:v>
      </x:c>
      <x:c r="H878" s="71" t="str">
        <x:v>Interactive trip map</x:v>
      </x:c>
      <x:c r="I878" s="71" t="str">
        <x:v>Interactive trip map</x:v>
      </x:c>
      <x:c r="J878" s="73"/>
      <x:c r="K878" s="74" t="str">
        <x:f>IF(J878="",H878,IF(J878=I878,I878,J878))</x:f>
        <x:v>Interactive trip map</x:v>
      </x:c>
      <x:c r="L878" s="74" t="str">
        <x:f>IF(J878="","Keep current",IF(J878=I878,"Use suggestion","Custom"))</x:f>
        <x:v>Keep current</x:v>
      </x:c>
      <x:c r="M878" s="71" t="str">
        <x:v>Pending review</x:v>
      </x:c>
      <x:c r="N878" s="71" t="str">
        <x:v>Medium</x:v>
      </x:c>
      <x:c r="O878" s="71" t="str">
        <x:v>app/journey/plan-next/map-plan-next.tsx</x:v>
      </x:c>
      <x:c r="P878" s="71" t="str">
        <x:v>MapPlanNext:174</x:v>
      </x:c>
      <x:c r="Q878" s="71" t="str">
        <x:v>EN (default / shared)</x:v>
      </x:c>
      <x:c r="R878" s="71" t="str">
        <x:v>Already clear and direct; suggested wording intentionally keeps the current copy. Duplicate wording: appears 2 times. Terminology watch: ‘trip’ and ‘journey’ both describe the same plan. Terminology watch: ‘stops’, ‘destinations’ and ‘places’ overlap.</x:v>
      </x:c>
      <x:c r="S878" s="75" t="str">
        <x:v>Not applied — review required</x:v>
      </x:c>
    </x:row>
    <x:row r="879">
      <x:c r="A879" s="71" t="str">
        <x:v>MRV-BAA72149CE</x:v>
      </x:c>
      <x:c r="B879" s="71" t="str">
        <x:v>Legacy</x:v>
      </x:c>
      <x:c r="C879" s="71" t="str">
        <x:v>Plan next</x:v>
      </x:c>
      <x:c r="D879" s="71" t="str">
        <x:v>/journey/plan-next/map-plan-next</x:v>
      </x:c>
      <x:c r="E879" s="71" t="str">
        <x:v>MapPlanNext</x:v>
      </x:c>
      <x:c r="F879" s="71" t="str">
        <x:v>Default</x:v>
      </x:c>
      <x:c r="G879" s="71" t="str">
        <x:v>Body copy</x:v>
      </x:c>
      <x:c r="H879" s="71" t="str">
        <x:v>{decisions.length} to review</x:v>
      </x:c>
      <x:c r="I879" s="71" t="str">
        <x:v>{decisions.length} to review</x:v>
      </x:c>
      <x:c r="J879" s="73"/>
      <x:c r="K879" s="74" t="str">
        <x:f>IF(J879="",H879,IF(J879=I879,I879,J879))</x:f>
        <x:v>{decisions.length} to review</x:v>
      </x:c>
      <x:c r="L879" s="74" t="str">
        <x:f>IF(J879="","Keep current",IF(J879=I879,"Use suggestion","Custom"))</x:f>
        <x:v>Keep current</x:v>
      </x:c>
      <x:c r="M879" s="71" t="str">
        <x:v>Pending review</x:v>
      </x:c>
      <x:c r="N879" s="71" t="str">
        <x:v>Normal</x:v>
      </x:c>
      <x:c r="O879" s="71" t="str">
        <x:v>app/journey/plan-next/map-plan-next.tsx</x:v>
      </x:c>
      <x:c r="P879" s="71" t="str">
        <x:v>MapPlanNext:179</x:v>
      </x:c>
      <x:c r="Q879" s="71" t="str">
        <x:v>EN (default / shared)</x:v>
      </x:c>
      <x:c r="R879" s="71" t="str">
        <x:v>Already clear and direct; suggested wording intentionally keeps the current copy. Dynamic traveller or trip value is represented as a token; user-generated values are excluded.</x:v>
      </x:c>
      <x:c r="S879" s="75" t="str">
        <x:v>Not applied — review required</x:v>
      </x:c>
    </x:row>
    <x:row r="880">
      <x:c r="A880" s="71" t="str">
        <x:v>MRV-2A7456AF49</x:v>
      </x:c>
      <x:c r="B880" s="71" t="str">
        <x:v>Legacy</x:v>
      </x:c>
      <x:c r="C880" s="71" t="str">
        <x:v>Plan next</x:v>
      </x:c>
      <x:c r="D880" s="71" t="str">
        <x:v>/journey/plan-next/map-plan-next</x:v>
      </x:c>
      <x:c r="E880" s="71" t="str">
        <x:v>MapPlanNext</x:v>
      </x:c>
      <x:c r="F880" s="71" t="str">
        <x:v>Default</x:v>
      </x:c>
      <x:c r="G880" s="71" t="str">
        <x:v>Label</x:v>
      </x:c>
      <x:c r="H880" s="71" t="str">
        <x:v>Route looks clear</x:v>
      </x:c>
      <x:c r="I880" s="71" t="str">
        <x:v>Route looks clear</x:v>
      </x:c>
      <x:c r="J880" s="73"/>
      <x:c r="K880" s="74" t="str">
        <x:f>IF(J880="",H880,IF(J880=I880,I880,J880))</x:f>
        <x:v>Route looks clear</x:v>
      </x:c>
      <x:c r="L880" s="74" t="str">
        <x:f>IF(J880="","Keep current",IF(J880=I880,"Use suggestion","Custom"))</x:f>
        <x:v>Keep current</x:v>
      </x:c>
      <x:c r="M880" s="71" t="str">
        <x:v>Pending review</x:v>
      </x:c>
      <x:c r="N880" s="71" t="str">
        <x:v>Normal</x:v>
      </x:c>
      <x:c r="O880" s="71" t="str">
        <x:v>app/journey/plan-next/map-plan-next.tsx</x:v>
      </x:c>
      <x:c r="P880" s="71" t="str">
        <x:v>MapPlanNext:179</x:v>
      </x:c>
      <x:c r="Q880" s="71" t="str">
        <x:v>EN (default / shared)</x:v>
      </x:c>
      <x:c r="R880" s="71" t="str">
        <x:v>Already clear and direct; suggested wording intentionally keeps the current copy.</x:v>
      </x:c>
      <x:c r="S880" s="75" t="str">
        <x:v>Not applied — review required</x:v>
      </x:c>
    </x:row>
    <x:row r="881">
      <x:c r="A881" s="71" t="str">
        <x:v>MRV-B67E67DFF6</x:v>
      </x:c>
      <x:c r="B881" s="71" t="str">
        <x:v>Legacy</x:v>
      </x:c>
      <x:c r="C881" s="71" t="str">
        <x:v>Plan next</x:v>
      </x:c>
      <x:c r="D881" s="71" t="str">
        <x:v>/journey/plan-next/map-plan-next</x:v>
      </x:c>
      <x:c r="E881" s="71" t="str">
        <x:v>MapPlanNext</x:v>
      </x:c>
      <x:c r="F881" s="71" t="str">
        <x:v>Default</x:v>
      </x:c>
      <x:c r="G881" s="71" t="str">
        <x:v>Label</x:v>
      </x:c>
      <x:c r="H881" s="71" t="str">
        <x:v>Hide</x:v>
      </x:c>
      <x:c r="I881" s="71" t="str">
        <x:v>Hide</x:v>
      </x:c>
      <x:c r="J881" s="73"/>
      <x:c r="K881" s="74" t="str">
        <x:f>IF(J881="",H881,IF(J881=I881,I881,J881))</x:f>
        <x:v>Hide</x:v>
      </x:c>
      <x:c r="L881" s="74" t="str">
        <x:f>IF(J881="","Keep current",IF(J881=I881,"Use suggestion","Custom"))</x:f>
        <x:v>Keep current</x:v>
      </x:c>
      <x:c r="M881" s="71" t="str">
        <x:v>Pending review</x:v>
      </x:c>
      <x:c r="N881" s="71" t="str">
        <x:v>Normal</x:v>
      </x:c>
      <x:c r="O881" s="71" t="str">
        <x:v>app/journey/plan-next/map-plan-next.tsx</x:v>
      </x:c>
      <x:c r="P881" s="71" t="str">
        <x:v>MapPlanNext:179</x:v>
      </x:c>
      <x:c r="Q881" s="71" t="str">
        <x:v>EN (default / shared)</x:v>
      </x:c>
      <x:c r="R881" s="71" t="str">
        <x:v>Already clear and direct; suggested wording intentionally keeps the current copy. Duplicate wording: appears 3 times.</x:v>
      </x:c>
      <x:c r="S881" s="75" t="str">
        <x:v>Not applied — review required</x:v>
      </x:c>
    </x:row>
    <x:row r="882">
      <x:c r="A882" s="71" t="str">
        <x:v>MRV-9E7DD5D6A3</x:v>
      </x:c>
      <x:c r="B882" s="71" t="str">
        <x:v>Legacy</x:v>
      </x:c>
      <x:c r="C882" s="71" t="str">
        <x:v>Plan next</x:v>
      </x:c>
      <x:c r="D882" s="71" t="str">
        <x:v>/journey/plan-next/map-plan-next</x:v>
      </x:c>
      <x:c r="E882" s="71" t="str">
        <x:v>MapPlanNext</x:v>
      </x:c>
      <x:c r="F882" s="71" t="str">
        <x:v>Default</x:v>
      </x:c>
      <x:c r="G882" s="71" t="str">
        <x:v>Label</x:v>
      </x:c>
      <x:c r="H882" s="71" t="str">
        <x:v>Show</x:v>
      </x:c>
      <x:c r="I882" s="71" t="str">
        <x:v>Show</x:v>
      </x:c>
      <x:c r="J882" s="73"/>
      <x:c r="K882" s="74" t="str">
        <x:f>IF(J882="",H882,IF(J882=I882,I882,J882))</x:f>
        <x:v>Show</x:v>
      </x:c>
      <x:c r="L882" s="74" t="str">
        <x:f>IF(J882="","Keep current",IF(J882=I882,"Use suggestion","Custom"))</x:f>
        <x:v>Keep current</x:v>
      </x:c>
      <x:c r="M882" s="71" t="str">
        <x:v>Pending review</x:v>
      </x:c>
      <x:c r="N882" s="71" t="str">
        <x:v>Normal</x:v>
      </x:c>
      <x:c r="O882" s="71" t="str">
        <x:v>app/journey/plan-next/map-plan-next.tsx</x:v>
      </x:c>
      <x:c r="P882" s="71" t="str">
        <x:v>MapPlanNext:179</x:v>
      </x:c>
      <x:c r="Q882" s="71" t="str">
        <x:v>EN (default / shared)</x:v>
      </x:c>
      <x:c r="R882" s="71" t="str">
        <x:v>Already clear and direct; suggested wording intentionally keeps the current copy. Duplicate wording: appears 3 times.</x:v>
      </x:c>
      <x:c r="S882" s="75" t="str">
        <x:v>Not applied — review required</x:v>
      </x:c>
    </x:row>
    <x:row r="883">
      <x:c r="A883" s="71" t="str">
        <x:v>MRV-E33EEE2E40</x:v>
      </x:c>
      <x:c r="B883" s="71" t="str">
        <x:v>Legacy</x:v>
      </x:c>
      <x:c r="C883" s="71" t="str">
        <x:v>Plan next</x:v>
      </x:c>
      <x:c r="D883" s="71" t="str">
        <x:v>/journey/plan-next/map-plan-next</x:v>
      </x:c>
      <x:c r="E883" s="71" t="str">
        <x:v>MapPlanNext</x:v>
      </x:c>
      <x:c r="F883" s="71" t="str">
        <x:v>Accessibility / input support</x:v>
      </x:c>
      <x:c r="G883" s="71" t="str">
        <x:v>Accessibility label</x:v>
      </x:c>
      <x:c r="H883" s="71" t="str">
        <x:v>Resolve in current planner</x:v>
      </x:c>
      <x:c r="I883" s="71" t="str">
        <x:v>Resolve in current planner</x:v>
      </x:c>
      <x:c r="J883" s="73"/>
      <x:c r="K883" s="74" t="str">
        <x:f>IF(J883="",H883,IF(J883=I883,I883,J883))</x:f>
        <x:v>Resolve in current planner</x:v>
      </x:c>
      <x:c r="L883" s="74" t="str">
        <x:f>IF(J883="","Keep current",IF(J883=I883,"Use suggestion","Custom"))</x:f>
        <x:v>Keep current</x:v>
      </x:c>
      <x:c r="M883" s="71" t="str">
        <x:v>Pending review</x:v>
      </x:c>
      <x:c r="N883" s="71" t="str">
        <x:v>Medium</x:v>
      </x:c>
      <x:c r="O883" s="71" t="str">
        <x:v>app/journey/plan-next/map-plan-next.tsx</x:v>
      </x:c>
      <x:c r="P883" s="71" t="str">
        <x:v>MapPlanNext:180</x:v>
      </x:c>
      <x:c r="Q883" s="71" t="str">
        <x:v>EN (default / shared)</x:v>
      </x:c>
      <x:c r="R883" s="71" t="str">
        <x:v>Already clear and direct; suggested wording intentionally keeps the current copy.</x:v>
      </x:c>
      <x:c r="S883" s="75" t="str">
        <x:v>Not applied — review required</x:v>
      </x:c>
    </x:row>
    <x:row r="884">
      <x:c r="A884" s="71" t="str">
        <x:v>MRV-F4AE73F2B7</x:v>
      </x:c>
      <x:c r="B884" s="71" t="str">
        <x:v>Legacy</x:v>
      </x:c>
      <x:c r="C884" s="71" t="str">
        <x:v>Plan next</x:v>
      </x:c>
      <x:c r="D884" s="71" t="str">
        <x:v>/journey/plan-next/map-plan-next</x:v>
      </x:c>
      <x:c r="E884" s="71" t="str">
        <x:v>MapPlanNext</x:v>
      </x:c>
      <x:c r="F884" s="71" t="str">
        <x:v>Default</x:v>
      </x:c>
      <x:c r="G884" s="71" t="str">
        <x:v>Label</x:v>
      </x:c>
      <x:c r="H884" s="71" t="str">
        <x:v>Shape the day</x:v>
      </x:c>
      <x:c r="I884" s="71" t="str">
        <x:v>Shape the day</x:v>
      </x:c>
      <x:c r="J884" s="73"/>
      <x:c r="K884" s="74" t="str">
        <x:f>IF(J884="",H884,IF(J884=I884,I884,J884))</x:f>
        <x:v>Shape the day</x:v>
      </x:c>
      <x:c r="L884" s="74" t="str">
        <x:f>IF(J884="","Keep current",IF(J884=I884,"Use suggestion","Custom"))</x:f>
        <x:v>Keep current</x:v>
      </x:c>
      <x:c r="M884" s="71" t="str">
        <x:v>Pending review</x:v>
      </x:c>
      <x:c r="N884" s="71" t="str">
        <x:v>Normal</x:v>
      </x:c>
      <x:c r="O884" s="71" t="str">
        <x:v>app/journey/plan-next/map-plan-next.tsx</x:v>
      </x:c>
      <x:c r="P884" s="71" t="str">
        <x:v>MapPlanNext:185</x:v>
      </x:c>
      <x:c r="Q884" s="71" t="str">
        <x:v>EN (default / shared)</x:v>
      </x:c>
      <x:c r="R884" s="71" t="str">
        <x:v>Already clear and direct; suggested wording intentionally keeps the current copy. Duplicate wording: appears 2 times.</x:v>
      </x:c>
      <x:c r="S884" s="75" t="str">
        <x:v>Not applied — review required</x:v>
      </x:c>
    </x:row>
    <x:row r="885">
      <x:c r="A885" s="71" t="str">
        <x:v>MRV-ABC00D49DF</x:v>
      </x:c>
      <x:c r="B885" s="71" t="str">
        <x:v>Legacy</x:v>
      </x:c>
      <x:c r="C885" s="71" t="str">
        <x:v>Plan next</x:v>
      </x:c>
      <x:c r="D885" s="71" t="str">
        <x:v>/journey/plan-next/map-plan-next</x:v>
      </x:c>
      <x:c r="E885" s="71" t="str">
        <x:v>MapPlanNext</x:v>
      </x:c>
      <x:c r="F885" s="71" t="str">
        <x:v>Accessibility / input support</x:v>
      </x:c>
      <x:c r="G885" s="71" t="str">
        <x:v>Accessibility label</x:v>
      </x:c>
      <x:c r="H885" s="71" t="str">
        <x:v>Plan options</x:v>
      </x:c>
      <x:c r="I885" s="71" t="str">
        <x:v>Plan options</x:v>
      </x:c>
      <x:c r="J885" s="73"/>
      <x:c r="K885" s="74" t="str">
        <x:f>IF(J885="",H885,IF(J885=I885,I885,J885))</x:f>
        <x:v>Plan options</x:v>
      </x:c>
      <x:c r="L885" s="74" t="str">
        <x:f>IF(J885="","Keep current",IF(J885=I885,"Use suggestion","Custom"))</x:f>
        <x:v>Keep current</x:v>
      </x:c>
      <x:c r="M885" s="71" t="str">
        <x:v>Pending review</x:v>
      </x:c>
      <x:c r="N885" s="71" t="str">
        <x:v>Medium</x:v>
      </x:c>
      <x:c r="O885" s="71" t="str">
        <x:v>app/journey/plan-next/map-plan-next.tsx</x:v>
      </x:c>
      <x:c r="P885" s="71" t="str">
        <x:v>MapPlanNext:186</x:v>
      </x:c>
      <x:c r="Q885" s="71" t="str">
        <x:v>EN (default / shared)</x:v>
      </x:c>
      <x:c r="R885" s="71" t="str">
        <x:v>Already clear and direct; suggested wording intentionally keeps the current copy.</x:v>
      </x:c>
      <x:c r="S885" s="75" t="str">
        <x:v>Not applied — review required</x:v>
      </x:c>
    </x:row>
    <x:row r="886">
      <x:c r="A886" s="71" t="str">
        <x:v>MRV-6CDE988866</x:v>
      </x:c>
      <x:c r="B886" s="71" t="str">
        <x:v>Legacy</x:v>
      </x:c>
      <x:c r="C886" s="71" t="str">
        <x:v>Plan next</x:v>
      </x:c>
      <x:c r="D886" s="71" t="str">
        <x:v>/journey/plan-next/map-plan-next</x:v>
      </x:c>
      <x:c r="E886" s="71" t="str">
        <x:v>MapPlanNext</x:v>
      </x:c>
      <x:c r="F886" s="71" t="str">
        <x:v>Default</x:v>
      </x:c>
      <x:c r="G886" s="71" t="str">
        <x:v>CTA / button</x:v>
      </x:c>
      <x:c r="H886" s="71" t="str">
        <x:v>Plan</x:v>
      </x:c>
      <x:c r="I886" s="71" t="str">
        <x:v>Plan</x:v>
      </x:c>
      <x:c r="J886" s="73"/>
      <x:c r="K886" s="74" t="str">
        <x:f>IF(J886="",H886,IF(J886=I886,I886,J886))</x:f>
        <x:v>Plan</x:v>
      </x:c>
      <x:c r="L886" s="74" t="str">
        <x:f>IF(J886="","Keep current",IF(J886=I886,"Use suggestion","Custom"))</x:f>
        <x:v>Keep current</x:v>
      </x:c>
      <x:c r="M886" s="71" t="str">
        <x:v>Pending review</x:v>
      </x:c>
      <x:c r="N886" s="71" t="str">
        <x:v>Medium</x:v>
      </x:c>
      <x:c r="O886" s="71" t="str">
        <x:v>app/journey/plan-next/map-plan-next.tsx</x:v>
      </x:c>
      <x:c r="P886" s="71" t="str">
        <x:v>MapPlanNext:187</x:v>
      </x:c>
      <x:c r="Q886" s="71" t="str">
        <x:v>EN (default / shared)</x:v>
      </x:c>
      <x:c r="R886" s="71" t="str">
        <x:v>Already clear and direct; suggested wording intentionally keeps the current copy. Duplicate wording: appears 2 times.</x:v>
      </x:c>
      <x:c r="S886" s="75" t="str">
        <x:v>Not applied — review required</x:v>
      </x:c>
    </x:row>
    <x:row r="887">
      <x:c r="A887" s="71" t="str">
        <x:v>MRV-79528F1751</x:v>
      </x:c>
      <x:c r="B887" s="71" t="str">
        <x:v>Legacy</x:v>
      </x:c>
      <x:c r="C887" s="71" t="str">
        <x:v>Plan next</x:v>
      </x:c>
      <x:c r="D887" s="71" t="str">
        <x:v>/journey/plan-next/map-plan-next</x:v>
      </x:c>
      <x:c r="E887" s="71" t="str">
        <x:v>MapPlanNext</x:v>
      </x:c>
      <x:c r="F887" s="71" t="str">
        <x:v>Default</x:v>
      </x:c>
      <x:c r="G887" s="71" t="str">
        <x:v>Label</x:v>
      </x:c>
      <x:c r="H887" s="71" t="str">
        <x:v>Stay</x:v>
      </x:c>
      <x:c r="I887" s="71" t="str">
        <x:v>Stay</x:v>
      </x:c>
      <x:c r="J887" s="73"/>
      <x:c r="K887" s="74" t="str">
        <x:f>IF(J887="",H887,IF(J887=I887,I887,J887))</x:f>
        <x:v>Stay</x:v>
      </x:c>
      <x:c r="L887" s="74" t="str">
        <x:f>IF(J887="","Keep current",IF(J887=I887,"Use suggestion","Custom"))</x:f>
        <x:v>Keep current</x:v>
      </x:c>
      <x:c r="M887" s="71" t="str">
        <x:v>Pending review</x:v>
      </x:c>
      <x:c r="N887" s="71" t="str">
        <x:v>Normal</x:v>
      </x:c>
      <x:c r="O887" s="71" t="str">
        <x:v>app/journey/plan-next/map-plan-next.tsx</x:v>
      </x:c>
      <x:c r="P887" s="71" t="str">
        <x:v>MapPlanNext:187</x:v>
      </x:c>
      <x:c r="Q887" s="71" t="str">
        <x:v>EN (default / shared)</x:v>
      </x:c>
      <x:c r="R887" s="71" t="str">
        <x:v>Already clear and direct; suggested wording intentionally keeps the current copy. Duplicate wording: appears 6 times.</x:v>
      </x:c>
      <x:c r="S887" s="75" t="str">
        <x:v>Not applied — review required</x:v>
      </x:c>
    </x:row>
    <x:row r="888">
      <x:c r="A888" s="71" t="str">
        <x:v>MRV-4A7FC8A21E</x:v>
      </x:c>
      <x:c r="B888" s="71" t="str">
        <x:v>Legacy</x:v>
      </x:c>
      <x:c r="C888" s="71" t="str">
        <x:v>Plan next</x:v>
      </x:c>
      <x:c r="D888" s="71" t="str">
        <x:v>/journey/plan-next/map-plan-next</x:v>
      </x:c>
      <x:c r="E888" s="71" t="str">
        <x:v>MapPlanNext</x:v>
      </x:c>
      <x:c r="F888" s="71" t="str">
        <x:v>Default</x:v>
      </x:c>
      <x:c r="G888" s="71" t="str">
        <x:v>Label</x:v>
      </x:c>
      <x:c r="H888" s="71" t="str">
        <x:v>Eat</x:v>
      </x:c>
      <x:c r="I888" s="71" t="str">
        <x:v>Eat</x:v>
      </x:c>
      <x:c r="J888" s="73"/>
      <x:c r="K888" s="74" t="str">
        <x:f>IF(J888="",H888,IF(J888=I888,I888,J888))</x:f>
        <x:v>Eat</x:v>
      </x:c>
      <x:c r="L888" s="74" t="str">
        <x:f>IF(J888="","Keep current",IF(J888=I888,"Use suggestion","Custom"))</x:f>
        <x:v>Keep current</x:v>
      </x:c>
      <x:c r="M888" s="71" t="str">
        <x:v>Pending review</x:v>
      </x:c>
      <x:c r="N888" s="71" t="str">
        <x:v>Normal</x:v>
      </x:c>
      <x:c r="O888" s="71" t="str">
        <x:v>app/journey/plan-next/map-plan-next.tsx</x:v>
      </x:c>
      <x:c r="P888" s="71" t="str">
        <x:v>MapPlanNext:187</x:v>
      </x:c>
      <x:c r="Q888" s="71" t="str">
        <x:v>EN (default / shared)</x:v>
      </x:c>
      <x:c r="R888" s="71" t="str">
        <x:v>Already clear and direct; suggested wording intentionally keeps the current copy. Duplicate wording: appears 2 times.</x:v>
      </x:c>
      <x:c r="S888" s="75" t="str">
        <x:v>Not applied — review required</x:v>
      </x:c>
    </x:row>
    <x:row r="889">
      <x:c r="A889" s="71" t="str">
        <x:v>MRV-0D8CFD0454</x:v>
      </x:c>
      <x:c r="B889" s="71" t="str">
        <x:v>Legacy</x:v>
      </x:c>
      <x:c r="C889" s="71" t="str">
        <x:v>Plan next</x:v>
      </x:c>
      <x:c r="D889" s="71" t="str">
        <x:v>/journey/plan-next/map-plan-next</x:v>
      </x:c>
      <x:c r="E889" s="71" t="str">
        <x:v>MapPlanNext</x:v>
      </x:c>
      <x:c r="F889" s="71" t="str">
        <x:v>Default</x:v>
      </x:c>
      <x:c r="G889" s="71" t="str">
        <x:v>Label</x:v>
      </x:c>
      <x:c r="H889" s="71" t="str">
        <x:v>See</x:v>
      </x:c>
      <x:c r="I889" s="71" t="str">
        <x:v>See</x:v>
      </x:c>
      <x:c r="J889" s="73"/>
      <x:c r="K889" s="74" t="str">
        <x:f>IF(J889="",H889,IF(J889=I889,I889,J889))</x:f>
        <x:v>See</x:v>
      </x:c>
      <x:c r="L889" s="74" t="str">
        <x:f>IF(J889="","Keep current",IF(J889=I889,"Use suggestion","Custom"))</x:f>
        <x:v>Keep current</x:v>
      </x:c>
      <x:c r="M889" s="71" t="str">
        <x:v>Pending review</x:v>
      </x:c>
      <x:c r="N889" s="71" t="str">
        <x:v>Normal</x:v>
      </x:c>
      <x:c r="O889" s="71" t="str">
        <x:v>app/journey/plan-next/map-plan-next.tsx</x:v>
      </x:c>
      <x:c r="P889" s="71" t="str">
        <x:v>MapPlanNext:187</x:v>
      </x:c>
      <x:c r="Q889" s="71" t="str">
        <x:v>EN (default / shared)</x:v>
      </x:c>
      <x:c r="R889" s="71" t="str">
        <x:v>Already clear and direct; suggested wording intentionally keeps the current copy. Duplicate wording: appears 2 times.</x:v>
      </x:c>
      <x:c r="S889" s="75" t="str">
        <x:v>Not applied — review required</x:v>
      </x:c>
    </x:row>
    <x:row r="890">
      <x:c r="A890" s="71" t="str">
        <x:v>MRV-D917103E7B</x:v>
      </x:c>
      <x:c r="B890" s="71" t="str">
        <x:v>Legacy</x:v>
      </x:c>
      <x:c r="C890" s="71" t="str">
        <x:v>Plan next</x:v>
      </x:c>
      <x:c r="D890" s="71" t="str">
        <x:v>/journey/plan-next/map-plan-next</x:v>
      </x:c>
      <x:c r="E890" s="71" t="str">
        <x:v>MapPlanNext</x:v>
      </x:c>
      <x:c r="F890" s="71" t="str">
        <x:v>Default</x:v>
      </x:c>
      <x:c r="G890" s="71" t="str">
        <x:v>Label</x:v>
      </x:c>
      <x:c r="H890" s="71" t="str">
        <x:v>Day</x:v>
      </x:c>
      <x:c r="I890" s="71" t="str">
        <x:v>Day</x:v>
      </x:c>
      <x:c r="J890" s="73"/>
      <x:c r="K890" s="74" t="str">
        <x:f>IF(J890="",H890,IF(J890=I890,I890,J890))</x:f>
        <x:v>Day</x:v>
      </x:c>
      <x:c r="L890" s="74" t="str">
        <x:f>IF(J890="","Keep current",IF(J890=I890,"Use suggestion","Custom"))</x:f>
        <x:v>Keep current</x:v>
      </x:c>
      <x:c r="M890" s="71" t="str">
        <x:v>Pending review</x:v>
      </x:c>
      <x:c r="N890" s="71" t="str">
        <x:v>Normal</x:v>
      </x:c>
      <x:c r="O890" s="71" t="str">
        <x:v>app/journey/plan-next/map-plan-next.tsx</x:v>
      </x:c>
      <x:c r="P890" s="71" t="str">
        <x:v>MapPlanNext:189</x:v>
      </x:c>
      <x:c r="Q890" s="71" t="str">
        <x:v>EN (default / shared)</x:v>
      </x:c>
      <x:c r="R890" s="71" t="str">
        <x:v>Already clear and direct; suggested wording intentionally keeps the current copy. Duplicate wording: appears 3 times.</x:v>
      </x:c>
      <x:c r="S890" s="75" t="str">
        <x:v>Not applied — review required</x:v>
      </x:c>
    </x:row>
    <x:row r="891">
      <x:c r="A891" s="71" t="str">
        <x:v>MRV-D5B8D0A5B2</x:v>
      </x:c>
      <x:c r="B891" s="71" t="str">
        <x:v>Legacy</x:v>
      </x:c>
      <x:c r="C891" s="71" t="str">
        <x:v>Plan next</x:v>
      </x:c>
      <x:c r="D891" s="71" t="str">
        <x:v>/journey/plan-next/map-plan-next</x:v>
      </x:c>
      <x:c r="E891" s="71" t="str">
        <x:v>MapPlanNext</x:v>
      </x:c>
      <x:c r="F891" s="71" t="str">
        <x:v>Default</x:v>
      </x:c>
      <x:c r="G891" s="71" t="str">
        <x:v>Body copy</x:v>
      </x:c>
      <x:c r="H891" s="71" t="str">
        <x:v>No day detail yet. Use the current planner to shape this stop.</x:v>
      </x:c>
      <x:c r="I891" s="71" t="str">
        <x:v>No day detail yet. Use the current planner to shape this stop.</x:v>
      </x:c>
      <x:c r="J891" s="73"/>
      <x:c r="K891" s="74" t="str">
        <x:f>IF(J891="",H891,IF(J891=I891,I891,J891))</x:f>
        <x:v>No day detail yet. Use the current planner to shape this stop.</x:v>
      </x:c>
      <x:c r="L891" s="74" t="str">
        <x:f>IF(J891="","Keep current",IF(J891=I891,"Use suggestion","Custom"))</x:f>
        <x:v>Keep current</x:v>
      </x:c>
      <x:c r="M891" s="71" t="str">
        <x:v>Pending review</x:v>
      </x:c>
      <x:c r="N891" s="71" t="str">
        <x:v>Normal</x:v>
      </x:c>
      <x:c r="O891" s="71" t="str">
        <x:v>app/journey/plan-next/map-plan-next.tsx</x:v>
      </x:c>
      <x:c r="P891" s="71" t="str">
        <x:v>MapPlanNext:189</x:v>
      </x:c>
      <x:c r="Q891" s="71" t="str">
        <x:v>EN (default / shared)</x:v>
      </x:c>
      <x:c r="R891" s="71" t="str">
        <x:v>Already clear and direct; suggested wording intentionally keeps the current copy. Terminology watch: ‘trip’ and ‘journey’ both describe the same plan. Terminology watch: ‘stops’, ‘destinations’ and ‘places’ overlap.</x:v>
      </x:c>
      <x:c r="S891" s="75" t="str">
        <x:v>Not applied — review required</x:v>
      </x:c>
    </x:row>
    <x:row r="892">
      <x:c r="A892" s="71" t="str">
        <x:v>MRV-62231194C5</x:v>
      </x:c>
      <x:c r="B892" s="71" t="str">
        <x:v>Legacy</x:v>
      </x:c>
      <x:c r="C892" s="71" t="str">
        <x:v>Plan next</x:v>
      </x:c>
      <x:c r="D892" s="71" t="str">
        <x:v>/journey/plan-next/map-plan-next</x:v>
      </x:c>
      <x:c r="E892" s="71" t="str">
        <x:v>MapPlanNext</x:v>
      </x:c>
      <x:c r="F892" s="71" t="str">
        <x:v>Default</x:v>
      </x:c>
      <x:c r="G892" s="71" t="str">
        <x:v>Label</x:v>
      </x:c>
      <x:c r="H892" s="71" t="str">
        <x:v>Accommodation</x:v>
      </x:c>
      <x:c r="I892" s="71" t="str">
        <x:v>Accommodation</x:v>
      </x:c>
      <x:c r="J892" s="73"/>
      <x:c r="K892" s="74" t="str">
        <x:f>IF(J892="",H892,IF(J892=I892,I892,J892))</x:f>
        <x:v>Accommodation</x:v>
      </x:c>
      <x:c r="L892" s="74" t="str">
        <x:f>IF(J892="","Keep current",IF(J892=I892,"Use suggestion","Custom"))</x:f>
        <x:v>Keep current</x:v>
      </x:c>
      <x:c r="M892" s="71" t="str">
        <x:v>Pending review</x:v>
      </x:c>
      <x:c r="N892" s="71" t="str">
        <x:v>Normal</x:v>
      </x:c>
      <x:c r="O892" s="71" t="str">
        <x:v>app/journey/plan-next/map-plan-next.tsx</x:v>
      </x:c>
      <x:c r="P892" s="71" t="str">
        <x:v>MapPlanNext:189</x:v>
      </x:c>
      <x:c r="Q892" s="71" t="str">
        <x:v>EN (default / shared)</x:v>
      </x:c>
      <x:c r="R892" s="71" t="str">
        <x:v>Already clear and direct; suggested wording intentionally keeps the current copy. Duplicate wording: appears 3 times.</x:v>
      </x:c>
      <x:c r="S892" s="75" t="str">
        <x:v>Not applied — review required</x:v>
      </x:c>
    </x:row>
    <x:row r="893">
      <x:c r="A893" s="71" t="str">
        <x:v>MRV-7D5C27E674</x:v>
      </x:c>
      <x:c r="B893" s="71" t="str">
        <x:v>Legacy</x:v>
      </x:c>
      <x:c r="C893" s="71" t="str">
        <x:v>Plan next</x:v>
      </x:c>
      <x:c r="D893" s="71" t="str">
        <x:v>/journey/plan-next/map-plan-next</x:v>
      </x:c>
      <x:c r="E893" s="71" t="str">
        <x:v>MapPlanNext</x:v>
      </x:c>
      <x:c r="F893" s="71" t="str">
        <x:v>Default</x:v>
      </x:c>
      <x:c r="G893" s="71" t="str">
        <x:v>Label</x:v>
      </x:c>
      <x:c r="H893" s="71" t="str">
        <x:v>Food nearby</x:v>
      </x:c>
      <x:c r="I893" s="71" t="str">
        <x:v>Food nearby</x:v>
      </x:c>
      <x:c r="J893" s="73"/>
      <x:c r="K893" s="74" t="str">
        <x:f>IF(J893="",H893,IF(J893=I893,I893,J893))</x:f>
        <x:v>Food nearby</x:v>
      </x:c>
      <x:c r="L893" s="74" t="str">
        <x:f>IF(J893="","Keep current",IF(J893=I893,"Use suggestion","Custom"))</x:f>
        <x:v>Keep current</x:v>
      </x:c>
      <x:c r="M893" s="71" t="str">
        <x:v>Pending review</x:v>
      </x:c>
      <x:c r="N893" s="71" t="str">
        <x:v>Normal</x:v>
      </x:c>
      <x:c r="O893" s="71" t="str">
        <x:v>app/journey/plan-next/map-plan-next.tsx</x:v>
      </x:c>
      <x:c r="P893" s="71" t="str">
        <x:v>MapPlanNext:189</x:v>
      </x:c>
      <x:c r="Q893" s="71" t="str">
        <x:v>EN (default / shared)</x:v>
      </x:c>
      <x:c r="R893" s="71" t="str">
        <x:v>Already clear and direct; suggested wording intentionally keeps the current copy.</x:v>
      </x:c>
      <x:c r="S893" s="75" t="str">
        <x:v>Not applied — review required</x:v>
      </x:c>
    </x:row>
    <x:row r="894">
      <x:c r="A894" s="71" t="str">
        <x:v>MRV-6BABE54789</x:v>
      </x:c>
      <x:c r="B894" s="71" t="str">
        <x:v>Legacy</x:v>
      </x:c>
      <x:c r="C894" s="71" t="str">
        <x:v>Plan next</x:v>
      </x:c>
      <x:c r="D894" s="71" t="str">
        <x:v>/journey/plan-next/map-plan-next</x:v>
      </x:c>
      <x:c r="E894" s="71" t="str">
        <x:v>MapPlanNext</x:v>
      </x:c>
      <x:c r="F894" s="71" t="str">
        <x:v>Default</x:v>
      </x:c>
      <x:c r="G894" s="71" t="str">
        <x:v>Label</x:v>
      </x:c>
      <x:c r="H894" s="71" t="str">
        <x:v>Places to see</x:v>
      </x:c>
      <x:c r="I894" s="71" t="str">
        <x:v>Places to see</x:v>
      </x:c>
      <x:c r="J894" s="73"/>
      <x:c r="K894" s="74" t="str">
        <x:f>IF(J894="",H894,IF(J894=I894,I894,J894))</x:f>
        <x:v>Places to see</x:v>
      </x:c>
      <x:c r="L894" s="74" t="str">
        <x:f>IF(J894="","Keep current",IF(J894=I894,"Use suggestion","Custom"))</x:f>
        <x:v>Keep current</x:v>
      </x:c>
      <x:c r="M894" s="71" t="str">
        <x:v>Pending review</x:v>
      </x:c>
      <x:c r="N894" s="71" t="str">
        <x:v>Normal</x:v>
      </x:c>
      <x:c r="O894" s="71" t="str">
        <x:v>app/journey/plan-next/map-plan-next.tsx</x:v>
      </x:c>
      <x:c r="P894" s="71" t="str">
        <x:v>MapPlanNext:189</x:v>
      </x:c>
      <x:c r="Q894" s="71" t="str">
        <x:v>EN (default / shared)</x:v>
      </x:c>
      <x:c r="R894" s="71" t="str">
        <x:v>Already clear and direct; suggested wording intentionally keeps the current copy. Terminology watch: ‘trip’ and ‘journey’ both describe the same plan. Terminology watch: ‘stops’, ‘destinations’ and ‘places’ overlap.</x:v>
      </x:c>
      <x:c r="S894" s="75" t="str">
        <x:v>Not applied — review required</x:v>
      </x:c>
    </x:row>
    <x:row r="895">
      <x:c r="A895" s="71" t="str">
        <x:v>MRV-43C5843B1B</x:v>
      </x:c>
      <x:c r="B895" s="71" t="str">
        <x:v>Legacy</x:v>
      </x:c>
      <x:c r="C895" s="71" t="str">
        <x:v>Plan next</x:v>
      </x:c>
      <x:c r="D895" s="71" t="str">
        <x:v>/journey/plan-next/map-plan-next</x:v>
      </x:c>
      <x:c r="E895" s="71" t="str">
        <x:v>MapPlanNext</x:v>
      </x:c>
      <x:c r="F895" s="71" t="str">
        <x:v>Default</x:v>
      </x:c>
      <x:c r="G895" s="71" t="str">
        <x:v>CTA / button</x:v>
      </x:c>
      <x:c r="H895" s="71" t="str">
        <x:v>Open the current planner to search and save</x:v>
      </x:c>
      <x:c r="I895" s="71" t="str">
        <x:v>Open the current planner to search and save</x:v>
      </x:c>
      <x:c r="J895" s="73"/>
      <x:c r="K895" s="74" t="str">
        <x:f>IF(J895="",H895,IF(J895=I895,I895,J895))</x:f>
        <x:v>Open the current planner to search and save</x:v>
      </x:c>
      <x:c r="L895" s="74" t="str">
        <x:f>IF(J895="","Keep current",IF(J895=I895,"Use suggestion","Custom"))</x:f>
        <x:v>Keep current</x:v>
      </x:c>
      <x:c r="M895" s="71" t="str">
        <x:v>Pending review</x:v>
      </x:c>
      <x:c r="N895" s="71" t="str">
        <x:v>Medium</x:v>
      </x:c>
      <x:c r="O895" s="71" t="str">
        <x:v>app/journey/plan-next/map-plan-next.tsx</x:v>
      </x:c>
      <x:c r="P895" s="71" t="str">
        <x:v>MapPlanNext:189</x:v>
      </x:c>
      <x:c r="Q895" s="71" t="str">
        <x:v>EN (default / shared)</x:v>
      </x:c>
      <x:c r="R895" s="71" t="str">
        <x:v>Already clear and direct; suggested wording intentionally keeps the current copy.</x:v>
      </x:c>
      <x:c r="S895" s="75" t="str">
        <x:v>Not applied — review required</x:v>
      </x:c>
    </x:row>
    <x:row r="896">
      <x:c r="A896" s="71" t="str">
        <x:v>MRV-3E8AAC917F</x:v>
      </x:c>
      <x:c r="B896" s="71" t="str">
        <x:v>Legacy</x:v>
      </x:c>
      <x:c r="C896" s="71" t="str">
        <x:v>Plan next</x:v>
      </x:c>
      <x:c r="D896" s="71" t="str">
        <x:v>/journey/plan-next/map-plan-next</x:v>
      </x:c>
      <x:c r="E896" s="71" t="str">
        <x:v>MapPlanNext</x:v>
      </x:c>
      <x:c r="F896" s="71" t="str">
        <x:v>Default</x:v>
      </x:c>
      <x:c r="G896" s="71" t="str">
        <x:v>Body copy</x:v>
      </x:c>
      <x:c r="H896" s="71" t="str">
        <x:v>for this stop.</x:v>
      </x:c>
      <x:c r="I896" s="71" t="str">
        <x:v>for this stop.</x:v>
      </x:c>
      <x:c r="J896" s="73"/>
      <x:c r="K896" s="74" t="str">
        <x:f>IF(J896="",H896,IF(J896=I896,I896,J896))</x:f>
        <x:v>for this stop.</x:v>
      </x:c>
      <x:c r="L896" s="74" t="str">
        <x:f>IF(J896="","Keep current",IF(J896=I896,"Use suggestion","Custom"))</x:f>
        <x:v>Keep current</x:v>
      </x:c>
      <x:c r="M896" s="71" t="str">
        <x:v>Pending review</x:v>
      </x:c>
      <x:c r="N896" s="71" t="str">
        <x:v>Normal</x:v>
      </x:c>
      <x:c r="O896" s="71" t="str">
        <x:v>app/journey/plan-next/map-plan-next.tsx</x:v>
      </x:c>
      <x:c r="P896" s="71" t="str">
        <x:v>MapPlanNext:189</x:v>
      </x:c>
      <x:c r="Q896" s="71" t="str">
        <x:v>EN (default / shared)</x:v>
      </x:c>
      <x:c r="R896" s="71" t="str">
        <x:v>Already clear and direct; suggested wording intentionally keeps the current copy. Terminology watch: ‘trip’ and ‘journey’ both describe the same plan. Terminology watch: ‘stops’, ‘destinations’ and ‘places’ overlap.</x:v>
      </x:c>
      <x:c r="S896" s="75" t="str">
        <x:v>Not applied — review required</x:v>
      </x:c>
    </x:row>
    <x:row r="897">
      <x:c r="A897" s="71" t="str">
        <x:v>MRV-130F732087</x:v>
      </x:c>
      <x:c r="B897" s="71" t="str">
        <x:v>Legacy</x:v>
      </x:c>
      <x:c r="C897" s="71" t="str">
        <x:v>Plan next</x:v>
      </x:c>
      <x:c r="D897" s="71" t="str">
        <x:v>/journey/plan-next/map-plan-next</x:v>
      </x:c>
      <x:c r="E897" s="71" t="str">
        <x:v>MapPlanNext</x:v>
      </x:c>
      <x:c r="F897" s="71" t="str">
        <x:v>Default</x:v>
      </x:c>
      <x:c r="G897" s="71" t="str">
        <x:v>CTA / button</x:v>
      </x:c>
      <x:c r="H897" s="71" t="str">
        <x:v>Open current planner</x:v>
      </x:c>
      <x:c r="I897" s="71" t="str">
        <x:v>Open current planner</x:v>
      </x:c>
      <x:c r="J897" s="73"/>
      <x:c r="K897" s="74" t="str">
        <x:f>IF(J897="",H897,IF(J897=I897,I897,J897))</x:f>
        <x:v>Open current planner</x:v>
      </x:c>
      <x:c r="L897" s="74" t="str">
        <x:f>IF(J897="","Keep current",IF(J897=I897,"Use suggestion","Custom"))</x:f>
        <x:v>Keep current</x:v>
      </x:c>
      <x:c r="M897" s="71" t="str">
        <x:v>Pending review</x:v>
      </x:c>
      <x:c r="N897" s="71" t="str">
        <x:v>Medium</x:v>
      </x:c>
      <x:c r="O897" s="71" t="str">
        <x:v>app/journey/plan-next/map-plan-next.tsx</x:v>
      </x:c>
      <x:c r="P897" s="71" t="str">
        <x:v>MapPlanNext:189</x:v>
      </x:c>
      <x:c r="Q897" s="71" t="str">
        <x:v>EN (default / shared)</x:v>
      </x:c>
      <x:c r="R897" s="71" t="str">
        <x:v>Already clear and direct; suggested wording intentionally keeps the current copy.</x:v>
      </x:c>
      <x:c r="S897" s="75" t="str">
        <x:v>Not applied — review required</x:v>
      </x:c>
    </x:row>
    <x:row r="898">
      <x:c r="A898" s="71" t="str">
        <x:v>MRV-BC2A80772C</x:v>
      </x:c>
      <x:c r="B898" s="71" t="str">
        <x:v>System</x:v>
      </x:c>
      <x:c r="C898" s="71" t="str">
        <x:v>Shared recovery / system</x:v>
      </x:c>
      <x:c r="D898" s="71" t="str">
        <x:v>/journey/prep</x:v>
      </x:c>
      <x:c r="E898" s="71" t="str">
        <x:v>metadata</x:v>
      </x:c>
      <x:c r="F898" s="71" t="str">
        <x:v>Default</x:v>
      </x:c>
      <x:c r="G898" s="71" t="str">
        <x:v>Tooltip</x:v>
      </x:c>
      <x:c r="H898" s="71" t="str">
        <x:v>Trip prep · Morrovia</x:v>
      </x:c>
      <x:c r="I898" s="71" t="str">
        <x:v>Trip prep · Morrovia</x:v>
      </x:c>
      <x:c r="J898" s="73"/>
      <x:c r="K898" s="74" t="str">
        <x:f>IF(J898="",H898,IF(J898=I898,I898,J898))</x:f>
        <x:v>Trip prep · Morrovia</x:v>
      </x:c>
      <x:c r="L898" s="74" t="str">
        <x:f>IF(J898="","Keep current",IF(J898=I898,"Use suggestion","Custom"))</x:f>
        <x:v>Keep current</x:v>
      </x:c>
      <x:c r="M898" s="71" t="str">
        <x:v>Pending review</x:v>
      </x:c>
      <x:c r="N898" s="71" t="str">
        <x:v>Normal</x:v>
      </x:c>
      <x:c r="O898" s="71" t="str">
        <x:v>app/journey/prep/page.tsx</x:v>
      </x:c>
      <x:c r="P898" s="71" t="str">
        <x:v>metadata:3</x:v>
      </x:c>
      <x:c r="Q898" s="71" t="str">
        <x:v>EN (default / shared)</x:v>
      </x:c>
      <x:c r="R898" s="71" t="str">
        <x:v>Already clear and direct; suggested wording intentionally keeps the current copy. Terminology watch: ‘trip’ and ‘journey’ both describe the same plan. Terminology watch: ‘stops’, ‘destinations’ and ‘places’ overlap.</x:v>
      </x:c>
      <x:c r="S898" s="75" t="str">
        <x:v>Not applied — review required</x:v>
      </x:c>
    </x:row>
    <x:row r="899">
      <x:c r="A899" s="71" t="str">
        <x:v>MRV-DF1E4675F4</x:v>
      </x:c>
      <x:c r="B899" s="71" t="str">
        <x:v>Trip workspace</x:v>
      </x:c>
      <x:c r="C899" s="71" t="str">
        <x:v>Prep</x:v>
      </x:c>
      <x:c r="D899" s="71" t="str">
        <x:v>/journey/prep/trip-prep-client</x:v>
      </x:c>
      <x:c r="E899" s="71" t="str">
        <x:v>TripPrepClient</x:v>
      </x:c>
      <x:c r="F899" s="71" t="str">
        <x:v>Default</x:v>
      </x:c>
      <x:c r="G899" s="71" t="str">
        <x:v>Label</x:v>
      </x:c>
      <x:c r="H899" s="71" t="str">
        <x:v>TRIP PREP</x:v>
      </x:c>
      <x:c r="I899" s="71" t="str">
        <x:v>TRIP PREP</x:v>
      </x:c>
      <x:c r="J899" s="73"/>
      <x:c r="K899" s="74" t="str">
        <x:f>IF(J899="",H899,IF(J899=I899,I899,J899))</x:f>
        <x:v>TRIP PREP</x:v>
      </x:c>
      <x:c r="L899" s="74" t="str">
        <x:f>IF(J899="","Keep current",IF(J899=I899,"Use suggestion","Custom"))</x:f>
        <x:v>Keep current</x:v>
      </x:c>
      <x:c r="M899" s="71" t="str">
        <x:v>Pending review</x:v>
      </x:c>
      <x:c r="N899" s="71" t="str">
        <x:v>Normal</x:v>
      </x:c>
      <x:c r="O899" s="71" t="str">
        <x:v>app/journey/prep/trip-prep-client.tsx</x:v>
      </x:c>
      <x:c r="P899" s="71" t="str">
        <x:v>TripPrepClient:54</x:v>
      </x:c>
      <x:c r="Q899" s="71" t="str">
        <x:v>EN (default / shared)</x:v>
      </x:c>
      <x:c r="R899" s="71" t="str">
        <x:v>Already clear and direct; suggested wording intentionally keeps the current copy. Duplicate wording: appears 5 times. Terminology watch: ‘trip’ and ‘journey’ both describe the same plan. Terminology watch: ‘stops’, ‘destinations’ and ‘places’ overlap.</x:v>
      </x:c>
      <x:c r="S899" s="75" t="str">
        <x:v>Not applied — review required</x:v>
      </x:c>
    </x:row>
    <x:row r="900">
      <x:c r="A900" s="71" t="str">
        <x:v>MRV-FD7E8B3E5D</x:v>
      </x:c>
      <x:c r="B900" s="71" t="str">
        <x:v>Trip workspace</x:v>
      </x:c>
      <x:c r="C900" s="71" t="str">
        <x:v>Prep</x:v>
      </x:c>
      <x:c r="D900" s="71" t="str">
        <x:v>/journey/prep/trip-prep-client</x:v>
      </x:c>
      <x:c r="E900" s="71" t="str">
        <x:v>TripPrepClient</x:v>
      </x:c>
      <x:c r="F900" s="71" t="str">
        <x:v>Default</x:v>
      </x:c>
      <x:c r="G900" s="71" t="str">
        <x:v>Body copy</x:v>
      </x:c>
      <x:c r="H900" s="71" t="str">
        <x:v>Choose a trip first.</x:v>
      </x:c>
      <x:c r="I900" s="71" t="str">
        <x:v>Choose a trip first.</x:v>
      </x:c>
      <x:c r="J900" s="73"/>
      <x:c r="K900" s="74" t="str">
        <x:f>IF(J900="",H900,IF(J900=I900,I900,J900))</x:f>
        <x:v>Choose a trip first.</x:v>
      </x:c>
      <x:c r="L900" s="74" t="str">
        <x:f>IF(J900="","Keep current",IF(J900=I900,"Use suggestion","Custom"))</x:f>
        <x:v>Keep current</x:v>
      </x:c>
      <x:c r="M900" s="71" t="str">
        <x:v>Pending review</x:v>
      </x:c>
      <x:c r="N900" s="71" t="str">
        <x:v>Normal</x:v>
      </x:c>
      <x:c r="O900" s="71" t="str">
        <x:v>app/journey/prep/trip-prep-client.tsx</x:v>
      </x:c>
      <x:c r="P900" s="71" t="str">
        <x:v>TripPrepClient:54</x:v>
      </x:c>
      <x:c r="Q900" s="71" t="str">
        <x:v>EN (default / shared)</x:v>
      </x:c>
      <x:c r="R900" s="71" t="str">
        <x:v>Already clear and direct; suggested wording intentionally keeps the current copy. Terminology watch: ‘trip’ and ‘journey’ both describe the same plan. Terminology watch: ‘stops’, ‘destinations’ and ‘places’ overlap.</x:v>
      </x:c>
      <x:c r="S900" s="75" t="str">
        <x:v>Not applied — review required</x:v>
      </x:c>
    </x:row>
    <x:row r="901">
      <x:c r="A901" s="71" t="str">
        <x:v>MRV-7F96425498</x:v>
      </x:c>
      <x:c r="B901" s="71" t="str">
        <x:v>Trip workspace</x:v>
      </x:c>
      <x:c r="C901" s="71" t="str">
        <x:v>Prep</x:v>
      </x:c>
      <x:c r="D901" s="71" t="str">
        <x:v>/journey/prep/trip-prep-client</x:v>
      </x:c>
      <x:c r="E901" s="71" t="str">
        <x:v>TripPrepClient</x:v>
      </x:c>
      <x:c r="F901" s="71" t="str">
        <x:v>Default</x:v>
      </x:c>
      <x:c r="G901" s="71" t="str">
        <x:v>Body copy</x:v>
      </x:c>
      <x:c r="H901" s="71" t="str">
        <x:v>Once you have a route, its practical preparation will live here.</x:v>
      </x:c>
      <x:c r="I901" s="71" t="str">
        <x:v>Once you have a route, its practical preparation will live here.</x:v>
      </x:c>
      <x:c r="J901" s="73"/>
      <x:c r="K901" s="74" t="str">
        <x:f>IF(J901="",H901,IF(J901=I901,I901,J901))</x:f>
        <x:v>Once you have a route, its practical preparation will live here.</x:v>
      </x:c>
      <x:c r="L901" s="74" t="str">
        <x:f>IF(J901="","Keep current",IF(J901=I901,"Use suggestion","Custom"))</x:f>
        <x:v>Keep current</x:v>
      </x:c>
      <x:c r="M901" s="71" t="str">
        <x:v>Pending review</x:v>
      </x:c>
      <x:c r="N901" s="71" t="str">
        <x:v>Normal</x:v>
      </x:c>
      <x:c r="O901" s="71" t="str">
        <x:v>app/journey/prep/trip-prep-client.tsx</x:v>
      </x:c>
      <x:c r="P901" s="71" t="str">
        <x:v>TripPrepClient:54</x:v>
      </x:c>
      <x:c r="Q901" s="71" t="str">
        <x:v>EN (default / shared)</x:v>
      </x:c>
      <x:c r="R901" s="71" t="str">
        <x:v>Already clear and direct; suggested wording intentionally keeps the current copy.</x:v>
      </x:c>
      <x:c r="S901" s="75" t="str">
        <x:v>Not applied — review required</x:v>
      </x:c>
    </x:row>
    <x:row r="902">
      <x:c r="A902" s="71" t="str">
        <x:v>MRV-08DBC79E3E</x:v>
      </x:c>
      <x:c r="B902" s="71" t="str">
        <x:v>Trip workspace</x:v>
      </x:c>
      <x:c r="C902" s="71" t="str">
        <x:v>Prep</x:v>
      </x:c>
      <x:c r="D902" s="71" t="str">
        <x:v>/journey/prep/trip-prep-client</x:v>
      </x:c>
      <x:c r="E902" s="71" t="str">
        <x:v>TripPrepClient</x:v>
      </x:c>
      <x:c r="F902" s="71" t="str">
        <x:v>Default</x:v>
      </x:c>
      <x:c r="G902" s="71" t="str">
        <x:v>Label</x:v>
      </x:c>
      <x:c r="H902" s="71" t="str">
        <x:v>See your trips</x:v>
      </x:c>
      <x:c r="I902" s="71" t="str">
        <x:v>See your trips</x:v>
      </x:c>
      <x:c r="J902" s="73"/>
      <x:c r="K902" s="74" t="str">
        <x:f>IF(J902="",H902,IF(J902=I902,I902,J902))</x:f>
        <x:v>See your trips</x:v>
      </x:c>
      <x:c r="L902" s="74" t="str">
        <x:f>IF(J902="","Keep current",IF(J902=I902,"Use suggestion","Custom"))</x:f>
        <x:v>Keep current</x:v>
      </x:c>
      <x:c r="M902" s="71" t="str">
        <x:v>Pending review</x:v>
      </x:c>
      <x:c r="N902" s="71" t="str">
        <x:v>Normal</x:v>
      </x:c>
      <x:c r="O902" s="71" t="str">
        <x:v>app/journey/prep/trip-prep-client.tsx</x:v>
      </x:c>
      <x:c r="P902" s="71" t="str">
        <x:v>TripPrepClient:54</x:v>
      </x:c>
      <x:c r="Q902" s="71" t="str">
        <x:v>EN (default / shared)</x:v>
      </x:c>
      <x:c r="R902" s="71" t="str">
        <x:v>Already clear and direct; suggested wording intentionally keeps the current copy. Terminology watch: ‘trip’ and ‘journey’ both describe the same plan. Terminology watch: ‘stops’, ‘destinations’ and ‘places’ overlap.</x:v>
      </x:c>
      <x:c r="S902" s="75" t="str">
        <x:v>Not applied — review required</x:v>
      </x:c>
    </x:row>
    <x:row r="903">
      <x:c r="A903" s="71" t="str">
        <x:v>MRV-41DA16819F</x:v>
      </x:c>
      <x:c r="B903" s="71" t="str">
        <x:v>Trip workspace</x:v>
      </x:c>
      <x:c r="C903" s="71" t="str">
        <x:v>Prep</x:v>
      </x:c>
      <x:c r="D903" s="71" t="str">
        <x:v>/journey/prep/trip-prep-client</x:v>
      </x:c>
      <x:c r="E903" s="71" t="str">
        <x:v>TripPrepClient</x:v>
      </x:c>
      <x:c r="F903" s="71" t="str">
        <x:v>Default</x:v>
      </x:c>
      <x:c r="G903" s="71" t="str">
        <x:v>Label</x:v>
      </x:c>
      <x:c r="H903" s="71" t="str">
        <x:v>YOUR TRIP · PRACTICALS</x:v>
      </x:c>
      <x:c r="I903" s="71" t="str">
        <x:v>YOUR TRIP · PRACTICALS</x:v>
      </x:c>
      <x:c r="J903" s="73"/>
      <x:c r="K903" s="74" t="str">
        <x:f>IF(J903="",H903,IF(J903=I903,I903,J903))</x:f>
        <x:v>YOUR TRIP · PRACTICALS</x:v>
      </x:c>
      <x:c r="L903" s="74" t="str">
        <x:f>IF(J903="","Keep current",IF(J903=I903,"Use suggestion","Custom"))</x:f>
        <x:v>Keep current</x:v>
      </x:c>
      <x:c r="M903" s="71" t="str">
        <x:v>Pending review</x:v>
      </x:c>
      <x:c r="N903" s="71" t="str">
        <x:v>Normal</x:v>
      </x:c>
      <x:c r="O903" s="71" t="str">
        <x:v>app/journey/prep/trip-prep-client.tsx</x:v>
      </x:c>
      <x:c r="P903" s="71" t="str">
        <x:v>TripPrepClient:60</x:v>
      </x:c>
      <x:c r="Q903" s="71" t="str">
        <x:v>EN (default / shared)</x:v>
      </x:c>
      <x:c r="R903" s="71" t="str">
        <x:v>Already clear and direct; suggested wording intentionally keeps the current copy. Terminology watch: ‘trip’ and ‘journey’ both describe the same plan. Terminology watch: ‘stops’, ‘destinations’ and ‘places’ overlap.</x:v>
      </x:c>
      <x:c r="S903" s="75" t="str">
        <x:v>Not applied — review required</x:v>
      </x:c>
    </x:row>
    <x:row r="904">
      <x:c r="A904" s="71" t="str">
        <x:v>MRV-C11E72961C</x:v>
      </x:c>
      <x:c r="B904" s="71" t="str">
        <x:v>Trip workspace</x:v>
      </x:c>
      <x:c r="C904" s="71" t="str">
        <x:v>Prep</x:v>
      </x:c>
      <x:c r="D904" s="71" t="str">
        <x:v>/journey/prep/trip-prep-client</x:v>
      </x:c>
      <x:c r="E904" s="71" t="str">
        <x:v>TripPrepClient</x:v>
      </x:c>
      <x:c r="F904" s="71" t="str">
        <x:v>Default</x:v>
      </x:c>
      <x:c r="G904" s="71" t="str">
        <x:v>CTA / button</x:v>
      </x:c>
      <x:c r="H904" s="71" t="str">
        <x:v>Plan en mapa</x:v>
      </x:c>
      <x:c r="I904" s="71" t="str">
        <x:v>Plan en mapa</x:v>
      </x:c>
      <x:c r="J904" s="73"/>
      <x:c r="K904" s="74" t="str">
        <x:f>IF(J904="",H904,IF(J904=I904,I904,J904))</x:f>
        <x:v>Plan en mapa</x:v>
      </x:c>
      <x:c r="L904" s="74" t="str">
        <x:f>IF(J904="","Keep current",IF(J904=I904,"Use suggestion","Custom"))</x:f>
        <x:v>Keep current</x:v>
      </x:c>
      <x:c r="M904" s="71" t="str">
        <x:v>Pending review</x:v>
      </x:c>
      <x:c r="N904" s="71" t="str">
        <x:v>Medium</x:v>
      </x:c>
      <x:c r="O904" s="71" t="str">
        <x:v>app/journey/prep/trip-prep-client.tsx</x:v>
      </x:c>
      <x:c r="P904" s="71" t="str">
        <x:v>TripPrepClient:61</x:v>
      </x:c>
      <x:c r="Q904" s="71" t="str">
        <x:v>ES</x:v>
      </x:c>
      <x:c r="R904" s="71" t="str">
        <x:v>Already clear and direct; suggested wording intentionally keeps the current copy.</x:v>
      </x:c>
      <x:c r="S904" s="75" t="str">
        <x:v>Not applied — review required</x:v>
      </x:c>
    </x:row>
    <x:row r="905">
      <x:c r="A905" s="71" t="str">
        <x:v>MRV-1435C528AE</x:v>
      </x:c>
      <x:c r="B905" s="71" t="str">
        <x:v>Trip workspace</x:v>
      </x:c>
      <x:c r="C905" s="71" t="str">
        <x:v>Prep</x:v>
      </x:c>
      <x:c r="D905" s="71" t="str">
        <x:v>/journey/prep/trip-prep-client</x:v>
      </x:c>
      <x:c r="E905" s="71" t="str">
        <x:v>TripPrepClient</x:v>
      </x:c>
      <x:c r="F905" s="71" t="str">
        <x:v>Default</x:v>
      </x:c>
      <x:c r="G905" s="71" t="str">
        <x:v>Label</x:v>
      </x:c>
      <x:c r="H905" s="71" t="str">
        <x:v>Map plan</x:v>
      </x:c>
      <x:c r="I905" s="71" t="str">
        <x:v>Map plan</x:v>
      </x:c>
      <x:c r="J905" s="73"/>
      <x:c r="K905" s="74" t="str">
        <x:f>IF(J905="",H905,IF(J905=I905,I905,J905))</x:f>
        <x:v>Map plan</x:v>
      </x:c>
      <x:c r="L905" s="74" t="str">
        <x:f>IF(J905="","Keep current",IF(J905=I905,"Use suggestion","Custom"))</x:f>
        <x:v>Keep current</x:v>
      </x:c>
      <x:c r="M905" s="71" t="str">
        <x:v>Pending review</x:v>
      </x:c>
      <x:c r="N905" s="71" t="str">
        <x:v>Normal</x:v>
      </x:c>
      <x:c r="O905" s="71" t="str">
        <x:v>app/journey/prep/trip-prep-client.tsx</x:v>
      </x:c>
      <x:c r="P905" s="71" t="str">
        <x:v>TripPrepClient:61</x:v>
      </x:c>
      <x:c r="Q905" s="71" t="str">
        <x:v>EN</x:v>
      </x:c>
      <x:c r="R905" s="71" t="str">
        <x:v>Already clear and direct; suggested wording intentionally keeps the current copy.</x:v>
      </x:c>
      <x:c r="S905" s="75" t="str">
        <x:v>Not applied — review required</x:v>
      </x:c>
    </x:row>
    <x:row r="906">
      <x:c r="A906" s="71" t="str">
        <x:v>MRV-41BC70766F</x:v>
      </x:c>
      <x:c r="B906" s="71" t="str">
        <x:v>Trip workspace</x:v>
      </x:c>
      <x:c r="C906" s="71" t="str">
        <x:v>Prep</x:v>
      </x:c>
      <x:c r="D906" s="71" t="str">
        <x:v>/journey/prep/trip-prep-client</x:v>
      </x:c>
      <x:c r="E906" s="71" t="str">
        <x:v>TripPrepClient</x:v>
      </x:c>
      <x:c r="F906" s="71" t="str">
        <x:v>Default</x:v>
      </x:c>
      <x:c r="G906" s="71" t="str">
        <x:v>Label</x:v>
      </x:c>
      <x:c r="H906" s="71" t="str">
        <x:v>Preparación</x:v>
      </x:c>
      <x:c r="I906" s="71" t="str">
        <x:v>Preparación</x:v>
      </x:c>
      <x:c r="J906" s="73"/>
      <x:c r="K906" s="74" t="str">
        <x:f>IF(J906="",H906,IF(J906=I906,I906,J906))</x:f>
        <x:v>Preparación</x:v>
      </x:c>
      <x:c r="L906" s="74" t="str">
        <x:f>IF(J906="","Keep current",IF(J906=I906,"Use suggestion","Custom"))</x:f>
        <x:v>Keep current</x:v>
      </x:c>
      <x:c r="M906" s="71" t="str">
        <x:v>Pending review</x:v>
      </x:c>
      <x:c r="N906" s="71" t="str">
        <x:v>Normal</x:v>
      </x:c>
      <x:c r="O906" s="71" t="str">
        <x:v>app/journey/prep/trip-prep-client.tsx</x:v>
      </x:c>
      <x:c r="P906" s="71" t="str">
        <x:v>TripPrepClient:61</x:v>
      </x:c>
      <x:c r="Q906" s="71" t="str">
        <x:v>ES</x:v>
      </x:c>
      <x:c r="R906" s="71" t="str">
        <x:v>Already clear and direct; suggested wording intentionally keeps the current copy.</x:v>
      </x:c>
      <x:c r="S906" s="75" t="str">
        <x:v>Not applied — review required</x:v>
      </x:c>
    </x:row>
    <x:row r="907">
      <x:c r="A907" s="71" t="str">
        <x:v>MRV-AF533C9B18</x:v>
      </x:c>
      <x:c r="B907" s="71" t="str">
        <x:v>Trip workspace</x:v>
      </x:c>
      <x:c r="C907" s="71" t="str">
        <x:v>Prep</x:v>
      </x:c>
      <x:c r="D907" s="71" t="str">
        <x:v>/journey/prep/trip-prep-client</x:v>
      </x:c>
      <x:c r="E907" s="71" t="str">
        <x:v>TripPrepClient</x:v>
      </x:c>
      <x:c r="F907" s="71" t="str">
        <x:v>Default</x:v>
      </x:c>
      <x:c r="G907" s="71" t="str">
        <x:v>Label</x:v>
      </x:c>
      <x:c r="H907" s="71" t="str">
        <x:v>Trip prep</x:v>
      </x:c>
      <x:c r="I907" s="71" t="str">
        <x:v>Trip prep</x:v>
      </x:c>
      <x:c r="J907" s="73"/>
      <x:c r="K907" s="74" t="str">
        <x:f>IF(J907="",H907,IF(J907=I907,I907,J907))</x:f>
        <x:v>Trip prep</x:v>
      </x:c>
      <x:c r="L907" s="74" t="str">
        <x:f>IF(J907="","Keep current",IF(J907=I907,"Use suggestion","Custom"))</x:f>
        <x:v>Keep current</x:v>
      </x:c>
      <x:c r="M907" s="71" t="str">
        <x:v>Pending review</x:v>
      </x:c>
      <x:c r="N907" s="71" t="str">
        <x:v>Normal</x:v>
      </x:c>
      <x:c r="O907" s="71" t="str">
        <x:v>app/journey/prep/trip-prep-client.tsx</x:v>
      </x:c>
      <x:c r="P907" s="71" t="str">
        <x:v>TripPrepClient:61</x:v>
      </x:c>
      <x:c r="Q907" s="71" t="str">
        <x:v>EN</x:v>
      </x:c>
      <x:c r="R907" s="71" t="str">
        <x:v>Already clear and direct; suggested wording intentionally keeps the current copy. Duplicate wording: appears 5 times. Terminology watch: ‘trip’ and ‘journey’ both describe the same plan. Terminology watch: ‘stops’, ‘destinations’ and ‘places’ overlap.</x:v>
      </x:c>
      <x:c r="S907" s="75" t="str">
        <x:v>Not applied — review required</x:v>
      </x:c>
    </x:row>
    <x:row r="908">
      <x:c r="A908" s="71" t="str">
        <x:v>MRV-894B65949A</x:v>
      </x:c>
      <x:c r="B908" s="71" t="str">
        <x:v>Trip workspace</x:v>
      </x:c>
      <x:c r="C908" s="71" t="str">
        <x:v>Prep</x:v>
      </x:c>
      <x:c r="D908" s="71" t="str">
        <x:v>/journey/prep/trip-prep-client</x:v>
      </x:c>
      <x:c r="E908" s="71" t="str">
        <x:v>TripPrepClient</x:v>
      </x:c>
      <x:c r="F908" s="71" t="str">
        <x:v>Default</x:v>
      </x:c>
      <x:c r="G908" s="71" t="str">
        <x:v>CTA / button</x:v>
      </x:c>
      <x:c r="H908" s="71" t="str">
        <x:v>Add departure</x:v>
      </x:c>
      <x:c r="I908" s="71" t="str">
        <x:v>Add departure</x:v>
      </x:c>
      <x:c r="J908" s="73"/>
      <x:c r="K908" s="74" t="str">
        <x:f>IF(J908="",H908,IF(J908=I908,I908,J908))</x:f>
        <x:v>Add departure</x:v>
      </x:c>
      <x:c r="L908" s="74" t="str">
        <x:f>IF(J908="","Keep current",IF(J908=I908,"Use suggestion","Custom"))</x:f>
        <x:v>Keep current</x:v>
      </x:c>
      <x:c r="M908" s="71" t="str">
        <x:v>Pending review</x:v>
      </x:c>
      <x:c r="N908" s="71" t="str">
        <x:v>Medium</x:v>
      </x:c>
      <x:c r="O908" s="71" t="str">
        <x:v>app/journey/prep/trip-prep-client.tsx</x:v>
      </x:c>
      <x:c r="P908" s="71" t="str">
        <x:v>TripPrepClient:63</x:v>
      </x:c>
      <x:c r="Q908" s="71" t="str">
        <x:v>EN (default / shared)</x:v>
      </x:c>
      <x:c r="R908" s="71" t="str">
        <x:v>Already clear and direct; suggested wording intentionally keeps the current copy.</x:v>
      </x:c>
      <x:c r="S908" s="75" t="str">
        <x:v>Not applied — review required</x:v>
      </x:c>
    </x:row>
    <x:row r="909">
      <x:c r="A909" s="71" t="str">
        <x:v>MRV-D60CAFE3FD</x:v>
      </x:c>
      <x:c r="B909" s="71" t="str">
        <x:v>Trip workspace</x:v>
      </x:c>
      <x:c r="C909" s="71" t="str">
        <x:v>Prep</x:v>
      </x:c>
      <x:c r="D909" s="71" t="str">
        <x:v>/journey/prep/trip-prep-client</x:v>
      </x:c>
      <x:c r="E909" s="71" t="str">
        <x:v>TripPrepClient</x:v>
      </x:c>
      <x:c r="F909" s="71" t="str">
        <x:v>Default</x:v>
      </x:c>
      <x:c r="G909" s="71" t="str">
        <x:v>Label</x:v>
      </x:c>
      <x:c r="H909" s="71" t="str">
        <x:v>stops ·</x:v>
      </x:c>
      <x:c r="I909" s="71" t="str">
        <x:v>stops ·</x:v>
      </x:c>
      <x:c r="J909" s="73"/>
      <x:c r="K909" s="74" t="str">
        <x:f>IF(J909="",H909,IF(J909=I909,I909,J909))</x:f>
        <x:v>stops ·</x:v>
      </x:c>
      <x:c r="L909" s="74" t="str">
        <x:f>IF(J909="","Keep current",IF(J909=I909,"Use suggestion","Custom"))</x:f>
        <x:v>Keep current</x:v>
      </x:c>
      <x:c r="M909" s="71" t="str">
        <x:v>Pending review</x:v>
      </x:c>
      <x:c r="N909" s="71" t="str">
        <x:v>Normal</x:v>
      </x:c>
      <x:c r="O909" s="71" t="str">
        <x:v>app/journey/prep/trip-prep-client.tsx</x:v>
      </x:c>
      <x:c r="P909" s="71" t="str">
        <x:v>TripPrepClient:63</x:v>
      </x:c>
      <x:c r="Q909" s="71" t="str">
        <x:v>EN (default / shared)</x:v>
      </x:c>
      <x:c r="R909" s="71" t="str">
        <x:v>Already clear and direct; suggested wording intentionally keeps the current copy. Terminology watch: ‘trip’ and ‘journey’ both describe the same plan. Terminology watch: ‘stops’, ‘destinations’ and ‘places’ overlap.</x:v>
      </x:c>
      <x:c r="S909" s="75" t="str">
        <x:v>Not applied — review required</x:v>
      </x:c>
    </x:row>
    <x:row r="910">
      <x:c r="A910" s="71" t="str">
        <x:v>MRV-C39FA4068D</x:v>
      </x:c>
      <x:c r="B910" s="71" t="str">
        <x:v>Trip workspace</x:v>
      </x:c>
      <x:c r="C910" s="71" t="str">
        <x:v>Prep</x:v>
      </x:c>
      <x:c r="D910" s="71" t="str">
        <x:v>/journey/prep/trip-prep-client</x:v>
      </x:c>
      <x:c r="E910" s="71" t="str">
        <x:v>TripPrepClient</x:v>
      </x:c>
      <x:c r="F910" s="71" t="str">
        <x:v>Default</x:v>
      </x:c>
      <x:c r="G910" s="71" t="str">
        <x:v>Label</x:v>
      </x:c>
      <x:c r="H910" s="71" t="str">
        <x:v>MAKE IT USEFUL</x:v>
      </x:c>
      <x:c r="I910" s="71" t="str">
        <x:v>MAKE IT USEFUL</x:v>
      </x:c>
      <x:c r="J910" s="73"/>
      <x:c r="K910" s="74" t="str">
        <x:f>IF(J910="",H910,IF(J910=I910,I910,J910))</x:f>
        <x:v>MAKE IT USEFUL</x:v>
      </x:c>
      <x:c r="L910" s="74" t="str">
        <x:f>IF(J910="","Keep current",IF(J910=I910,"Use suggestion","Custom"))</x:f>
        <x:v>Keep current</x:v>
      </x:c>
      <x:c r="M910" s="71" t="str">
        <x:v>Pending review</x:v>
      </x:c>
      <x:c r="N910" s="71" t="str">
        <x:v>Normal</x:v>
      </x:c>
      <x:c r="O910" s="71" t="str">
        <x:v>app/journey/prep/trip-prep-client.tsx</x:v>
      </x:c>
      <x:c r="P910" s="71" t="str">
        <x:v>TripPrepClient:66</x:v>
      </x:c>
      <x:c r="Q910" s="71" t="str">
        <x:v>EN (default / shared)</x:v>
      </x:c>
      <x:c r="R910" s="71" t="str">
        <x:v>Already clear and direct; suggested wording intentionally keeps the current copy.</x:v>
      </x:c>
      <x:c r="S910" s="75" t="str">
        <x:v>Not applied — review required</x:v>
      </x:c>
    </x:row>
    <x:row r="911">
      <x:c r="A911" s="71" t="str">
        <x:v>MRV-7ED8E089E1</x:v>
      </x:c>
      <x:c r="B911" s="71" t="str">
        <x:v>Trip workspace</x:v>
      </x:c>
      <x:c r="C911" s="71" t="str">
        <x:v>Prep</x:v>
      </x:c>
      <x:c r="D911" s="71" t="str">
        <x:v>/journey/prep/trip-prep-client</x:v>
      </x:c>
      <x:c r="E911" s="71" t="str">
        <x:v>TripPrepClient</x:v>
      </x:c>
      <x:c r="F911" s="71" t="str">
        <x:v>Default</x:v>
      </x:c>
      <x:c r="G911" s="71" t="str">
        <x:v>CTA / button</x:v>
      </x:c>
      <x:c r="H911" s="71" t="str">
        <x:v>Plan first. Prepare once the route is real.</x:v>
      </x:c>
      <x:c r="I911" s="71" t="str">
        <x:v>Plan first. Prepare once the route is real.</x:v>
      </x:c>
      <x:c r="J911" s="73"/>
      <x:c r="K911" s="74" t="str">
        <x:f>IF(J911="",H911,IF(J911=I911,I911,J911))</x:f>
        <x:v>Plan first. Prepare once the route is real.</x:v>
      </x:c>
      <x:c r="L911" s="74" t="str">
        <x:f>IF(J911="","Keep current",IF(J911=I911,"Use suggestion","Custom"))</x:f>
        <x:v>Keep current</x:v>
      </x:c>
      <x:c r="M911" s="71" t="str">
        <x:v>Pending review</x:v>
      </x:c>
      <x:c r="N911" s="71" t="str">
        <x:v>Medium</x:v>
      </x:c>
      <x:c r="O911" s="71" t="str">
        <x:v>app/journey/prep/trip-prep-client.tsx</x:v>
      </x:c>
      <x:c r="P911" s="71" t="str">
        <x:v>TripPrepClient:66</x:v>
      </x:c>
      <x:c r="Q911" s="71" t="str">
        <x:v>EN (default / shared)</x:v>
      </x:c>
      <x:c r="R911" s="71" t="str">
        <x:v>Already clear and direct; suggested wording intentionally keeps the current copy.</x:v>
      </x:c>
      <x:c r="S911" s="75" t="str">
        <x:v>Not applied — review required</x:v>
      </x:c>
    </x:row>
    <x:row r="912">
      <x:c r="A912" s="71" t="str">
        <x:v>MRV-C226874C98</x:v>
      </x:c>
      <x:c r="B912" s="71" t="str">
        <x:v>Trip workspace</x:v>
      </x:c>
      <x:c r="C912" s="71" t="str">
        <x:v>Prep</x:v>
      </x:c>
      <x:c r="D912" s="71" t="str">
        <x:v>/journey/prep/trip-prep-client</x:v>
      </x:c>
      <x:c r="E912" s="71" t="str">
        <x:v>TripPrepClient</x:v>
      </x:c>
      <x:c r="F912" s="71" t="str">
        <x:v>Default</x:v>
      </x:c>
      <x:c r="G912" s="71" t="str">
        <x:v>Body copy</x:v>
      </x:c>
      <x:c r="H912" s="71" t="str">
        <x:v>Entry guidance, connectivity and the practical decisions belong here—not in the route builder.</x:v>
      </x:c>
      <x:c r="I912" s="71" t="str">
        <x:v>Entry guidance, connectivity and the practical decisions belong here—not in the route builder.</x:v>
      </x:c>
      <x:c r="J912" s="73"/>
      <x:c r="K912" s="74" t="str">
        <x:f>IF(J912="",H912,IF(J912=I912,I912,J912))</x:f>
        <x:v>Entry guidance, connectivity and the practical decisions belong here—not in the route builder.</x:v>
      </x:c>
      <x:c r="L912" s="74" t="str">
        <x:f>IF(J912="","Keep current",IF(J912=I912,"Use suggestion","Custom"))</x:f>
        <x:v>Keep current</x:v>
      </x:c>
      <x:c r="M912" s="71" t="str">
        <x:v>Pending review</x:v>
      </x:c>
      <x:c r="N912" s="71" t="str">
        <x:v>Normal</x:v>
      </x:c>
      <x:c r="O912" s="71" t="str">
        <x:v>app/journey/prep/trip-prep-client.tsx</x:v>
      </x:c>
      <x:c r="P912" s="71" t="str">
        <x:v>TripPrepClient:66</x:v>
      </x:c>
      <x:c r="Q912" s="71" t="str">
        <x:v>EN (default / shared)</x:v>
      </x:c>
      <x:c r="R912" s="71" t="str">
        <x:v>Already clear and direct; suggested wording intentionally keeps the current copy.</x:v>
      </x:c>
      <x:c r="S912" s="75" t="str">
        <x:v>Not applied — review required</x:v>
      </x:c>
    </x:row>
    <x:row r="913">
      <x:c r="A913" s="71" t="str">
        <x:v>MRV-E00D110CF1</x:v>
      </x:c>
      <x:c r="B913" s="71" t="str">
        <x:v>Trip workspace</x:v>
      </x:c>
      <x:c r="C913" s="71" t="str">
        <x:v>Prep</x:v>
      </x:c>
      <x:c r="D913" s="71" t="str">
        <x:v>/journey/prep/trip-prep-client</x:v>
      </x:c>
      <x:c r="E913" s="71" t="str">
        <x:v>TripPrepClient</x:v>
      </x:c>
      <x:c r="F913" s="71" t="str">
        <x:v>Default</x:v>
      </x:c>
      <x:c r="G913" s="71" t="str">
        <x:v>CTA / button</x:v>
      </x:c>
      <x:c r="H913" s="71" t="str">
        <x:v>Edit the route</x:v>
      </x:c>
      <x:c r="I913" s="71" t="str">
        <x:v>Edit the route</x:v>
      </x:c>
      <x:c r="J913" s="73"/>
      <x:c r="K913" s="74" t="str">
        <x:f>IF(J913="",H913,IF(J913=I913,I913,J913))</x:f>
        <x:v>Edit the route</x:v>
      </x:c>
      <x:c r="L913" s="74" t="str">
        <x:f>IF(J913="","Keep current",IF(J913=I913,"Use suggestion","Custom"))</x:f>
        <x:v>Keep current</x:v>
      </x:c>
      <x:c r="M913" s="71" t="str">
        <x:v>Pending review</x:v>
      </x:c>
      <x:c r="N913" s="71" t="str">
        <x:v>Medium</x:v>
      </x:c>
      <x:c r="O913" s="71" t="str">
        <x:v>app/journey/prep/trip-prep-client.tsx</x:v>
      </x:c>
      <x:c r="P913" s="71" t="str">
        <x:v>TripPrepClient:66</x:v>
      </x:c>
      <x:c r="Q913" s="71" t="str">
        <x:v>EN (default / shared)</x:v>
      </x:c>
      <x:c r="R913" s="71" t="str">
        <x:v>Already clear and direct; suggested wording intentionally keeps the current copy.</x:v>
      </x:c>
      <x:c r="S913" s="75" t="str">
        <x:v>Not applied — review required</x:v>
      </x:c>
    </x:row>
    <x:row r="914">
      <x:c r="A914" s="71" t="str">
        <x:v>MRV-46BEDCEC2C</x:v>
      </x:c>
      <x:c r="B914" s="71" t="str">
        <x:v>Trip workspace</x:v>
      </x:c>
      <x:c r="C914" s="71" t="str">
        <x:v>Prep</x:v>
      </x:c>
      <x:c r="D914" s="71" t="str">
        <x:v>/journey/prep/trip-prep-client</x:v>
      </x:c>
      <x:c r="E914" s="71" t="str">
        <x:v>TripPrepClient</x:v>
      </x:c>
      <x:c r="F914" s="71" t="str">
        <x:v>Default</x:v>
      </x:c>
      <x:c r="G914" s="71" t="str">
        <x:v>CTA / button</x:v>
      </x:c>
      <x:c r="H914" s="71" t="str">
        <x:v>Open map plan</x:v>
      </x:c>
      <x:c r="I914" s="71" t="str">
        <x:v>Open map plan</x:v>
      </x:c>
      <x:c r="J914" s="73"/>
      <x:c r="K914" s="74" t="str">
        <x:f>IF(J914="",H914,IF(J914=I914,I914,J914))</x:f>
        <x:v>Open map plan</x:v>
      </x:c>
      <x:c r="L914" s="74" t="str">
        <x:f>IF(J914="","Keep current",IF(J914=I914,"Use suggestion","Custom"))</x:f>
        <x:v>Keep current</x:v>
      </x:c>
      <x:c r="M914" s="71" t="str">
        <x:v>Pending review</x:v>
      </x:c>
      <x:c r="N914" s="71" t="str">
        <x:v>Medium</x:v>
      </x:c>
      <x:c r="O914" s="71" t="str">
        <x:v>app/journey/prep/trip-prep-client.tsx</x:v>
      </x:c>
      <x:c r="P914" s="71" t="str">
        <x:v>TripPrepClient:66</x:v>
      </x:c>
      <x:c r="Q914" s="71" t="str">
        <x:v>EN (default / shared)</x:v>
      </x:c>
      <x:c r="R914" s="71" t="str">
        <x:v>Already clear and direct; suggested wording intentionally keeps the current copy.</x:v>
      </x:c>
      <x:c r="S914" s="75" t="str">
        <x:v>Not applied — review required</x:v>
      </x:c>
    </x:row>
    <x:row r="915">
      <x:c r="A915" s="71" t="str">
        <x:v>MRV-97E9E3B8BE</x:v>
      </x:c>
      <x:c r="B915" s="71" t="str">
        <x:v>Legal</x:v>
      </x:c>
      <x:c r="C915" s="71" t="str">
        <x:v>Privacy &amp; consent</x:v>
      </x:c>
      <x:c r="D915" s="71" t="str">
        <x:v>/journey/privacy</x:v>
      </x:c>
      <x:c r="E915" s="71" t="str">
        <x:v>metadata</x:v>
      </x:c>
      <x:c r="F915" s="71" t="str">
        <x:v>Default</x:v>
      </x:c>
      <x:c r="G915" s="71" t="str">
        <x:v>Tooltip</x:v>
      </x:c>
      <x:c r="H915" s="71" t="str">
        <x:v>Privacy · Morrovia</x:v>
      </x:c>
      <x:c r="I915" s="71" t="str">
        <x:v>Privacy · Morrovia</x:v>
      </x:c>
      <x:c r="J915" s="73"/>
      <x:c r="K915" s="74" t="str">
        <x:f>IF(J915="",H915,IF(J915=I915,I915,J915))</x:f>
        <x:v>Privacy · Morrovia</x:v>
      </x:c>
      <x:c r="L915" s="74" t="str">
        <x:f>IF(J915="","Keep current",IF(J915=I915,"Use suggestion","Custom"))</x:f>
        <x:v>Keep current</x:v>
      </x:c>
      <x:c r="M915" s="71" t="str">
        <x:v>Pending review</x:v>
      </x:c>
      <x:c r="N915" s="71" t="str">
        <x:v>High</x:v>
      </x:c>
      <x:c r="O915" s="71" t="str">
        <x:v>app/journey/privacy/page.tsx</x:v>
      </x:c>
      <x:c r="P915" s="71" t="str">
        <x:v>metadata:6</x:v>
      </x:c>
      <x:c r="Q915" s="71" t="str">
        <x:v>EN (default / shared)</x:v>
      </x:c>
      <x:c r="R915" s="71" t="str">
        <x:v>Already clear and direct; suggested wording intentionally keeps the current copy.</x:v>
      </x:c>
      <x:c r="S915" s="75" t="str">
        <x:v>Not applied — review required</x:v>
      </x:c>
    </x:row>
    <x:row r="916">
      <x:c r="A916" s="71" t="str">
        <x:v>MRV-1B203C353E</x:v>
      </x:c>
      <x:c r="B916" s="71" t="str">
        <x:v>Legal</x:v>
      </x:c>
      <x:c r="C916" s="71" t="str">
        <x:v>Privacy &amp; consent</x:v>
      </x:c>
      <x:c r="D916" s="71" t="str">
        <x:v>/journey/privacy/privacy-notice</x:v>
      </x:c>
      <x:c r="E916" s="71" t="str">
        <x:v>copy</x:v>
      </x:c>
      <x:c r="F916" s="71" t="str">
        <x:v>Default</x:v>
      </x:c>
      <x:c r="G916" s="71" t="str">
        <x:v>Tooltip</x:v>
      </x:c>
      <x:c r="H916" s="71" t="str">
        <x:v>Your travel data, explained plainly.</x:v>
      </x:c>
      <x:c r="I916" s="71" t="str">
        <x:v>Your travel data, explained plainly.</x:v>
      </x:c>
      <x:c r="J916" s="73"/>
      <x:c r="K916" s="74" t="str">
        <x:f>IF(J916="",H916,IF(J916=I916,I916,J916))</x:f>
        <x:v>Your travel data, explained plainly.</x:v>
      </x:c>
      <x:c r="L916" s="74" t="str">
        <x:f>IF(J916="","Keep current",IF(J916=I916,"Use suggestion","Custom"))</x:f>
        <x:v>Keep current</x:v>
      </x:c>
      <x:c r="M916" s="71" t="str">
        <x:v>Pending review</x:v>
      </x:c>
      <x:c r="N916" s="71" t="str">
        <x:v>Normal</x:v>
      </x:c>
      <x:c r="O916" s="71" t="str">
        <x:v>app/journey/privacy/privacy-notice.tsx</x:v>
      </x:c>
      <x:c r="P916" s="71" t="str">
        <x:v>copy:14</x:v>
      </x:c>
      <x:c r="Q916" s="71" t="str">
        <x:v>EN (default / shared)</x:v>
      </x:c>
      <x:c r="R916" s="71" t="str">
        <x:v>Already clear and direct; suggested wording intentionally keeps the current copy.</x:v>
      </x:c>
      <x:c r="S916" s="75" t="str">
        <x:v>Not applied — review required</x:v>
      </x:c>
    </x:row>
    <x:row r="917">
      <x:c r="A917" s="71" t="str">
        <x:v>MRV-2586355ECF</x:v>
      </x:c>
      <x:c r="B917" s="71" t="str">
        <x:v>Legal</x:v>
      </x:c>
      <x:c r="C917" s="71" t="str">
        <x:v>Privacy &amp; consent</x:v>
      </x:c>
      <x:c r="D917" s="71" t="str">
        <x:v>/journey/privacy/privacy-notice</x:v>
      </x:c>
      <x:c r="E917" s="71" t="str">
        <x:v>copy</x:v>
      </x:c>
      <x:c r="F917" s="71" t="str">
        <x:v>Default</x:v>
      </x:c>
      <x:c r="G917" s="71" t="str">
        <x:v>Tooltip</x:v>
      </x:c>
      <x:c r="H917" s="71" t="str">
        <x:v>Tus datos de viaje, explicados con claridad.</x:v>
      </x:c>
      <x:c r="I917" s="71" t="str">
        <x:v>Tus datos de viaje, explicados con claridad.</x:v>
      </x:c>
      <x:c r="J917" s="73"/>
      <x:c r="K917" s="74" t="str">
        <x:f>IF(J917="",H917,IF(J917=I917,I917,J917))</x:f>
        <x:v>Tus datos de viaje, explicados con claridad.</x:v>
      </x:c>
      <x:c r="L917" s="74" t="str">
        <x:f>IF(J917="","Keep current",IF(J917=I917,"Use suggestion","Custom"))</x:f>
        <x:v>Keep current</x:v>
      </x:c>
      <x:c r="M917" s="71" t="str">
        <x:v>Pending review</x:v>
      </x:c>
      <x:c r="N917" s="71" t="str">
        <x:v>Normal</x:v>
      </x:c>
      <x:c r="O917" s="71" t="str">
        <x:v>app/journey/privacy/privacy-notice.tsx</x:v>
      </x:c>
      <x:c r="P917" s="71" t="str">
        <x:v>copy:50</x:v>
      </x:c>
      <x:c r="Q917" s="71" t="str">
        <x:v>EN (default / shared)</x:v>
      </x:c>
      <x:c r="R917" s="71" t="str">
        <x:v>Already clear and direct; suggested wording intentionally keeps the current copy.</x:v>
      </x:c>
      <x:c r="S917" s="75" t="str">
        <x:v>Not applied — review required</x:v>
      </x:c>
    </x:row>
    <x:row r="918">
      <x:c r="A918" s="71" t="str">
        <x:v>MRV-C5ACFD357E</x:v>
      </x:c>
      <x:c r="B918" s="71" t="str">
        <x:v>Legal</x:v>
      </x:c>
      <x:c r="C918" s="71" t="str">
        <x:v>Privacy &amp; consent</x:v>
      </x:c>
      <x:c r="D918" s="71" t="str">
        <x:v>/journey/privacy/privacy-notice</x:v>
      </x:c>
      <x:c r="E918" s="71" t="str">
        <x:v>PrivacyNotice</x:v>
      </x:c>
      <x:c r="F918" s="71" t="str">
        <x:v>Default</x:v>
      </x:c>
      <x:c r="G918" s="71" t="str">
        <x:v>Body copy</x:v>
      </x:c>
      <x:c r="H918" s="71" t="str">
        <x:v>La analítica opcional está permitida.</x:v>
      </x:c>
      <x:c r="I918" s="71" t="str">
        <x:v>La analítica opcional está permitida.</x:v>
      </x:c>
      <x:c r="J918" s="73"/>
      <x:c r="K918" s="74" t="str">
        <x:f>IF(J918="",H918,IF(J918=I918,I918,J918))</x:f>
        <x:v>La analítica opcional está permitida.</x:v>
      </x:c>
      <x:c r="L918" s="74" t="str">
        <x:f>IF(J918="","Keep current",IF(J918=I918,"Use suggestion","Custom"))</x:f>
        <x:v>Keep current</x:v>
      </x:c>
      <x:c r="M918" s="71" t="str">
        <x:v>Pending review</x:v>
      </x:c>
      <x:c r="N918" s="71" t="str">
        <x:v>Normal</x:v>
      </x:c>
      <x:c r="O918" s="71" t="str">
        <x:v>app/journey/privacy/privacy-notice.tsx</x:v>
      </x:c>
      <x:c r="P918" s="71" t="str">
        <x:v>PrivacyNotice:144</x:v>
      </x:c>
      <x:c r="Q918" s="71" t="str">
        <x:v>ES</x:v>
      </x:c>
      <x:c r="R918" s="71" t="str">
        <x:v>Already clear and direct; suggested wording intentionally keeps the current copy.</x:v>
      </x:c>
      <x:c r="S918" s="75" t="str">
        <x:v>Not applied — review required</x:v>
      </x:c>
    </x:row>
    <x:row r="919">
      <x:c r="A919" s="71" t="str">
        <x:v>MRV-110A164A7E</x:v>
      </x:c>
      <x:c r="B919" s="71" t="str">
        <x:v>Legal</x:v>
      </x:c>
      <x:c r="C919" s="71" t="str">
        <x:v>Privacy &amp; consent</x:v>
      </x:c>
      <x:c r="D919" s="71" t="str">
        <x:v>/journey/privacy/privacy-notice</x:v>
      </x:c>
      <x:c r="E919" s="71" t="str">
        <x:v>PrivacyNotice</x:v>
      </x:c>
      <x:c r="F919" s="71" t="str">
        <x:v>Default</x:v>
      </x:c>
      <x:c r="G919" s="71" t="str">
        <x:v>Body copy</x:v>
      </x:c>
      <x:c r="H919" s="71" t="str">
        <x:v>Optional analytics are currently allowed.</x:v>
      </x:c>
      <x:c r="I919" s="71" t="str">
        <x:v>Optional analytics are allowed.</x:v>
      </x:c>
      <x:c r="J919" s="73"/>
      <x:c r="K919" s="74" t="str">
        <x:f>IF(J919="",H919,IF(J919=I919,I919,J919))</x:f>
        <x:v>Optional analytics are currently allowed.</x:v>
      </x:c>
      <x:c r="L919" s="74" t="str">
        <x:f>IF(J919="","Keep current",IF(J919=I919,"Use suggestion","Custom"))</x:f>
        <x:v>Keep current</x:v>
      </x:c>
      <x:c r="M919" s="71" t="str">
        <x:v>Pending review</x:v>
      </x:c>
      <x:c r="N919" s="71" t="str">
        <x:v>Normal</x:v>
      </x:c>
      <x:c r="O919" s="71" t="str">
        <x:v>app/journey/privacy/privacy-notice.tsx</x:v>
      </x:c>
      <x:c r="P919" s="71" t="str">
        <x:v>PrivacyNotice:144</x:v>
      </x:c>
      <x:c r="Q919" s="71" t="str">
        <x:v>EN</x:v>
      </x:c>
      <x:c r="R919" s="71" t="str">
        <x:v>Simplified for a warmer, more direct action or recovery message.</x:v>
      </x:c>
      <x:c r="S919" s="75" t="str">
        <x:v>Not applied — review required</x:v>
      </x:c>
    </x:row>
    <x:row r="920">
      <x:c r="A920" s="71" t="str">
        <x:v>MRV-A6AA471EE5</x:v>
      </x:c>
      <x:c r="B920" s="71" t="str">
        <x:v>Legal</x:v>
      </x:c>
      <x:c r="C920" s="71" t="str">
        <x:v>Privacy &amp; consent</x:v>
      </x:c>
      <x:c r="D920" s="71" t="str">
        <x:v>/journey/privacy/privacy-notice</x:v>
      </x:c>
      <x:c r="E920" s="71" t="str">
        <x:v>PrivacyNotice</x:v>
      </x:c>
      <x:c r="F920" s="71" t="str">
        <x:v>Default</x:v>
      </x:c>
      <x:c r="G920" s="71" t="str">
        <x:v>Body copy</x:v>
      </x:c>
      <x:c r="H920" s="71" t="str">
        <x:v>La analítica opcional está desactivada.</x:v>
      </x:c>
      <x:c r="I920" s="71" t="str">
        <x:v>La analítica opcional está desactivada.</x:v>
      </x:c>
      <x:c r="J920" s="73"/>
      <x:c r="K920" s="74" t="str">
        <x:f>IF(J920="",H920,IF(J920=I920,I920,J920))</x:f>
        <x:v>La analítica opcional está desactivada.</x:v>
      </x:c>
      <x:c r="L920" s="74" t="str">
        <x:f>IF(J920="","Keep current",IF(J920=I920,"Use suggestion","Custom"))</x:f>
        <x:v>Keep current</x:v>
      </x:c>
      <x:c r="M920" s="71" t="str">
        <x:v>Pending review</x:v>
      </x:c>
      <x:c r="N920" s="71" t="str">
        <x:v>Normal</x:v>
      </x:c>
      <x:c r="O920" s="71" t="str">
        <x:v>app/journey/privacy/privacy-notice.tsx</x:v>
      </x:c>
      <x:c r="P920" s="71" t="str">
        <x:v>PrivacyNotice:144</x:v>
      </x:c>
      <x:c r="Q920" s="71" t="str">
        <x:v>ES</x:v>
      </x:c>
      <x:c r="R920" s="71" t="str">
        <x:v>Already clear and direct; suggested wording intentionally keeps the current copy.</x:v>
      </x:c>
      <x:c r="S920" s="75" t="str">
        <x:v>Not applied — review required</x:v>
      </x:c>
    </x:row>
    <x:row r="921">
      <x:c r="A921" s="71" t="str">
        <x:v>MRV-26E52B2B0D</x:v>
      </x:c>
      <x:c r="B921" s="71" t="str">
        <x:v>Legal</x:v>
      </x:c>
      <x:c r="C921" s="71" t="str">
        <x:v>Privacy &amp; consent</x:v>
      </x:c>
      <x:c r="D921" s="71" t="str">
        <x:v>/journey/privacy/privacy-notice</x:v>
      </x:c>
      <x:c r="E921" s="71" t="str">
        <x:v>PrivacyNotice</x:v>
      </x:c>
      <x:c r="F921" s="71" t="str">
        <x:v>Default</x:v>
      </x:c>
      <x:c r="G921" s="71" t="str">
        <x:v>Body copy</x:v>
      </x:c>
      <x:c r="H921" s="71" t="str">
        <x:v>Optional analytics are currently off.</x:v>
      </x:c>
      <x:c r="I921" s="71" t="str">
        <x:v>Optional analytics are off.</x:v>
      </x:c>
      <x:c r="J921" s="73"/>
      <x:c r="K921" s="74" t="str">
        <x:f>IF(J921="",H921,IF(J921=I921,I921,J921))</x:f>
        <x:v>Optional analytics are currently off.</x:v>
      </x:c>
      <x:c r="L921" s="74" t="str">
        <x:f>IF(J921="","Keep current",IF(J921=I921,"Use suggestion","Custom"))</x:f>
        <x:v>Keep current</x:v>
      </x:c>
      <x:c r="M921" s="71" t="str">
        <x:v>Pending review</x:v>
      </x:c>
      <x:c r="N921" s="71" t="str">
        <x:v>Normal</x:v>
      </x:c>
      <x:c r="O921" s="71" t="str">
        <x:v>app/journey/privacy/privacy-notice.tsx</x:v>
      </x:c>
      <x:c r="P921" s="71" t="str">
        <x:v>PrivacyNotice:144</x:v>
      </x:c>
      <x:c r="Q921" s="71" t="str">
        <x:v>EN</x:v>
      </x:c>
      <x:c r="R921" s="71" t="str">
        <x:v>Simplified for a warmer, more direct action or recovery message.</x:v>
      </x:c>
      <x:c r="S921" s="75" t="str">
        <x:v>Not applied — review required</x:v>
      </x:c>
    </x:row>
    <x:row r="922">
      <x:c r="A922" s="71" t="str">
        <x:v>MRV-5C6935DB02</x:v>
      </x:c>
      <x:c r="B922" s="71" t="str">
        <x:v>Account</x:v>
      </x:c>
      <x:c r="C922" s="71" t="str">
        <x:v>Profile</x:v>
      </x:c>
      <x:c r="D922" s="71" t="str">
        <x:v>/journey/profile</x:v>
      </x:c>
      <x:c r="E922" s="71" t="str">
        <x:v>metadata</x:v>
      </x:c>
      <x:c r="F922" s="71" t="str">
        <x:v>Default</x:v>
      </x:c>
      <x:c r="G922" s="71" t="str">
        <x:v>Tooltip</x:v>
      </x:c>
      <x:c r="H922" s="71" t="str">
        <x:v>Profile · Morrovia</x:v>
      </x:c>
      <x:c r="I922" s="71" t="str">
        <x:v>Profile · Morrovia</x:v>
      </x:c>
      <x:c r="J922" s="73"/>
      <x:c r="K922" s="74" t="str">
        <x:f>IF(J922="",H922,IF(J922=I922,I922,J922))</x:f>
        <x:v>Profile · Morrovia</x:v>
      </x:c>
      <x:c r="L922" s="74" t="str">
        <x:f>IF(J922="","Keep current",IF(J922=I922,"Use suggestion","Custom"))</x:f>
        <x:v>Keep current</x:v>
      </x:c>
      <x:c r="M922" s="71" t="str">
        <x:v>Pending review</x:v>
      </x:c>
      <x:c r="N922" s="71" t="str">
        <x:v>Normal</x:v>
      </x:c>
      <x:c r="O922" s="71" t="str">
        <x:v>app/journey/profile/page.tsx</x:v>
      </x:c>
      <x:c r="P922" s="71" t="str">
        <x:v>metadata:15</x:v>
      </x:c>
      <x:c r="Q922" s="71" t="str">
        <x:v>EN (default / shared)</x:v>
      </x:c>
      <x:c r="R922" s="71" t="str">
        <x:v>Already clear and direct; suggested wording intentionally keeps the current copy.</x:v>
      </x:c>
      <x:c r="S922" s="75" t="str">
        <x:v>Not applied — review required</x:v>
      </x:c>
    </x:row>
    <x:row r="923">
      <x:c r="A923" s="71" t="str">
        <x:v>MRV-111F4BAF27</x:v>
      </x:c>
      <x:c r="B923" s="71" t="str">
        <x:v>Account</x:v>
      </x:c>
      <x:c r="C923" s="71" t="str">
        <x:v>Profile</x:v>
      </x:c>
      <x:c r="D923" s="71" t="str">
        <x:v>/journey/profile</x:v>
      </x:c>
      <x:c r="E923" s="71" t="str">
        <x:v>profileIntro</x:v>
      </x:c>
      <x:c r="F923" s="71" t="str">
        <x:v>Default</x:v>
      </x:c>
      <x:c r="G923" s="71" t="str">
        <x:v>Body copy</x:v>
      </x:c>
      <x:c r="H923" s="71" t="str">
        <x:v>Gestiona tus datos y las preferencias de viaje que Morrovia usa como punto de partida para nuevos viajes.</x:v>
      </x:c>
      <x:c r="I923" s="71" t="str">
        <x:v>Gestiona tus datos y las preferencias de viaje que Morrovia usa como punto de partida para nuevos viajes.</x:v>
      </x:c>
      <x:c r="J923" s="73"/>
      <x:c r="K923" s="74" t="str">
        <x:f>IF(J923="",H923,IF(J923=I923,I923,J923))</x:f>
        <x:v>Gestiona tus datos y las preferencias de viaje que Morrovia usa como punto de partida para nuevos viajes.</x:v>
      </x:c>
      <x:c r="L923" s="74" t="str">
        <x:f>IF(J923="","Keep current",IF(J923=I923,"Use suggestion","Custom"))</x:f>
        <x:v>Keep current</x:v>
      </x:c>
      <x:c r="M923" s="71" t="str">
        <x:v>Pending review</x:v>
      </x:c>
      <x:c r="N923" s="71" t="str">
        <x:v>Normal</x:v>
      </x:c>
      <x:c r="O923" s="71" t="str">
        <x:v>app/journey/profile/page.tsx</x:v>
      </x:c>
      <x:c r="P923" s="71" t="str">
        <x:v>profileIntro:26</x:v>
      </x:c>
      <x:c r="Q923" s="71" t="str">
        <x:v>ES</x:v>
      </x:c>
      <x:c r="R923" s="71" t="str">
        <x:v>Already clear and direct; suggested wording intentionally keeps the current copy.</x:v>
      </x:c>
      <x:c r="S923" s="75" t="str">
        <x:v>Not applied — review required</x:v>
      </x:c>
    </x:row>
    <x:row r="924">
      <x:c r="A924" s="71" t="str">
        <x:v>MRV-B30D52C386</x:v>
      </x:c>
      <x:c r="B924" s="71" t="str">
        <x:v>Account</x:v>
      </x:c>
      <x:c r="C924" s="71" t="str">
        <x:v>Profile</x:v>
      </x:c>
      <x:c r="D924" s="71" t="str">
        <x:v>/journey/profile</x:v>
      </x:c>
      <x:c r="E924" s="71" t="str">
        <x:v>profileIntro</x:v>
      </x:c>
      <x:c r="F924" s="71" t="str">
        <x:v>Default</x:v>
      </x:c>
      <x:c r="G924" s="71" t="str">
        <x:v>CTA / button</x:v>
      </x:c>
      <x:c r="H924" s="71" t="str">
        <x:v>Manage your details and the travel preferences Morrovia uses as a starting point for new trips.</x:v>
      </x:c>
      <x:c r="I924" s="71" t="str">
        <x:v>Manage your details and the travel preferences Morrovia uses as a starting point for new trips.</x:v>
      </x:c>
      <x:c r="J924" s="73"/>
      <x:c r="K924" s="74" t="str">
        <x:f>IF(J924="",H924,IF(J924=I924,I924,J924))</x:f>
        <x:v>Manage your details and the travel preferences Morrovia uses as a starting point for new trips.</x:v>
      </x:c>
      <x:c r="L924" s="74" t="str">
        <x:f>IF(J924="","Keep current",IF(J924=I924,"Use suggestion","Custom"))</x:f>
        <x:v>Keep current</x:v>
      </x:c>
      <x:c r="M924" s="71" t="str">
        <x:v>Pending review</x:v>
      </x:c>
      <x:c r="N924" s="71" t="str">
        <x:v>Medium</x:v>
      </x:c>
      <x:c r="O924" s="71" t="str">
        <x:v>app/journey/profile/page.tsx</x:v>
      </x:c>
      <x:c r="P924" s="71" t="str">
        <x:v>profileIntro:27</x:v>
      </x:c>
      <x:c r="Q924" s="71" t="str">
        <x:v>EN</x:v>
      </x:c>
      <x:c r="R924" s="71" t="str">
        <x:v>Already clear and direct; suggested wording intentionally keeps the current copy. Terminology watch: ‘trip’ and ‘journey’ both describe the same plan. Terminology watch: ‘stops’, ‘destinations’ and ‘places’ overlap.</x:v>
      </x:c>
      <x:c r="S924" s="75" t="str">
        <x:v>Not applied — review required</x:v>
      </x:c>
    </x:row>
    <x:row r="925">
      <x:c r="A925" s="71" t="str">
        <x:v>MRV-281F4FEECE</x:v>
      </x:c>
      <x:c r="B925" s="71" t="str">
        <x:v>Account</x:v>
      </x:c>
      <x:c r="C925" s="71" t="str">
        <x:v>Profile</x:v>
      </x:c>
      <x:c r="D925" s="71" t="str">
        <x:v>/journey/profile/profile-form</x:v>
      </x:c>
      <x:c r="E925" s="71" t="str">
        <x:v>paceOptions</x:v>
      </x:c>
      <x:c r="F925" s="71" t="str">
        <x:v>Default</x:v>
      </x:c>
      <x:c r="G925" s="71" t="str">
        <x:v>Label</x:v>
      </x:c>
      <x:c r="H925" s="71" t="str">
        <x:v>Slow</x:v>
      </x:c>
      <x:c r="I925" s="71" t="str">
        <x:v>Slow</x:v>
      </x:c>
      <x:c r="J925" s="73"/>
      <x:c r="K925" s="74" t="str">
        <x:f>IF(J925="",H925,IF(J925=I925,I925,J925))</x:f>
        <x:v>Slow</x:v>
      </x:c>
      <x:c r="L925" s="74" t="str">
        <x:f>IF(J925="","Keep current",IF(J925=I925,"Use suggestion","Custom"))</x:f>
        <x:v>Keep current</x:v>
      </x:c>
      <x:c r="M925" s="71" t="str">
        <x:v>Pending review</x:v>
      </x:c>
      <x:c r="N925" s="71" t="str">
        <x:v>Normal</x:v>
      </x:c>
      <x:c r="O925" s="71" t="str">
        <x:v>app/journey/profile/profile-form.tsx</x:v>
      </x:c>
      <x:c r="P925" s="71" t="str">
        <x:v>paceOptions:20</x:v>
      </x:c>
      <x:c r="Q925" s="71" t="str">
        <x:v>EN (default / shared)</x:v>
      </x:c>
      <x:c r="R925" s="71" t="str">
        <x:v>Already clear and direct; suggested wording intentionally keeps the current copy.</x:v>
      </x:c>
      <x:c r="S925" s="75" t="str">
        <x:v>Not applied — review required</x:v>
      </x:c>
    </x:row>
    <x:row r="926">
      <x:c r="A926" s="71" t="str">
        <x:v>MRV-437DF9EF43</x:v>
      </x:c>
      <x:c r="B926" s="71" t="str">
        <x:v>Account</x:v>
      </x:c>
      <x:c r="C926" s="71" t="str">
        <x:v>Profile</x:v>
      </x:c>
      <x:c r="D926" s="71" t="str">
        <x:v>/journey/profile/profile-form</x:v>
      </x:c>
      <x:c r="E926" s="71" t="str">
        <x:v>paceOptions</x:v>
      </x:c>
      <x:c r="F926" s="71" t="str">
        <x:v>Default</x:v>
      </x:c>
      <x:c r="G926" s="71" t="str">
        <x:v>Label</x:v>
      </x:c>
      <x:c r="H926" s="71" t="str">
        <x:v>Balanced</x:v>
      </x:c>
      <x:c r="I926" s="71" t="str">
        <x:v>Balanced</x:v>
      </x:c>
      <x:c r="J926" s="73"/>
      <x:c r="K926" s="74" t="str">
        <x:f>IF(J926="",H926,IF(J926=I926,I926,J926))</x:f>
        <x:v>Balanced</x:v>
      </x:c>
      <x:c r="L926" s="74" t="str">
        <x:f>IF(J926="","Keep current",IF(J926=I926,"Use suggestion","Custom"))</x:f>
        <x:v>Keep current</x:v>
      </x:c>
      <x:c r="M926" s="71" t="str">
        <x:v>Pending review</x:v>
      </x:c>
      <x:c r="N926" s="71" t="str">
        <x:v>Normal</x:v>
      </x:c>
      <x:c r="O926" s="71" t="str">
        <x:v>app/journey/profile/profile-form.tsx</x:v>
      </x:c>
      <x:c r="P926" s="71" t="str">
        <x:v>paceOptions:21</x:v>
      </x:c>
      <x:c r="Q926" s="71" t="str">
        <x:v>EN (default / shared)</x:v>
      </x:c>
      <x:c r="R926" s="71" t="str">
        <x:v>Already clear and direct; suggested wording intentionally keeps the current copy.</x:v>
      </x:c>
      <x:c r="S926" s="75" t="str">
        <x:v>Not applied — review required</x:v>
      </x:c>
    </x:row>
    <x:row r="927">
      <x:c r="A927" s="71" t="str">
        <x:v>MRV-64FC22FD2A</x:v>
      </x:c>
      <x:c r="B927" s="71" t="str">
        <x:v>Account</x:v>
      </x:c>
      <x:c r="C927" s="71" t="str">
        <x:v>Profile</x:v>
      </x:c>
      <x:c r="D927" s="71" t="str">
        <x:v>/journey/profile/profile-form</x:v>
      </x:c>
      <x:c r="E927" s="71" t="str">
        <x:v>paceOptions</x:v>
      </x:c>
      <x:c r="F927" s="71" t="str">
        <x:v>Default</x:v>
      </x:c>
      <x:c r="G927" s="71" t="str">
        <x:v>Label</x:v>
      </x:c>
      <x:c r="H927" s="71" t="str">
        <x:v>Full</x:v>
      </x:c>
      <x:c r="I927" s="71" t="str">
        <x:v>Full</x:v>
      </x:c>
      <x:c r="J927" s="73"/>
      <x:c r="K927" s="74" t="str">
        <x:f>IF(J927="",H927,IF(J927=I927,I927,J927))</x:f>
        <x:v>Full</x:v>
      </x:c>
      <x:c r="L927" s="74" t="str">
        <x:f>IF(J927="","Keep current",IF(J927=I927,"Use suggestion","Custom"))</x:f>
        <x:v>Keep current</x:v>
      </x:c>
      <x:c r="M927" s="71" t="str">
        <x:v>Pending review</x:v>
      </x:c>
      <x:c r="N927" s="71" t="str">
        <x:v>Normal</x:v>
      </x:c>
      <x:c r="O927" s="71" t="str">
        <x:v>app/journey/profile/profile-form.tsx</x:v>
      </x:c>
      <x:c r="P927" s="71" t="str">
        <x:v>paceOptions:22</x:v>
      </x:c>
      <x:c r="Q927" s="71" t="str">
        <x:v>EN (default / shared)</x:v>
      </x:c>
      <x:c r="R927" s="71" t="str">
        <x:v>Already clear and direct; suggested wording intentionally keeps the current copy.</x:v>
      </x:c>
      <x:c r="S927" s="75" t="str">
        <x:v>Not applied — review required</x:v>
      </x:c>
    </x:row>
    <x:row r="928">
      <x:c r="A928" s="71" t="str">
        <x:v>MRV-68B7BE9AF3</x:v>
      </x:c>
      <x:c r="B928" s="71" t="str">
        <x:v>Account</x:v>
      </x:c>
      <x:c r="C928" s="71" t="str">
        <x:v>Profile</x:v>
      </x:c>
      <x:c r="D928" s="71" t="str">
        <x:v>/journey/profile/profile-form</x:v>
      </x:c>
      <x:c r="E928" s="71" t="str">
        <x:v>priorityOptions</x:v>
      </x:c>
      <x:c r="F928" s="71" t="str">
        <x:v>Default</x:v>
      </x:c>
      <x:c r="G928" s="71" t="str">
        <x:v>Label</x:v>
      </x:c>
      <x:c r="H928" s="71" t="str">
        <x:v>Food</x:v>
      </x:c>
      <x:c r="I928" s="71" t="str">
        <x:v>Food</x:v>
      </x:c>
      <x:c r="J928" s="73"/>
      <x:c r="K928" s="74" t="str">
        <x:f>IF(J928="",H928,IF(J928=I928,I928,J928))</x:f>
        <x:v>Food</x:v>
      </x:c>
      <x:c r="L928" s="74" t="str">
        <x:f>IF(J928="","Keep current",IF(J928=I928,"Use suggestion","Custom"))</x:f>
        <x:v>Keep current</x:v>
      </x:c>
      <x:c r="M928" s="71" t="str">
        <x:v>Pending review</x:v>
      </x:c>
      <x:c r="N928" s="71" t="str">
        <x:v>Normal</x:v>
      </x:c>
      <x:c r="O928" s="71" t="str">
        <x:v>app/journey/profile/profile-form.tsx</x:v>
      </x:c>
      <x:c r="P928" s="71" t="str">
        <x:v>priorityOptions:25</x:v>
      </x:c>
      <x:c r="Q928" s="71" t="str">
        <x:v>EN (default / shared)</x:v>
      </x:c>
      <x:c r="R928" s="71" t="str">
        <x:v>Already clear and direct; suggested wording intentionally keeps the current copy. Duplicate wording: appears 5 times.</x:v>
      </x:c>
      <x:c r="S928" s="75" t="str">
        <x:v>Not applied — review required</x:v>
      </x:c>
    </x:row>
    <x:row r="929">
      <x:c r="A929" s="71" t="str">
        <x:v>MRV-AC1415E31C</x:v>
      </x:c>
      <x:c r="B929" s="71" t="str">
        <x:v>Account</x:v>
      </x:c>
      <x:c r="C929" s="71" t="str">
        <x:v>Profile</x:v>
      </x:c>
      <x:c r="D929" s="71" t="str">
        <x:v>/journey/profile/profile-form</x:v>
      </x:c>
      <x:c r="E929" s="71" t="str">
        <x:v>priorityOptions</x:v>
      </x:c>
      <x:c r="F929" s="71" t="str">
        <x:v>Default</x:v>
      </x:c>
      <x:c r="G929" s="71" t="str">
        <x:v>Label</x:v>
      </x:c>
      <x:c r="H929" s="71" t="str">
        <x:v>Nature</x:v>
      </x:c>
      <x:c r="I929" s="71" t="str">
        <x:v>Nature</x:v>
      </x:c>
      <x:c r="J929" s="73"/>
      <x:c r="K929" s="74" t="str">
        <x:f>IF(J929="",H929,IF(J929=I929,I929,J929))</x:f>
        <x:v>Nature</x:v>
      </x:c>
      <x:c r="L929" s="74" t="str">
        <x:f>IF(J929="","Keep current",IF(J929=I929,"Use suggestion","Custom"))</x:f>
        <x:v>Keep current</x:v>
      </x:c>
      <x:c r="M929" s="71" t="str">
        <x:v>Pending review</x:v>
      </x:c>
      <x:c r="N929" s="71" t="str">
        <x:v>Normal</x:v>
      </x:c>
      <x:c r="O929" s="71" t="str">
        <x:v>app/journey/profile/profile-form.tsx</x:v>
      </x:c>
      <x:c r="P929" s="71" t="str">
        <x:v>priorityOptions:26</x:v>
      </x:c>
      <x:c r="Q929" s="71" t="str">
        <x:v>EN (default / shared)</x:v>
      </x:c>
      <x:c r="R929" s="71" t="str">
        <x:v>Already clear and direct; suggested wording intentionally keeps the current copy. Duplicate wording: appears 5 times.</x:v>
      </x:c>
      <x:c r="S929" s="75" t="str">
        <x:v>Not applied — review required</x:v>
      </x:c>
    </x:row>
    <x:row r="930">
      <x:c r="A930" s="71" t="str">
        <x:v>MRV-64BEA71EE0</x:v>
      </x:c>
      <x:c r="B930" s="71" t="str">
        <x:v>Account</x:v>
      </x:c>
      <x:c r="C930" s="71" t="str">
        <x:v>Profile</x:v>
      </x:c>
      <x:c r="D930" s="71" t="str">
        <x:v>/journey/profile/profile-form</x:v>
      </x:c>
      <x:c r="E930" s="71" t="str">
        <x:v>priorityOptions</x:v>
      </x:c>
      <x:c r="F930" s="71" t="str">
        <x:v>Default</x:v>
      </x:c>
      <x:c r="G930" s="71" t="str">
        <x:v>Label</x:v>
      </x:c>
      <x:c r="H930" s="71" t="str">
        <x:v>Culture</x:v>
      </x:c>
      <x:c r="I930" s="71" t="str">
        <x:v>Culture</x:v>
      </x:c>
      <x:c r="J930" s="73"/>
      <x:c r="K930" s="74" t="str">
        <x:f>IF(J930="",H930,IF(J930=I930,I930,J930))</x:f>
        <x:v>Culture</x:v>
      </x:c>
      <x:c r="L930" s="74" t="str">
        <x:f>IF(J930="","Keep current",IF(J930=I930,"Use suggestion","Custom"))</x:f>
        <x:v>Keep current</x:v>
      </x:c>
      <x:c r="M930" s="71" t="str">
        <x:v>Pending review</x:v>
      </x:c>
      <x:c r="N930" s="71" t="str">
        <x:v>Normal</x:v>
      </x:c>
      <x:c r="O930" s="71" t="str">
        <x:v>app/journey/profile/profile-form.tsx</x:v>
      </x:c>
      <x:c r="P930" s="71" t="str">
        <x:v>priorityOptions:27</x:v>
      </x:c>
      <x:c r="Q930" s="71" t="str">
        <x:v>EN (default / shared)</x:v>
      </x:c>
      <x:c r="R930" s="71" t="str">
        <x:v>Already clear and direct; suggested wording intentionally keeps the current copy. Duplicate wording: appears 3 times.</x:v>
      </x:c>
      <x:c r="S930" s="75" t="str">
        <x:v>Not applied — review required</x:v>
      </x:c>
    </x:row>
    <x:row r="931">
      <x:c r="A931" s="71" t="str">
        <x:v>MRV-FBB21DB8EB</x:v>
      </x:c>
      <x:c r="B931" s="71" t="str">
        <x:v>Account</x:v>
      </x:c>
      <x:c r="C931" s="71" t="str">
        <x:v>Profile</x:v>
      </x:c>
      <x:c r="D931" s="71" t="str">
        <x:v>/journey/profile/profile-form</x:v>
      </x:c>
      <x:c r="E931" s="71" t="str">
        <x:v>priorityOptions</x:v>
      </x:c>
      <x:c r="F931" s="71" t="str">
        <x:v>Default</x:v>
      </x:c>
      <x:c r="G931" s="71" t="str">
        <x:v>Label</x:v>
      </x:c>
      <x:c r="H931" s="71" t="str">
        <x:v>A mix</x:v>
      </x:c>
      <x:c r="I931" s="71" t="str">
        <x:v>A mix</x:v>
      </x:c>
      <x:c r="J931" s="73"/>
      <x:c r="K931" s="74" t="str">
        <x:f>IF(J931="",H931,IF(J931=I931,I931,J931))</x:f>
        <x:v>A mix</x:v>
      </x:c>
      <x:c r="L931" s="74" t="str">
        <x:f>IF(J931="","Keep current",IF(J931=I931,"Use suggestion","Custom"))</x:f>
        <x:v>Keep current</x:v>
      </x:c>
      <x:c r="M931" s="71" t="str">
        <x:v>Pending review</x:v>
      </x:c>
      <x:c r="N931" s="71" t="str">
        <x:v>Normal</x:v>
      </x:c>
      <x:c r="O931" s="71" t="str">
        <x:v>app/journey/profile/profile-form.tsx</x:v>
      </x:c>
      <x:c r="P931" s="71" t="str">
        <x:v>priorityOptions:28</x:v>
      </x:c>
      <x:c r="Q931" s="71" t="str">
        <x:v>EN (default / shared)</x:v>
      </x:c>
      <x:c r="R931" s="71" t="str">
        <x:v>Already clear and direct; suggested wording intentionally keeps the current copy.</x:v>
      </x:c>
      <x:c r="S931" s="75" t="str">
        <x:v>Not applied — review required</x:v>
      </x:c>
    </x:row>
    <x:row r="932">
      <x:c r="A932" s="71" t="str">
        <x:v>MRV-D7B0BEECA9</x:v>
      </x:c>
      <x:c r="B932" s="71" t="str">
        <x:v>Account</x:v>
      </x:c>
      <x:c r="C932" s="71" t="str">
        <x:v>Profile</x:v>
      </x:c>
      <x:c r="D932" s="71" t="str">
        <x:v>/journey/profile/profile-form</x:v>
      </x:c>
      <x:c r="E932" s="71" t="str">
        <x:v>moveOptions</x:v>
      </x:c>
      <x:c r="F932" s="71" t="str">
        <x:v>Default</x:v>
      </x:c>
      <x:c r="G932" s="71" t="str">
        <x:v>Label</x:v>
      </x:c>
      <x:c r="H932" s="71" t="str">
        <x:v>Stay put</x:v>
      </x:c>
      <x:c r="I932" s="71" t="str">
        <x:v>Stay put</x:v>
      </x:c>
      <x:c r="J932" s="73"/>
      <x:c r="K932" s="74" t="str">
        <x:f>IF(J932="",H932,IF(J932=I932,I932,J932))</x:f>
        <x:v>Stay put</x:v>
      </x:c>
      <x:c r="L932" s="74" t="str">
        <x:f>IF(J932="","Keep current",IF(J932=I932,"Use suggestion","Custom"))</x:f>
        <x:v>Keep current</x:v>
      </x:c>
      <x:c r="M932" s="71" t="str">
        <x:v>Pending review</x:v>
      </x:c>
      <x:c r="N932" s="71" t="str">
        <x:v>Normal</x:v>
      </x:c>
      <x:c r="O932" s="71" t="str">
        <x:v>app/journey/profile/profile-form.tsx</x:v>
      </x:c>
      <x:c r="P932" s="71" t="str">
        <x:v>moveOptions:31</x:v>
      </x:c>
      <x:c r="Q932" s="71" t="str">
        <x:v>EN (default / shared)</x:v>
      </x:c>
      <x:c r="R932" s="71" t="str">
        <x:v>Already clear and direct; suggested wording intentionally keeps the current copy.</x:v>
      </x:c>
      <x:c r="S932" s="75" t="str">
        <x:v>Not applied — review required</x:v>
      </x:c>
    </x:row>
    <x:row r="933">
      <x:c r="A933" s="71" t="str">
        <x:v>MRV-C65FD037C1</x:v>
      </x:c>
      <x:c r="B933" s="71" t="str">
        <x:v>Account</x:v>
      </x:c>
      <x:c r="C933" s="71" t="str">
        <x:v>Profile</x:v>
      </x:c>
      <x:c r="D933" s="71" t="str">
        <x:v>/journey/profile/profile-form</x:v>
      </x:c>
      <x:c r="E933" s="71" t="str">
        <x:v>moveOptions</x:v>
      </x:c>
      <x:c r="F933" s="71" t="str">
        <x:v>Default</x:v>
      </x:c>
      <x:c r="G933" s="71" t="str">
        <x:v>Label</x:v>
      </x:c>
      <x:c r="H933" s="71" t="str">
        <x:v>A few</x:v>
      </x:c>
      <x:c r="I933" s="71" t="str">
        <x:v>A few</x:v>
      </x:c>
      <x:c r="J933" s="73"/>
      <x:c r="K933" s="74" t="str">
        <x:f>IF(J933="",H933,IF(J933=I933,I933,J933))</x:f>
        <x:v>A few</x:v>
      </x:c>
      <x:c r="L933" s="74" t="str">
        <x:f>IF(J933="","Keep current",IF(J933=I933,"Use suggestion","Custom"))</x:f>
        <x:v>Keep current</x:v>
      </x:c>
      <x:c r="M933" s="71" t="str">
        <x:v>Pending review</x:v>
      </x:c>
      <x:c r="N933" s="71" t="str">
        <x:v>Normal</x:v>
      </x:c>
      <x:c r="O933" s="71" t="str">
        <x:v>app/journey/profile/profile-form.tsx</x:v>
      </x:c>
      <x:c r="P933" s="71" t="str">
        <x:v>moveOptions:32</x:v>
      </x:c>
      <x:c r="Q933" s="71" t="str">
        <x:v>EN (default / shared)</x:v>
      </x:c>
      <x:c r="R933" s="71" t="str">
        <x:v>Already clear and direct; suggested wording intentionally keeps the current copy.</x:v>
      </x:c>
      <x:c r="S933" s="75" t="str">
        <x:v>Not applied — review required</x:v>
      </x:c>
    </x:row>
    <x:row r="934">
      <x:c r="A934" s="71" t="str">
        <x:v>MRV-0FE0AFAC84</x:v>
      </x:c>
      <x:c r="B934" s="71" t="str">
        <x:v>Account</x:v>
      </x:c>
      <x:c r="C934" s="71" t="str">
        <x:v>Profile</x:v>
      </x:c>
      <x:c r="D934" s="71" t="str">
        <x:v>/journey/profile/profile-form</x:v>
      </x:c>
      <x:c r="E934" s="71" t="str">
        <x:v>moveOptions</x:v>
      </x:c>
      <x:c r="F934" s="71" t="str">
        <x:v>Default</x:v>
      </x:c>
      <x:c r="G934" s="71" t="str">
        <x:v>Label</x:v>
      </x:c>
      <x:c r="H934" s="71" t="str">
        <x:v>Keep moving</x:v>
      </x:c>
      <x:c r="I934" s="71" t="str">
        <x:v>Keep moving</x:v>
      </x:c>
      <x:c r="J934" s="73"/>
      <x:c r="K934" s="74" t="str">
        <x:f>IF(J934="",H934,IF(J934=I934,I934,J934))</x:f>
        <x:v>Keep moving</x:v>
      </x:c>
      <x:c r="L934" s="74" t="str">
        <x:f>IF(J934="","Keep current",IF(J934=I934,"Use suggestion","Custom"))</x:f>
        <x:v>Keep current</x:v>
      </x:c>
      <x:c r="M934" s="71" t="str">
        <x:v>Pending review</x:v>
      </x:c>
      <x:c r="N934" s="71" t="str">
        <x:v>Normal</x:v>
      </x:c>
      <x:c r="O934" s="71" t="str">
        <x:v>app/journey/profile/profile-form.tsx</x:v>
      </x:c>
      <x:c r="P934" s="71" t="str">
        <x:v>moveOptions:33</x:v>
      </x:c>
      <x:c r="Q934" s="71" t="str">
        <x:v>EN (default / shared)</x:v>
      </x:c>
      <x:c r="R934" s="71" t="str">
        <x:v>Already clear and direct; suggested wording intentionally keeps the current copy.</x:v>
      </x:c>
      <x:c r="S934" s="75" t="str">
        <x:v>Not applied — review required</x:v>
      </x:c>
    </x:row>
    <x:row r="935">
      <x:c r="A935" s="71" t="str">
        <x:v>MRV-E079E2E076</x:v>
      </x:c>
      <x:c r="B935" s="71" t="str">
        <x:v>Account</x:v>
      </x:c>
      <x:c r="C935" s="71" t="str">
        <x:v>Profile</x:v>
      </x:c>
      <x:c r="D935" s="71" t="str">
        <x:v>/journey/profile/profile-form</x:v>
      </x:c>
      <x:c r="E935" s="71" t="str">
        <x:v>comfortOptions</x:v>
      </x:c>
      <x:c r="F935" s="71" t="str">
        <x:v>Default</x:v>
      </x:c>
      <x:c r="G935" s="71" t="str">
        <x:v>CTA / button</x:v>
      </x:c>
      <x:c r="H935" s="71" t="str">
        <x:v>Good value</x:v>
      </x:c>
      <x:c r="I935" s="71" t="str">
        <x:v>Good value</x:v>
      </x:c>
      <x:c r="J935" s="73"/>
      <x:c r="K935" s="74" t="str">
        <x:f>IF(J935="",H935,IF(J935=I935,I935,J935))</x:f>
        <x:v>Good value</x:v>
      </x:c>
      <x:c r="L935" s="74" t="str">
        <x:f>IF(J935="","Keep current",IF(J935=I935,"Use suggestion","Custom"))</x:f>
        <x:v>Keep current</x:v>
      </x:c>
      <x:c r="M935" s="71" t="str">
        <x:v>Pending review</x:v>
      </x:c>
      <x:c r="N935" s="71" t="str">
        <x:v>Medium</x:v>
      </x:c>
      <x:c r="O935" s="71" t="str">
        <x:v>app/journey/profile/profile-form.tsx</x:v>
      </x:c>
      <x:c r="P935" s="71" t="str">
        <x:v>comfortOptions:36</x:v>
      </x:c>
      <x:c r="Q935" s="71" t="str">
        <x:v>EN (default / shared)</x:v>
      </x:c>
      <x:c r="R935" s="71" t="str">
        <x:v>Already clear and direct; suggested wording intentionally keeps the current copy. Duplicate wording: appears 2 times.</x:v>
      </x:c>
      <x:c r="S935" s="75" t="str">
        <x:v>Not applied — review required</x:v>
      </x:c>
    </x:row>
    <x:row r="936">
      <x:c r="A936" s="71" t="str">
        <x:v>MRV-BF3F0962E4</x:v>
      </x:c>
      <x:c r="B936" s="71" t="str">
        <x:v>Account</x:v>
      </x:c>
      <x:c r="C936" s="71" t="str">
        <x:v>Profile</x:v>
      </x:c>
      <x:c r="D936" s="71" t="str">
        <x:v>/journey/profile/profile-form</x:v>
      </x:c>
      <x:c r="E936" s="71" t="str">
        <x:v>comfortOptions</x:v>
      </x:c>
      <x:c r="F936" s="71" t="str">
        <x:v>Default</x:v>
      </x:c>
      <x:c r="G936" s="71" t="str">
        <x:v>Label</x:v>
      </x:c>
      <x:c r="H936" s="71" t="str">
        <x:v>Mid-range</x:v>
      </x:c>
      <x:c r="I936" s="71" t="str">
        <x:v>Mid-range</x:v>
      </x:c>
      <x:c r="J936" s="73"/>
      <x:c r="K936" s="74" t="str">
        <x:f>IF(J936="",H936,IF(J936=I936,I936,J936))</x:f>
        <x:v>Mid-range</x:v>
      </x:c>
      <x:c r="L936" s="74" t="str">
        <x:f>IF(J936="","Keep current",IF(J936=I936,"Use suggestion","Custom"))</x:f>
        <x:v>Keep current</x:v>
      </x:c>
      <x:c r="M936" s="71" t="str">
        <x:v>Pending review</x:v>
      </x:c>
      <x:c r="N936" s="71" t="str">
        <x:v>Normal</x:v>
      </x:c>
      <x:c r="O936" s="71" t="str">
        <x:v>app/journey/profile/profile-form.tsx</x:v>
      </x:c>
      <x:c r="P936" s="71" t="str">
        <x:v>comfortOptions:37</x:v>
      </x:c>
      <x:c r="Q936" s="71" t="str">
        <x:v>EN (default / shared)</x:v>
      </x:c>
      <x:c r="R936" s="71" t="str">
        <x:v>Already clear and direct; suggested wording intentionally keeps the current copy. Duplicate wording: appears 2 times.</x:v>
      </x:c>
      <x:c r="S936" s="75" t="str">
        <x:v>Not applied — review required</x:v>
      </x:c>
    </x:row>
    <x:row r="937">
      <x:c r="A937" s="71" t="str">
        <x:v>MRV-C4930F19D2</x:v>
      </x:c>
      <x:c r="B937" s="71" t="str">
        <x:v>Account</x:v>
      </x:c>
      <x:c r="C937" s="71" t="str">
        <x:v>Profile</x:v>
      </x:c>
      <x:c r="D937" s="71" t="str">
        <x:v>/journey/profile/profile-form</x:v>
      </x:c>
      <x:c r="E937" s="71" t="str">
        <x:v>comfortOptions</x:v>
      </x:c>
      <x:c r="F937" s="71" t="str">
        <x:v>Default</x:v>
      </x:c>
      <x:c r="G937" s="71" t="str">
        <x:v>Label</x:v>
      </x:c>
      <x:c r="H937" s="71" t="str">
        <x:v>Best available</x:v>
      </x:c>
      <x:c r="I937" s="71" t="str">
        <x:v>Best available</x:v>
      </x:c>
      <x:c r="J937" s="73"/>
      <x:c r="K937" s="74" t="str">
        <x:f>IF(J937="",H937,IF(J937=I937,I937,J937))</x:f>
        <x:v>Best available</x:v>
      </x:c>
      <x:c r="L937" s="74" t="str">
        <x:f>IF(J937="","Keep current",IF(J937=I937,"Use suggestion","Custom"))</x:f>
        <x:v>Keep current</x:v>
      </x:c>
      <x:c r="M937" s="71" t="str">
        <x:v>Pending review</x:v>
      </x:c>
      <x:c r="N937" s="71" t="str">
        <x:v>Normal</x:v>
      </x:c>
      <x:c r="O937" s="71" t="str">
        <x:v>app/journey/profile/profile-form.tsx</x:v>
      </x:c>
      <x:c r="P937" s="71" t="str">
        <x:v>comfortOptions:38</x:v>
      </x:c>
      <x:c r="Q937" s="71" t="str">
        <x:v>EN (default / shared)</x:v>
      </x:c>
      <x:c r="R937" s="71" t="str">
        <x:v>Already clear and direct; suggested wording intentionally keeps the current copy.</x:v>
      </x:c>
      <x:c r="S937" s="75" t="str">
        <x:v>Not applied — review required</x:v>
      </x:c>
    </x:row>
    <x:row r="938">
      <x:c r="A938" s="71" t="str">
        <x:v>MRV-E83C0E518F</x:v>
      </x:c>
      <x:c r="B938" s="71" t="str">
        <x:v>Account</x:v>
      </x:c>
      <x:c r="C938" s="71" t="str">
        <x:v>Profile</x:v>
      </x:c>
      <x:c r="D938" s="71" t="str">
        <x:v>/journey/profile/profile-form</x:v>
      </x:c>
      <x:c r="E938" s="71" t="str">
        <x:v>ProfileForm</x:v>
      </x:c>
      <x:c r="F938" s="71" t="str">
        <x:v>Session expired</x:v>
      </x:c>
      <x:c r="G938" s="71" t="str">
        <x:v>Label</x:v>
      </x:c>
      <x:c r="H938" s="71" t="str">
        <x:v>Your session ended</x:v>
      </x:c>
      <x:c r="I938" s="71" t="str">
        <x:v>Your session ended</x:v>
      </x:c>
      <x:c r="J938" s="73"/>
      <x:c r="K938" s="74" t="str">
        <x:f>IF(J938="",H938,IF(J938=I938,I938,J938))</x:f>
        <x:v>Your session ended</x:v>
      </x:c>
      <x:c r="L938" s="74" t="str">
        <x:f>IF(J938="","Keep current",IF(J938=I938,"Use suggestion","Custom"))</x:f>
        <x:v>Keep current</x:v>
      </x:c>
      <x:c r="M938" s="71" t="str">
        <x:v>Pending review</x:v>
      </x:c>
      <x:c r="N938" s="71" t="str">
        <x:v>High</x:v>
      </x:c>
      <x:c r="O938" s="71" t="str">
        <x:v>app/journey/profile/profile-form.tsx</x:v>
      </x:c>
      <x:c r="P938" s="71" t="str">
        <x:v>ProfileForm:197</x:v>
      </x:c>
      <x:c r="Q938" s="71" t="str">
        <x:v>EN (default / shared)</x:v>
      </x:c>
      <x:c r="R938" s="71" t="str">
        <x:v>Already clear and direct; suggested wording intentionally keeps the current copy. Duplicate wording: appears 4 times.</x:v>
      </x:c>
      <x:c r="S938" s="75" t="str">
        <x:v>Not applied — review required</x:v>
      </x:c>
    </x:row>
    <x:row r="939">
      <x:c r="A939" s="71" t="str">
        <x:v>MRV-EC00D3DB9C</x:v>
      </x:c>
      <x:c r="B939" s="71" t="str">
        <x:v>Account</x:v>
      </x:c>
      <x:c r="C939" s="71" t="str">
        <x:v>Profile</x:v>
      </x:c>
      <x:c r="D939" s="71" t="str">
        <x:v>/journey/profile/profile-form</x:v>
      </x:c>
      <x:c r="E939" s="71" t="str">
        <x:v>ProfileForm</x:v>
      </x:c>
      <x:c r="F939" s="71" t="str">
        <x:v>Session expired</x:v>
      </x:c>
      <x:c r="G939" s="71" t="str">
        <x:v>Body copy</x:v>
      </x:c>
      <x:c r="H939" s="71" t="str">
        <x:v>Your private profile is hidden until you sign in again.</x:v>
      </x:c>
      <x:c r="I939" s="71" t="str">
        <x:v>Your private profile is hidden until you sign in again.</x:v>
      </x:c>
      <x:c r="J939" s="73"/>
      <x:c r="K939" s="74" t="str">
        <x:f>IF(J939="",H939,IF(J939=I939,I939,J939))</x:f>
        <x:v>Your private profile is hidden until you sign in again.</x:v>
      </x:c>
      <x:c r="L939" s="74" t="str">
        <x:f>IF(J939="","Keep current",IF(J939=I939,"Use suggestion","Custom"))</x:f>
        <x:v>Keep current</x:v>
      </x:c>
      <x:c r="M939" s="71" t="str">
        <x:v>Pending review</x:v>
      </x:c>
      <x:c r="N939" s="71" t="str">
        <x:v>High</x:v>
      </x:c>
      <x:c r="O939" s="71" t="str">
        <x:v>app/journey/profile/profile-form.tsx</x:v>
      </x:c>
      <x:c r="P939" s="71" t="str">
        <x:v>ProfileForm:197</x:v>
      </x:c>
      <x:c r="Q939" s="71" t="str">
        <x:v>EN (default / shared)</x:v>
      </x:c>
      <x:c r="R939" s="71" t="str">
        <x:v>Already clear and direct; suggested wording intentionally keeps the current copy.</x:v>
      </x:c>
      <x:c r="S939" s="75" t="str">
        <x:v>Not applied — review required</x:v>
      </x:c>
    </x:row>
    <x:row r="940">
      <x:c r="A940" s="71" t="str">
        <x:v>MRV-80179377FE</x:v>
      </x:c>
      <x:c r="B940" s="71" t="str">
        <x:v>Account</x:v>
      </x:c>
      <x:c r="C940" s="71" t="str">
        <x:v>Profile</x:v>
      </x:c>
      <x:c r="D940" s="71" t="str">
        <x:v>/journey/profile/profile-form</x:v>
      </x:c>
      <x:c r="E940" s="71" t="str">
        <x:v>ProfileForm</x:v>
      </x:c>
      <x:c r="F940" s="71" t="str">
        <x:v>Session expired</x:v>
      </x:c>
      <x:c r="G940" s="71" t="str">
        <x:v>CTA / button</x:v>
      </x:c>
      <x:c r="H940" s="71" t="str">
        <x:v>Sign in again</x:v>
      </x:c>
      <x:c r="I940" s="71" t="str">
        <x:v>Sign in again</x:v>
      </x:c>
      <x:c r="J940" s="73"/>
      <x:c r="K940" s="74" t="str">
        <x:f>IF(J940="",H940,IF(J940=I940,I940,J940))</x:f>
        <x:v>Sign in again</x:v>
      </x:c>
      <x:c r="L940" s="74" t="str">
        <x:f>IF(J940="","Keep current",IF(J940=I940,"Use suggestion","Custom"))</x:f>
        <x:v>Keep current</x:v>
      </x:c>
      <x:c r="M940" s="71" t="str">
        <x:v>Pending review</x:v>
      </x:c>
      <x:c r="N940" s="71" t="str">
        <x:v>High</x:v>
      </x:c>
      <x:c r="O940" s="71" t="str">
        <x:v>app/journey/profile/profile-form.tsx</x:v>
      </x:c>
      <x:c r="P940" s="71" t="str">
        <x:v>ProfileForm:197</x:v>
      </x:c>
      <x:c r="Q940" s="71" t="str">
        <x:v>EN (default / shared)</x:v>
      </x:c>
      <x:c r="R940" s="71" t="str">
        <x:v>Already clear and direct; suggested wording intentionally keeps the current copy. Duplicate wording: appears 8 times.</x:v>
      </x:c>
      <x:c r="S940" s="75" t="str">
        <x:v>Not applied — review required</x:v>
      </x:c>
    </x:row>
    <x:row r="941">
      <x:c r="A941" s="71" t="str">
        <x:v>MRV-5B7852EF0F</x:v>
      </x:c>
      <x:c r="B941" s="71" t="str">
        <x:v>Account</x:v>
      </x:c>
      <x:c r="C941" s="71" t="str">
        <x:v>Profile</x:v>
      </x:c>
      <x:c r="D941" s="71" t="str">
        <x:v>/journey/profile/profile-form</x:v>
      </x:c>
      <x:c r="E941" s="71" t="str">
        <x:v>ProfileForm</x:v>
      </x:c>
      <x:c r="F941" s="71" t="str">
        <x:v>Default</x:v>
      </x:c>
      <x:c r="G941" s="71" t="str">
        <x:v>Label</x:v>
      </x:c>
      <x:c r="H941" s="71" t="str">
        <x:v>Pace</x:v>
      </x:c>
      <x:c r="I941" s="71" t="str">
        <x:v>Pace</x:v>
      </x:c>
      <x:c r="J941" s="73"/>
      <x:c r="K941" s="74" t="str">
        <x:f>IF(J941="",H941,IF(J941=I941,I941,J941))</x:f>
        <x:v>Pace</x:v>
      </x:c>
      <x:c r="L941" s="74" t="str">
        <x:f>IF(J941="","Keep current",IF(J941=I941,"Use suggestion","Custom"))</x:f>
        <x:v>Keep current</x:v>
      </x:c>
      <x:c r="M941" s="71" t="str">
        <x:v>Pending review</x:v>
      </x:c>
      <x:c r="N941" s="71" t="str">
        <x:v>Normal</x:v>
      </x:c>
      <x:c r="O941" s="71" t="str">
        <x:v>app/journey/profile/profile-form.tsx</x:v>
      </x:c>
      <x:c r="P941" s="71" t="str">
        <x:v>ProfileForm:230</x:v>
      </x:c>
      <x:c r="Q941" s="71" t="str">
        <x:v>EN (default / shared)</x:v>
      </x:c>
      <x:c r="R941" s="71" t="str">
        <x:v>Already clear and direct; suggested wording intentionally keeps the current copy.</x:v>
      </x:c>
      <x:c r="S941" s="75" t="str">
        <x:v>Not applied — review required</x:v>
      </x:c>
    </x:row>
    <x:row r="942">
      <x:c r="A942" s="71" t="str">
        <x:v>MRV-94E543C594</x:v>
      </x:c>
      <x:c r="B942" s="71" t="str">
        <x:v>Account</x:v>
      </x:c>
      <x:c r="C942" s="71" t="str">
        <x:v>Profile</x:v>
      </x:c>
      <x:c r="D942" s="71" t="str">
        <x:v>/journey/profile/profile-form</x:v>
      </x:c>
      <x:c r="E942" s="71" t="str">
        <x:v>ProfileForm</x:v>
      </x:c>
      <x:c r="F942" s="71" t="str">
        <x:v>Accessibility / input support</x:v>
      </x:c>
      <x:c r="G942" s="71" t="str">
        <x:v>Accessibility label</x:v>
      </x:c>
      <x:c r="H942" s="71" t="str">
        <x:v>Trip pace options</x:v>
      </x:c>
      <x:c r="I942" s="71" t="str">
        <x:v>Trip pace options</x:v>
      </x:c>
      <x:c r="J942" s="73"/>
      <x:c r="K942" s="74" t="str">
        <x:f>IF(J942="",H942,IF(J942=I942,I942,J942))</x:f>
        <x:v>Trip pace options</x:v>
      </x:c>
      <x:c r="L942" s="74" t="str">
        <x:f>IF(J942="","Keep current",IF(J942=I942,"Use suggestion","Custom"))</x:f>
        <x:v>Keep current</x:v>
      </x:c>
      <x:c r="M942" s="71" t="str">
        <x:v>Pending review</x:v>
      </x:c>
      <x:c r="N942" s="71" t="str">
        <x:v>Medium</x:v>
      </x:c>
      <x:c r="O942" s="71" t="str">
        <x:v>app/journey/profile/profile-form.tsx</x:v>
      </x:c>
      <x:c r="P942" s="71" t="str">
        <x:v>ProfileForm:231</x:v>
      </x:c>
      <x:c r="Q942" s="71" t="str">
        <x:v>EN (default / shared)</x:v>
      </x:c>
      <x:c r="R942" s="71" t="str">
        <x:v>Already clear and direct; suggested wording intentionally keeps the current copy. Terminology watch: ‘trip’ and ‘journey’ both describe the same plan. Terminology watch: ‘stops’, ‘destinations’ and ‘places’ overlap.</x:v>
      </x:c>
      <x:c r="S942" s="75" t="str">
        <x:v>Not applied — review required</x:v>
      </x:c>
    </x:row>
    <x:row r="943">
      <x:c r="A943" s="71" t="str">
        <x:v>MRV-4F85EED4E3</x:v>
      </x:c>
      <x:c r="B943" s="71" t="str">
        <x:v>Account</x:v>
      </x:c>
      <x:c r="C943" s="71" t="str">
        <x:v>Profile</x:v>
      </x:c>
      <x:c r="D943" s="71" t="str">
        <x:v>/journey/profile/profile-form</x:v>
      </x:c>
      <x:c r="E943" s="71" t="str">
        <x:v>ProfileForm</x:v>
      </x:c>
      <x:c r="F943" s="71" t="str">
        <x:v>Accessibility / input support</x:v>
      </x:c>
      <x:c r="G943" s="71" t="str">
        <x:v>Accessibility label</x:v>
      </x:c>
      <x:c r="H943" s="71" t="str">
        <x:v>Trip pace</x:v>
      </x:c>
      <x:c r="I943" s="71" t="str">
        <x:v>Trip pace</x:v>
      </x:c>
      <x:c r="J943" s="73"/>
      <x:c r="K943" s="74" t="str">
        <x:f>IF(J943="",H943,IF(J943=I943,I943,J943))</x:f>
        <x:v>Trip pace</x:v>
      </x:c>
      <x:c r="L943" s="74" t="str">
        <x:f>IF(J943="","Keep current",IF(J943=I943,"Use suggestion","Custom"))</x:f>
        <x:v>Keep current</x:v>
      </x:c>
      <x:c r="M943" s="71" t="str">
        <x:v>Pending review</x:v>
      </x:c>
      <x:c r="N943" s="71" t="str">
        <x:v>Medium</x:v>
      </x:c>
      <x:c r="O943" s="71" t="str">
        <x:v>app/journey/profile/profile-form.tsx</x:v>
      </x:c>
      <x:c r="P943" s="71" t="str">
        <x:v>ProfileForm:232</x:v>
      </x:c>
      <x:c r="Q943" s="71" t="str">
        <x:v>EN (default / shared)</x:v>
      </x:c>
      <x:c r="R943" s="71" t="str">
        <x:v>Already clear and direct; suggested wording intentionally keeps the current copy. Terminology watch: ‘trip’ and ‘journey’ both describe the same plan. Terminology watch: ‘stops’, ‘destinations’ and ‘places’ overlap.</x:v>
      </x:c>
      <x:c r="S943" s="75" t="str">
        <x:v>Not applied — review required</x:v>
      </x:c>
    </x:row>
    <x:row r="944">
      <x:c r="A944" s="71" t="str">
        <x:v>MRV-B9FBDDD3EC</x:v>
      </x:c>
      <x:c r="B944" s="71" t="str">
        <x:v>Account</x:v>
      </x:c>
      <x:c r="C944" s="71" t="str">
        <x:v>Profile</x:v>
      </x:c>
      <x:c r="D944" s="71" t="str">
        <x:v>/journey/profile/profile-form</x:v>
      </x:c>
      <x:c r="E944" s="71" t="str">
        <x:v>ProfileForm</x:v>
      </x:c>
      <x:c r="F944" s="71" t="str">
        <x:v>Default</x:v>
      </x:c>
      <x:c r="G944" s="71" t="str">
        <x:v>Label</x:v>
      </x:c>
      <x:c r="H944" s="71" t="str">
        <x:v>What pulls you in</x:v>
      </x:c>
      <x:c r="I944" s="71" t="str">
        <x:v>What pulls you in</x:v>
      </x:c>
      <x:c r="J944" s="73"/>
      <x:c r="K944" s="74" t="str">
        <x:f>IF(J944="",H944,IF(J944=I944,I944,J944))</x:f>
        <x:v>What pulls you in</x:v>
      </x:c>
      <x:c r="L944" s="74" t="str">
        <x:f>IF(J944="","Keep current",IF(J944=I944,"Use suggestion","Custom"))</x:f>
        <x:v>Keep current</x:v>
      </x:c>
      <x:c r="M944" s="71" t="str">
        <x:v>Pending review</x:v>
      </x:c>
      <x:c r="N944" s="71" t="str">
        <x:v>Normal</x:v>
      </x:c>
      <x:c r="O944" s="71" t="str">
        <x:v>app/journey/profile/profile-form.tsx</x:v>
      </x:c>
      <x:c r="P944" s="71" t="str">
        <x:v>ProfileForm:235</x:v>
      </x:c>
      <x:c r="Q944" s="71" t="str">
        <x:v>EN (default / shared)</x:v>
      </x:c>
      <x:c r="R944" s="71" t="str">
        <x:v>Already clear and direct; suggested wording intentionally keeps the current copy. Duplicate wording: appears 2 times.</x:v>
      </x:c>
      <x:c r="S944" s="75" t="str">
        <x:v>Not applied — review required</x:v>
      </x:c>
    </x:row>
    <x:row r="945">
      <x:c r="A945" s="71" t="str">
        <x:v>MRV-5B41E8DE70</x:v>
      </x:c>
      <x:c r="B945" s="71" t="str">
        <x:v>Account</x:v>
      </x:c>
      <x:c r="C945" s="71" t="str">
        <x:v>Profile</x:v>
      </x:c>
      <x:c r="D945" s="71" t="str">
        <x:v>/journey/profile/profile-form</x:v>
      </x:c>
      <x:c r="E945" s="71" t="str">
        <x:v>ProfileForm</x:v>
      </x:c>
      <x:c r="F945" s="71" t="str">
        <x:v>Default</x:v>
      </x:c>
      <x:c r="G945" s="71" t="str">
        <x:v>Label</x:v>
      </x:c>
      <x:c r="H945" s="71" t="str">
        <x:v>Choose the lead</x:v>
      </x:c>
      <x:c r="I945" s="71" t="str">
        <x:v>Choose the lead</x:v>
      </x:c>
      <x:c r="J945" s="73"/>
      <x:c r="K945" s="74" t="str">
        <x:f>IF(J945="",H945,IF(J945=I945,I945,J945))</x:f>
        <x:v>Choose the lead</x:v>
      </x:c>
      <x:c r="L945" s="74" t="str">
        <x:f>IF(J945="","Keep current",IF(J945=I945,"Use suggestion","Custom"))</x:f>
        <x:v>Keep current</x:v>
      </x:c>
      <x:c r="M945" s="71" t="str">
        <x:v>Pending review</x:v>
      </x:c>
      <x:c r="N945" s="71" t="str">
        <x:v>Normal</x:v>
      </x:c>
      <x:c r="O945" s="71" t="str">
        <x:v>app/journey/profile/profile-form.tsx</x:v>
      </x:c>
      <x:c r="P945" s="71" t="str">
        <x:v>ProfileForm:235</x:v>
      </x:c>
      <x:c r="Q945" s="71" t="str">
        <x:v>EN (default / shared)</x:v>
      </x:c>
      <x:c r="R945" s="71" t="str">
        <x:v>Already clear and direct; suggested wording intentionally keeps the current copy.</x:v>
      </x:c>
      <x:c r="S945" s="75" t="str">
        <x:v>Not applied — review required</x:v>
      </x:c>
    </x:row>
    <x:row r="946">
      <x:c r="A946" s="71" t="str">
        <x:v>MRV-D0F77F62B4</x:v>
      </x:c>
      <x:c r="B946" s="71" t="str">
        <x:v>Account</x:v>
      </x:c>
      <x:c r="C946" s="71" t="str">
        <x:v>Profile</x:v>
      </x:c>
      <x:c r="D946" s="71" t="str">
        <x:v>/journey/profile/profile-form</x:v>
      </x:c>
      <x:c r="E946" s="71" t="str">
        <x:v>ProfileForm</x:v>
      </x:c>
      <x:c r="F946" s="71" t="str">
        <x:v>Accessibility / input support</x:v>
      </x:c>
      <x:c r="G946" s="71" t="str">
        <x:v>Accessibility label</x:v>
      </x:c>
      <x:c r="H946" s="71" t="str">
        <x:v>Travel interest options</x:v>
      </x:c>
      <x:c r="I946" s="71" t="str">
        <x:v>Travel interest options</x:v>
      </x:c>
      <x:c r="J946" s="73"/>
      <x:c r="K946" s="74" t="str">
        <x:f>IF(J946="",H946,IF(J946=I946,I946,J946))</x:f>
        <x:v>Travel interest options</x:v>
      </x:c>
      <x:c r="L946" s="74" t="str">
        <x:f>IF(J946="","Keep current",IF(J946=I946,"Use suggestion","Custom"))</x:f>
        <x:v>Keep current</x:v>
      </x:c>
      <x:c r="M946" s="71" t="str">
        <x:v>Pending review</x:v>
      </x:c>
      <x:c r="N946" s="71" t="str">
        <x:v>Medium</x:v>
      </x:c>
      <x:c r="O946" s="71" t="str">
        <x:v>app/journey/profile/profile-form.tsx</x:v>
      </x:c>
      <x:c r="P946" s="71" t="str">
        <x:v>ProfileForm:236</x:v>
      </x:c>
      <x:c r="Q946" s="71" t="str">
        <x:v>EN (default / shared)</x:v>
      </x:c>
      <x:c r="R946" s="71" t="str">
        <x:v>Already clear and direct; suggested wording intentionally keeps the current copy.</x:v>
      </x:c>
      <x:c r="S946" s="75" t="str">
        <x:v>Not applied — review required</x:v>
      </x:c>
    </x:row>
    <x:row r="947">
      <x:c r="A947" s="71" t="str">
        <x:v>MRV-4CAB1AB653</x:v>
      </x:c>
      <x:c r="B947" s="71" t="str">
        <x:v>Account</x:v>
      </x:c>
      <x:c r="C947" s="71" t="str">
        <x:v>Profile</x:v>
      </x:c>
      <x:c r="D947" s="71" t="str">
        <x:v>/journey/profile/profile-form</x:v>
      </x:c>
      <x:c r="E947" s="71" t="str">
        <x:v>ProfileForm</x:v>
      </x:c>
      <x:c r="F947" s="71" t="str">
        <x:v>Default</x:v>
      </x:c>
      <x:c r="G947" s="71" t="str">
        <x:v>Label</x:v>
      </x:c>
      <x:c r="H947" s="71" t="str">
        <x:v>Hotel moves</x:v>
      </x:c>
      <x:c r="I947" s="71" t="str">
        <x:v>Hotel moves</x:v>
      </x:c>
      <x:c r="J947" s="73"/>
      <x:c r="K947" s="74" t="str">
        <x:f>IF(J947="",H947,IF(J947=I947,I947,J947))</x:f>
        <x:v>Hotel moves</x:v>
      </x:c>
      <x:c r="L947" s="74" t="str">
        <x:f>IF(J947="","Keep current",IF(J947=I947,"Use suggestion","Custom"))</x:f>
        <x:v>Keep current</x:v>
      </x:c>
      <x:c r="M947" s="71" t="str">
        <x:v>Pending review</x:v>
      </x:c>
      <x:c r="N947" s="71" t="str">
        <x:v>Normal</x:v>
      </x:c>
      <x:c r="O947" s="71" t="str">
        <x:v>app/journey/profile/profile-form.tsx</x:v>
      </x:c>
      <x:c r="P947" s="71" t="str">
        <x:v>ProfileForm:239</x:v>
      </x:c>
      <x:c r="Q947" s="71" t="str">
        <x:v>EN (default / shared)</x:v>
      </x:c>
      <x:c r="R947" s="71" t="str">
        <x:v>Already clear and direct; suggested wording intentionally keeps the current copy.</x:v>
      </x:c>
      <x:c r="S947" s="75" t="str">
        <x:v>Not applied — review required</x:v>
      </x:c>
    </x:row>
    <x:row r="948">
      <x:c r="A948" s="71" t="str">
        <x:v>MRV-4DC211EF6E</x:v>
      </x:c>
      <x:c r="B948" s="71" t="str">
        <x:v>Account</x:v>
      </x:c>
      <x:c r="C948" s="71" t="str">
        <x:v>Profile</x:v>
      </x:c>
      <x:c r="D948" s="71" t="str">
        <x:v>/journey/profile/profile-form</x:v>
      </x:c>
      <x:c r="E948" s="71" t="str">
        <x:v>ProfileForm</x:v>
      </x:c>
      <x:c r="F948" s="71" t="str">
        <x:v>Accessibility / input support</x:v>
      </x:c>
      <x:c r="G948" s="71" t="str">
        <x:v>Accessibility label</x:v>
      </x:c>
      <x:c r="H948" s="71" t="str">
        <x:v>Hotel move options</x:v>
      </x:c>
      <x:c r="I948" s="71" t="str">
        <x:v>Hotel move options</x:v>
      </x:c>
      <x:c r="J948" s="73"/>
      <x:c r="K948" s="74" t="str">
        <x:f>IF(J948="",H948,IF(J948=I948,I948,J948))</x:f>
        <x:v>Hotel move options</x:v>
      </x:c>
      <x:c r="L948" s="74" t="str">
        <x:f>IF(J948="","Keep current",IF(J948=I948,"Use suggestion","Custom"))</x:f>
        <x:v>Keep current</x:v>
      </x:c>
      <x:c r="M948" s="71" t="str">
        <x:v>Pending review</x:v>
      </x:c>
      <x:c r="N948" s="71" t="str">
        <x:v>Medium</x:v>
      </x:c>
      <x:c r="O948" s="71" t="str">
        <x:v>app/journey/profile/profile-form.tsx</x:v>
      </x:c>
      <x:c r="P948" s="71" t="str">
        <x:v>ProfileForm:240</x:v>
      </x:c>
      <x:c r="Q948" s="71" t="str">
        <x:v>EN (default / shared)</x:v>
      </x:c>
      <x:c r="R948" s="71" t="str">
        <x:v>Already clear and direct; suggested wording intentionally keeps the current copy.</x:v>
      </x:c>
      <x:c r="S948" s="75" t="str">
        <x:v>Not applied — review required</x:v>
      </x:c>
    </x:row>
    <x:row r="949">
      <x:c r="A949" s="71" t="str">
        <x:v>MRV-FA2443A751</x:v>
      </x:c>
      <x:c r="B949" s="71" t="str">
        <x:v>Account</x:v>
      </x:c>
      <x:c r="C949" s="71" t="str">
        <x:v>Profile</x:v>
      </x:c>
      <x:c r="D949" s="71" t="str">
        <x:v>/journey/profile/profile-form</x:v>
      </x:c>
      <x:c r="E949" s="71" t="str">
        <x:v>ProfileForm</x:v>
      </x:c>
      <x:c r="F949" s="71" t="str">
        <x:v>Default</x:v>
      </x:c>
      <x:c r="G949" s="71" t="str">
        <x:v>Label</x:v>
      </x:c>
      <x:c r="H949" s="71" t="str">
        <x:v>Comfort level</x:v>
      </x:c>
      <x:c r="I949" s="71" t="str">
        <x:v>Comfort level</x:v>
      </x:c>
      <x:c r="J949" s="73"/>
      <x:c r="K949" s="74" t="str">
        <x:f>IF(J949="",H949,IF(J949=I949,I949,J949))</x:f>
        <x:v>Comfort level</x:v>
      </x:c>
      <x:c r="L949" s="74" t="str">
        <x:f>IF(J949="","Keep current",IF(J949=I949,"Use suggestion","Custom"))</x:f>
        <x:v>Keep current</x:v>
      </x:c>
      <x:c r="M949" s="71" t="str">
        <x:v>Pending review</x:v>
      </x:c>
      <x:c r="N949" s="71" t="str">
        <x:v>Normal</x:v>
      </x:c>
      <x:c r="O949" s="71" t="str">
        <x:v>app/journey/profile/profile-form.tsx</x:v>
      </x:c>
      <x:c r="P949" s="71" t="str">
        <x:v>ProfileForm:243</x:v>
      </x:c>
      <x:c r="Q949" s="71" t="str">
        <x:v>EN (default / shared)</x:v>
      </x:c>
      <x:c r="R949" s="71" t="str">
        <x:v>Already clear and direct; suggested wording intentionally keeps the current copy. Duplicate wording: appears 2 times.</x:v>
      </x:c>
      <x:c r="S949" s="75" t="str">
        <x:v>Not applied — review required</x:v>
      </x:c>
    </x:row>
    <x:row r="950">
      <x:c r="A950" s="71" t="str">
        <x:v>MRV-A2637CE30E</x:v>
      </x:c>
      <x:c r="B950" s="71" t="str">
        <x:v>Account</x:v>
      </x:c>
      <x:c r="C950" s="71" t="str">
        <x:v>Profile</x:v>
      </x:c>
      <x:c r="D950" s="71" t="str">
        <x:v>/journey/profile/profile-form</x:v>
      </x:c>
      <x:c r="E950" s="71" t="str">
        <x:v>ProfileForm</x:v>
      </x:c>
      <x:c r="F950" s="71" t="str">
        <x:v>Accessibility / input support</x:v>
      </x:c>
      <x:c r="G950" s="71" t="str">
        <x:v>Accessibility label</x:v>
      </x:c>
      <x:c r="H950" s="71" t="str">
        <x:v>Comfort level options</x:v>
      </x:c>
      <x:c r="I950" s="71" t="str">
        <x:v>Comfort level options</x:v>
      </x:c>
      <x:c r="J950" s="73"/>
      <x:c r="K950" s="74" t="str">
        <x:f>IF(J950="",H950,IF(J950=I950,I950,J950))</x:f>
        <x:v>Comfort level options</x:v>
      </x:c>
      <x:c r="L950" s="74" t="str">
        <x:f>IF(J950="","Keep current",IF(J950=I950,"Use suggestion","Custom"))</x:f>
        <x:v>Keep current</x:v>
      </x:c>
      <x:c r="M950" s="71" t="str">
        <x:v>Pending review</x:v>
      </x:c>
      <x:c r="N950" s="71" t="str">
        <x:v>Medium</x:v>
      </x:c>
      <x:c r="O950" s="71" t="str">
        <x:v>app/journey/profile/profile-form.tsx</x:v>
      </x:c>
      <x:c r="P950" s="71" t="str">
        <x:v>ProfileForm:244</x:v>
      </x:c>
      <x:c r="Q950" s="71" t="str">
        <x:v>EN (default / shared)</x:v>
      </x:c>
      <x:c r="R950" s="71" t="str">
        <x:v>Already clear and direct; suggested wording intentionally keeps the current copy.</x:v>
      </x:c>
      <x:c r="S950" s="75" t="str">
        <x:v>Not applied — review required</x:v>
      </x:c>
    </x:row>
    <x:row r="951">
      <x:c r="A951" s="71" t="str">
        <x:v>MRV-0C7756FBCA</x:v>
      </x:c>
      <x:c r="B951" s="71" t="str">
        <x:v>Account</x:v>
      </x:c>
      <x:c r="C951" s="71" t="str">
        <x:v>Profile</x:v>
      </x:c>
      <x:c r="D951" s="71" t="str">
        <x:v>/journey/profile/profile-form</x:v>
      </x:c>
      <x:c r="E951" s="71" t="str">
        <x:v>ProfileForm</x:v>
      </x:c>
      <x:c r="F951" s="71" t="str">
        <x:v>Accessibility / input support</x:v>
      </x:c>
      <x:c r="G951" s="71" t="str">
        <x:v>Accessibility label</x:v>
      </x:c>
      <x:c r="H951" s="71" t="str">
        <x:v>Comfort level</x:v>
      </x:c>
      <x:c r="I951" s="71" t="str">
        <x:v>Comfort level</x:v>
      </x:c>
      <x:c r="J951" s="73"/>
      <x:c r="K951" s="74" t="str">
        <x:f>IF(J951="",H951,IF(J951=I951,I951,J951))</x:f>
        <x:v>Comfort level</x:v>
      </x:c>
      <x:c r="L951" s="74" t="str">
        <x:f>IF(J951="","Keep current",IF(J951=I951,"Use suggestion","Custom"))</x:f>
        <x:v>Keep current</x:v>
      </x:c>
      <x:c r="M951" s="71" t="str">
        <x:v>Pending review</x:v>
      </x:c>
      <x:c r="N951" s="71" t="str">
        <x:v>Medium</x:v>
      </x:c>
      <x:c r="O951" s="71" t="str">
        <x:v>app/journey/profile/profile-form.tsx</x:v>
      </x:c>
      <x:c r="P951" s="71" t="str">
        <x:v>ProfileForm:245</x:v>
      </x:c>
      <x:c r="Q951" s="71" t="str">
        <x:v>EN (default / shared)</x:v>
      </x:c>
      <x:c r="R951" s="71" t="str">
        <x:v>Already clear and direct; suggested wording intentionally keeps the current copy. Duplicate wording: appears 2 times.</x:v>
      </x:c>
      <x:c r="S951" s="75" t="str">
        <x:v>Not applied — review required</x:v>
      </x:c>
    </x:row>
    <x:row r="952">
      <x:c r="A952" s="71" t="str">
        <x:v>MRV-F7F34BBB5B</x:v>
      </x:c>
      <x:c r="B952" s="71" t="str">
        <x:v>Account</x:v>
      </x:c>
      <x:c r="C952" s="71" t="str">
        <x:v>Sign in / recovery</x:v>
      </x:c>
      <x:c r="D952" s="71" t="str">
        <x:v>/journey/reset-password</x:v>
      </x:c>
      <x:c r="E952" s="71" t="str">
        <x:v>submit</x:v>
      </x:c>
      <x:c r="F952" s="71" t="str">
        <x:v>Failure / recovery</x:v>
      </x:c>
      <x:c r="G952" s="71" t="str">
        <x:v>Body copy</x:v>
      </x:c>
      <x:c r="H952" s="71" t="str">
        <x:v>Passwords do not match.</x:v>
      </x:c>
      <x:c r="I952" s="71" t="str">
        <x:v>Passwords do not match.</x:v>
      </x:c>
      <x:c r="J952" s="73"/>
      <x:c r="K952" s="74" t="str">
        <x:f>IF(J952="",H952,IF(J952=I952,I952,J952))</x:f>
        <x:v>Passwords do not match.</x:v>
      </x:c>
      <x:c r="L952" s="74" t="str">
        <x:f>IF(J952="","Keep current",IF(J952=I952,"Use suggestion","Custom"))</x:f>
        <x:v>Keep current</x:v>
      </x:c>
      <x:c r="M952" s="71" t="str">
        <x:v>Pending review</x:v>
      </x:c>
      <x:c r="N952" s="71" t="str">
        <x:v>High</x:v>
      </x:c>
      <x:c r="O952" s="71" t="str">
        <x:v>app/journey/reset-password/page.tsx</x:v>
      </x:c>
      <x:c r="P952" s="71" t="str">
        <x:v>submit:23</x:v>
      </x:c>
      <x:c r="Q952" s="71" t="str">
        <x:v>EN (default / shared)</x:v>
      </x:c>
      <x:c r="R952" s="71" t="str">
        <x:v>Already clear and direct; suggested wording intentionally keeps the current copy.</x:v>
      </x:c>
      <x:c r="S952" s="75" t="str">
        <x:v>Not applied — review required</x:v>
      </x:c>
    </x:row>
    <x:row r="953">
      <x:c r="A953" s="71" t="str">
        <x:v>MRV-05492C749E</x:v>
      </x:c>
      <x:c r="B953" s="71" t="str">
        <x:v>Account</x:v>
      </x:c>
      <x:c r="C953" s="71" t="str">
        <x:v>Sign in / recovery</x:v>
      </x:c>
      <x:c r="D953" s="71" t="str">
        <x:v>/journey/reset-password</x:v>
      </x:c>
      <x:c r="E953" s="71" t="str">
        <x:v>submit</x:v>
      </x:c>
      <x:c r="F953" s="71" t="str">
        <x:v>Failure / recovery</x:v>
      </x:c>
      <x:c r="G953" s="71" t="str">
        <x:v>Body copy</x:v>
      </x:c>
      <x:c r="H953" s="71" t="str">
        <x:v>That reset link is no longer valid.</x:v>
      </x:c>
      <x:c r="I953" s="71" t="str">
        <x:v>That reset link is no longer valid.</x:v>
      </x:c>
      <x:c r="J953" s="73"/>
      <x:c r="K953" s="74" t="str">
        <x:f>IF(J953="",H953,IF(J953=I953,I953,J953))</x:f>
        <x:v>That reset link is no longer valid.</x:v>
      </x:c>
      <x:c r="L953" s="74" t="str">
        <x:f>IF(J953="","Keep current",IF(J953=I953,"Use suggestion","Custom"))</x:f>
        <x:v>Keep current</x:v>
      </x:c>
      <x:c r="M953" s="71" t="str">
        <x:v>Pending review</x:v>
      </x:c>
      <x:c r="N953" s="71" t="str">
        <x:v>High</x:v>
      </x:c>
      <x:c r="O953" s="71" t="str">
        <x:v>app/journey/reset-password/page.tsx</x:v>
      </x:c>
      <x:c r="P953" s="71" t="str">
        <x:v>submit:25</x:v>
      </x:c>
      <x:c r="Q953" s="71" t="str">
        <x:v>EN (default / shared)</x:v>
      </x:c>
      <x:c r="R953" s="71" t="str">
        <x:v>Already clear and direct; suggested wording intentionally keeps the current copy.</x:v>
      </x:c>
      <x:c r="S953" s="75" t="str">
        <x:v>Not applied — review required</x:v>
      </x:c>
    </x:row>
    <x:row r="954">
      <x:c r="A954" s="71" t="str">
        <x:v>MRV-6D39B86D42</x:v>
      </x:c>
      <x:c r="B954" s="71" t="str">
        <x:v>Account</x:v>
      </x:c>
      <x:c r="C954" s="71" t="str">
        <x:v>Sign in / recovery</x:v>
      </x:c>
      <x:c r="D954" s="71" t="str">
        <x:v>/journey/reset-password</x:v>
      </x:c>
      <x:c r="E954" s="71" t="str">
        <x:v>ResetPasswordForm</x:v>
      </x:c>
      <x:c r="F954" s="71" t="str">
        <x:v>Default</x:v>
      </x:c>
      <x:c r="G954" s="71" t="str">
        <x:v>Body copy</x:v>
      </x:c>
      <x:c r="H954" s="71" t="str">
        <x:v>Password updated.</x:v>
      </x:c>
      <x:c r="I954" s="71" t="str">
        <x:v>Password updated.</x:v>
      </x:c>
      <x:c r="J954" s="73"/>
      <x:c r="K954" s="74" t="str">
        <x:f>IF(J954="",H954,IF(J954=I954,I954,J954))</x:f>
        <x:v>Password updated.</x:v>
      </x:c>
      <x:c r="L954" s="74" t="str">
        <x:f>IF(J954="","Keep current",IF(J954=I954,"Use suggestion","Custom"))</x:f>
        <x:v>Keep current</x:v>
      </x:c>
      <x:c r="M954" s="71" t="str">
        <x:v>Pending review</x:v>
      </x:c>
      <x:c r="N954" s="71" t="str">
        <x:v>Normal</x:v>
      </x:c>
      <x:c r="O954" s="71" t="str">
        <x:v>app/journey/reset-password/page.tsx</x:v>
      </x:c>
      <x:c r="P954" s="71" t="str">
        <x:v>ResetPasswordForm:30</x:v>
      </x:c>
      <x:c r="Q954" s="71" t="str">
        <x:v>EN (default / shared)</x:v>
      </x:c>
      <x:c r="R954" s="71" t="str">
        <x:v>Already clear and direct; suggested wording intentionally keeps the current copy.</x:v>
      </x:c>
      <x:c r="S954" s="75" t="str">
        <x:v>Not applied — review required</x:v>
      </x:c>
    </x:row>
    <x:row r="955">
      <x:c r="A955" s="71" t="str">
        <x:v>MRV-1720D79948</x:v>
      </x:c>
      <x:c r="B955" s="71" t="str">
        <x:v>Account</x:v>
      </x:c>
      <x:c r="C955" s="71" t="str">
        <x:v>Sign in / recovery</x:v>
      </x:c>
      <x:c r="D955" s="71" t="str">
        <x:v>/journey/reset-password</x:v>
      </x:c>
      <x:c r="E955" s="71" t="str">
        <x:v>ResetPasswordForm</x:v>
      </x:c>
      <x:c r="F955" s="71" t="str">
        <x:v>Default</x:v>
      </x:c>
      <x:c r="G955" s="71" t="str">
        <x:v>Body copy</x:v>
      </x:c>
      <x:c r="H955" s="71" t="str">
        <x:v>Choose a new password.</x:v>
      </x:c>
      <x:c r="I955" s="71" t="str">
        <x:v>Choose a new password.</x:v>
      </x:c>
      <x:c r="J955" s="73"/>
      <x:c r="K955" s="74" t="str">
        <x:f>IF(J955="",H955,IF(J955=I955,I955,J955))</x:f>
        <x:v>Choose a new password.</x:v>
      </x:c>
      <x:c r="L955" s="74" t="str">
        <x:f>IF(J955="","Keep current",IF(J955=I955,"Use suggestion","Custom"))</x:f>
        <x:v>Keep current</x:v>
      </x:c>
      <x:c r="M955" s="71" t="str">
        <x:v>Pending review</x:v>
      </x:c>
      <x:c r="N955" s="71" t="str">
        <x:v>Normal</x:v>
      </x:c>
      <x:c r="O955" s="71" t="str">
        <x:v>app/journey/reset-password/page.tsx</x:v>
      </x:c>
      <x:c r="P955" s="71" t="str">
        <x:v>ResetPasswordForm:30</x:v>
      </x:c>
      <x:c r="Q955" s="71" t="str">
        <x:v>EN (default / shared)</x:v>
      </x:c>
      <x:c r="R955" s="71" t="str">
        <x:v>Already clear and direct; suggested wording intentionally keeps the current copy.</x:v>
      </x:c>
      <x:c r="S955" s="75" t="str">
        <x:v>Not applied — review required</x:v>
      </x:c>
    </x:row>
    <x:row r="956">
      <x:c r="A956" s="71" t="str">
        <x:v>MRV-62CCE3EFC4</x:v>
      </x:c>
      <x:c r="B956" s="71" t="str">
        <x:v>Account</x:v>
      </x:c>
      <x:c r="C956" s="71" t="str">
        <x:v>Sign in / recovery</x:v>
      </x:c>
      <x:c r="D956" s="71" t="str">
        <x:v>/journey/reset-password</x:v>
      </x:c>
      <x:c r="E956" s="71" t="str">
        <x:v>ResetPasswordForm</x:v>
      </x:c>
      <x:c r="F956" s="71" t="str">
        <x:v>Default</x:v>
      </x:c>
      <x:c r="G956" s="71" t="str">
        <x:v>Body copy</x:v>
      </x:c>
      <x:c r="H956" s="71" t="str">
        <x:v>You can now sign in with your new password.</x:v>
      </x:c>
      <x:c r="I956" s="71" t="str">
        <x:v>You can now sign in with your new password.</x:v>
      </x:c>
      <x:c r="J956" s="73"/>
      <x:c r="K956" s="74" t="str">
        <x:f>IF(J956="",H956,IF(J956=I956,I956,J956))</x:f>
        <x:v>You can now sign in with your new password.</x:v>
      </x:c>
      <x:c r="L956" s="74" t="str">
        <x:f>IF(J956="","Keep current",IF(J956=I956,"Use suggestion","Custom"))</x:f>
        <x:v>Keep current</x:v>
      </x:c>
      <x:c r="M956" s="71" t="str">
        <x:v>Pending review</x:v>
      </x:c>
      <x:c r="N956" s="71" t="str">
        <x:v>Normal</x:v>
      </x:c>
      <x:c r="O956" s="71" t="str">
        <x:v>app/journey/reset-password/page.tsx</x:v>
      </x:c>
      <x:c r="P956" s="71" t="str">
        <x:v>ResetPasswordForm:31</x:v>
      </x:c>
      <x:c r="Q956" s="71" t="str">
        <x:v>EN (default / shared)</x:v>
      </x:c>
      <x:c r="R956" s="71" t="str">
        <x:v>Already clear and direct; suggested wording intentionally keeps the current copy.</x:v>
      </x:c>
      <x:c r="S956" s="75" t="str">
        <x:v>Not applied — review required</x:v>
      </x:c>
    </x:row>
    <x:row r="957">
      <x:c r="A957" s="71" t="str">
        <x:v>MRV-0C528C96DD</x:v>
      </x:c>
      <x:c r="B957" s="71" t="str">
        <x:v>Account</x:v>
      </x:c>
      <x:c r="C957" s="71" t="str">
        <x:v>Sign in / recovery</x:v>
      </x:c>
      <x:c r="D957" s="71" t="str">
        <x:v>/journey/reset-password</x:v>
      </x:c>
      <x:c r="E957" s="71" t="str">
        <x:v>ResetPasswordForm</x:v>
      </x:c>
      <x:c r="F957" s="71" t="str">
        <x:v>Default</x:v>
      </x:c>
      <x:c r="G957" s="71" t="str">
        <x:v>CTA / button</x:v>
      </x:c>
      <x:c r="H957" s="71" t="str">
        <x:v>Use at least 8 characters.</x:v>
      </x:c>
      <x:c r="I957" s="71" t="str">
        <x:v>Use at least 8 characters.</x:v>
      </x:c>
      <x:c r="J957" s="73"/>
      <x:c r="K957" s="74" t="str">
        <x:f>IF(J957="",H957,IF(J957=I957,I957,J957))</x:f>
        <x:v>Use at least 8 characters.</x:v>
      </x:c>
      <x:c r="L957" s="74" t="str">
        <x:f>IF(J957="","Keep current",IF(J957=I957,"Use suggestion","Custom"))</x:f>
        <x:v>Keep current</x:v>
      </x:c>
      <x:c r="M957" s="71" t="str">
        <x:v>Pending review</x:v>
      </x:c>
      <x:c r="N957" s="71" t="str">
        <x:v>Medium</x:v>
      </x:c>
      <x:c r="O957" s="71" t="str">
        <x:v>app/journey/reset-password/page.tsx</x:v>
      </x:c>
      <x:c r="P957" s="71" t="str">
        <x:v>ResetPasswordForm:31</x:v>
      </x:c>
      <x:c r="Q957" s="71" t="str">
        <x:v>EN (default / shared)</x:v>
      </x:c>
      <x:c r="R957" s="71" t="str">
        <x:v>Already clear and direct; suggested wording intentionally keeps the current copy.</x:v>
      </x:c>
      <x:c r="S957" s="75" t="str">
        <x:v>Not applied — review required</x:v>
      </x:c>
    </x:row>
    <x:row r="958">
      <x:c r="A958" s="71" t="str">
        <x:v>MRV-79E92245FD</x:v>
      </x:c>
      <x:c r="B958" s="71" t="str">
        <x:v>Account</x:v>
      </x:c>
      <x:c r="C958" s="71" t="str">
        <x:v>Sign in / recovery</x:v>
      </x:c>
      <x:c r="D958" s="71" t="str">
        <x:v>/journey/reset-password</x:v>
      </x:c>
      <x:c r="E958" s="71" t="str">
        <x:v>ResetPasswordForm</x:v>
      </x:c>
      <x:c r="F958" s="71" t="str">
        <x:v>Default</x:v>
      </x:c>
      <x:c r="G958" s="71" t="str">
        <x:v>Label</x:v>
      </x:c>
      <x:c r="H958" s="71" t="str">
        <x:v>New password</x:v>
      </x:c>
      <x:c r="I958" s="71" t="str">
        <x:v>New password</x:v>
      </x:c>
      <x:c r="J958" s="73"/>
      <x:c r="K958" s="74" t="str">
        <x:f>IF(J958="",H958,IF(J958=I958,I958,J958))</x:f>
        <x:v>New password</x:v>
      </x:c>
      <x:c r="L958" s="74" t="str">
        <x:f>IF(J958="","Keep current",IF(J958=I958,"Use suggestion","Custom"))</x:f>
        <x:v>Keep current</x:v>
      </x:c>
      <x:c r="M958" s="71" t="str">
        <x:v>Pending review</x:v>
      </x:c>
      <x:c r="N958" s="71" t="str">
        <x:v>Normal</x:v>
      </x:c>
      <x:c r="O958" s="71" t="str">
        <x:v>app/journey/reset-password/page.tsx</x:v>
      </x:c>
      <x:c r="P958" s="71" t="str">
        <x:v>ResetPasswordForm:32</x:v>
      </x:c>
      <x:c r="Q958" s="71" t="str">
        <x:v>EN (default / shared)</x:v>
      </x:c>
      <x:c r="R958" s="71" t="str">
        <x:v>Already clear and direct; suggested wording intentionally keeps the current copy.</x:v>
      </x:c>
      <x:c r="S958" s="75" t="str">
        <x:v>Not applied — review required</x:v>
      </x:c>
    </x:row>
    <x:row r="959">
      <x:c r="A959" s="71" t="str">
        <x:v>MRV-5236DCC1A5</x:v>
      </x:c>
      <x:c r="B959" s="71" t="str">
        <x:v>Account</x:v>
      </x:c>
      <x:c r="C959" s="71" t="str">
        <x:v>Sign in / recovery</x:v>
      </x:c>
      <x:c r="D959" s="71" t="str">
        <x:v>/journey/reset-password</x:v>
      </x:c>
      <x:c r="E959" s="71" t="str">
        <x:v>ResetPasswordForm</x:v>
      </x:c>
      <x:c r="F959" s="71" t="str">
        <x:v>Accessibility / input support</x:v>
      </x:c>
      <x:c r="G959" s="71" t="str">
        <x:v>Placeholder</x:v>
      </x:c>
      <x:c r="H959" s="71" t="str">
        <x:v>At least 8 characters</x:v>
      </x:c>
      <x:c r="I959" s="71" t="str">
        <x:v>At least 8 characters</x:v>
      </x:c>
      <x:c r="J959" s="73"/>
      <x:c r="K959" s="74" t="str">
        <x:f>IF(J959="",H959,IF(J959=I959,I959,J959))</x:f>
        <x:v>At least 8 characters</x:v>
      </x:c>
      <x:c r="L959" s="74" t="str">
        <x:f>IF(J959="","Keep current",IF(J959=I959,"Use suggestion","Custom"))</x:f>
        <x:v>Keep current</x:v>
      </x:c>
      <x:c r="M959" s="71" t="str">
        <x:v>Pending review</x:v>
      </x:c>
      <x:c r="N959" s="71" t="str">
        <x:v>Medium</x:v>
      </x:c>
      <x:c r="O959" s="71" t="str">
        <x:v>app/journey/reset-password/page.tsx</x:v>
      </x:c>
      <x:c r="P959" s="71" t="str">
        <x:v>ResetPasswordForm:32</x:v>
      </x:c>
      <x:c r="Q959" s="71" t="str">
        <x:v>EN (default / shared)</x:v>
      </x:c>
      <x:c r="R959" s="71" t="str">
        <x:v>Already clear and direct; suggested wording intentionally keeps the current copy. Duplicate wording: appears 2 times.</x:v>
      </x:c>
      <x:c r="S959" s="75" t="str">
        <x:v>Not applied — review required</x:v>
      </x:c>
    </x:row>
    <x:row r="960">
      <x:c r="A960" s="71" t="str">
        <x:v>MRV-1C1D35ABDF</x:v>
      </x:c>
      <x:c r="B960" s="71" t="str">
        <x:v>Account</x:v>
      </x:c>
      <x:c r="C960" s="71" t="str">
        <x:v>Sign in / recovery</x:v>
      </x:c>
      <x:c r="D960" s="71" t="str">
        <x:v>/journey/reset-password</x:v>
      </x:c>
      <x:c r="E960" s="71" t="str">
        <x:v>ResetPasswordForm</x:v>
      </x:c>
      <x:c r="F960" s="71" t="str">
        <x:v>Default</x:v>
      </x:c>
      <x:c r="G960" s="71" t="str">
        <x:v>Label</x:v>
      </x:c>
      <x:c r="H960" s="71" t="str">
        <x:v>Confirm password</x:v>
      </x:c>
      <x:c r="I960" s="71" t="str">
        <x:v>Confirm password</x:v>
      </x:c>
      <x:c r="J960" s="73"/>
      <x:c r="K960" s="74" t="str">
        <x:f>IF(J960="",H960,IF(J960=I960,I960,J960))</x:f>
        <x:v>Confirm password</x:v>
      </x:c>
      <x:c r="L960" s="74" t="str">
        <x:f>IF(J960="","Keep current",IF(J960=I960,"Use suggestion","Custom"))</x:f>
        <x:v>Keep current</x:v>
      </x:c>
      <x:c r="M960" s="71" t="str">
        <x:v>Pending review</x:v>
      </x:c>
      <x:c r="N960" s="71" t="str">
        <x:v>Normal</x:v>
      </x:c>
      <x:c r="O960" s="71" t="str">
        <x:v>app/journey/reset-password/page.tsx</x:v>
      </x:c>
      <x:c r="P960" s="71" t="str">
        <x:v>ResetPasswordForm:32</x:v>
      </x:c>
      <x:c r="Q960" s="71" t="str">
        <x:v>EN (default / shared)</x:v>
      </x:c>
      <x:c r="R960" s="71" t="str">
        <x:v>Already clear and direct; suggested wording intentionally keeps the current copy.</x:v>
      </x:c>
      <x:c r="S960" s="75" t="str">
        <x:v>Not applied — review required</x:v>
      </x:c>
    </x:row>
    <x:row r="961">
      <x:c r="A961" s="71" t="str">
        <x:v>MRV-FDFDE21211</x:v>
      </x:c>
      <x:c r="B961" s="71" t="str">
        <x:v>Account</x:v>
      </x:c>
      <x:c r="C961" s="71" t="str">
        <x:v>Sign in / recovery</x:v>
      </x:c>
      <x:c r="D961" s="71" t="str">
        <x:v>/journey/reset-password</x:v>
      </x:c>
      <x:c r="E961" s="71" t="str">
        <x:v>ResetPasswordForm</x:v>
      </x:c>
      <x:c r="F961" s="71" t="str">
        <x:v>Accessibility / input support</x:v>
      </x:c>
      <x:c r="G961" s="71" t="str">
        <x:v>Placeholder</x:v>
      </x:c>
      <x:c r="H961" s="71" t="str">
        <x:v>Repeat your password</x:v>
      </x:c>
      <x:c r="I961" s="71" t="str">
        <x:v>Repeat your password</x:v>
      </x:c>
      <x:c r="J961" s="73"/>
      <x:c r="K961" s="74" t="str">
        <x:f>IF(J961="",H961,IF(J961=I961,I961,J961))</x:f>
        <x:v>Repeat your password</x:v>
      </x:c>
      <x:c r="L961" s="74" t="str">
        <x:f>IF(J961="","Keep current",IF(J961=I961,"Use suggestion","Custom"))</x:f>
        <x:v>Keep current</x:v>
      </x:c>
      <x:c r="M961" s="71" t="str">
        <x:v>Pending review</x:v>
      </x:c>
      <x:c r="N961" s="71" t="str">
        <x:v>Medium</x:v>
      </x:c>
      <x:c r="O961" s="71" t="str">
        <x:v>app/journey/reset-password/page.tsx</x:v>
      </x:c>
      <x:c r="P961" s="71" t="str">
        <x:v>ResetPasswordForm:32</x:v>
      </x:c>
      <x:c r="Q961" s="71" t="str">
        <x:v>EN (default / shared)</x:v>
      </x:c>
      <x:c r="R961" s="71" t="str">
        <x:v>Already clear and direct; suggested wording intentionally keeps the current copy.</x:v>
      </x:c>
      <x:c r="S961" s="75" t="str">
        <x:v>Not applied — review required</x:v>
      </x:c>
    </x:row>
    <x:row r="962">
      <x:c r="A962" s="71" t="str">
        <x:v>MRV-2886EEAE55</x:v>
      </x:c>
      <x:c r="B962" s="71" t="str">
        <x:v>Account</x:v>
      </x:c>
      <x:c r="C962" s="71" t="str">
        <x:v>Sign in / recovery</x:v>
      </x:c>
      <x:c r="D962" s="71" t="str">
        <x:v>/journey/reset-password</x:v>
      </x:c>
      <x:c r="E962" s="71" t="str">
        <x:v>ResetPasswordForm</x:v>
      </x:c>
      <x:c r="F962" s="71" t="str">
        <x:v>Loading / in progress</x:v>
      </x:c>
      <x:c r="G962" s="71" t="str">
        <x:v>Label</x:v>
      </x:c>
      <x:c r="H962" s="71" t="str">
        <x:v>Update password →</x:v>
      </x:c>
      <x:c r="I962" s="71" t="str">
        <x:v>Update password →</x:v>
      </x:c>
      <x:c r="J962" s="73"/>
      <x:c r="K962" s="74" t="str">
        <x:f>IF(J962="",H962,IF(J962=I962,I962,J962))</x:f>
        <x:v>Update password →</x:v>
      </x:c>
      <x:c r="L962" s="74" t="str">
        <x:f>IF(J962="","Keep current",IF(J962=I962,"Use suggestion","Custom"))</x:f>
        <x:v>Keep current</x:v>
      </x:c>
      <x:c r="M962" s="71" t="str">
        <x:v>Pending review</x:v>
      </x:c>
      <x:c r="N962" s="71" t="str">
        <x:v>Normal</x:v>
      </x:c>
      <x:c r="O962" s="71" t="str">
        <x:v>app/journey/reset-password/page.tsx</x:v>
      </x:c>
      <x:c r="P962" s="71" t="str">
        <x:v>ResetPasswordForm:32</x:v>
      </x:c>
      <x:c r="Q962" s="71" t="str">
        <x:v>EN (default / shared)</x:v>
      </x:c>
      <x:c r="R962" s="71" t="str">
        <x:v>Already clear and direct; suggested wording intentionally keeps the current copy.</x:v>
      </x:c>
      <x:c r="S962" s="75" t="str">
        <x:v>Not applied — review required</x:v>
      </x:c>
    </x:row>
    <x:row r="963">
      <x:c r="A963" s="71" t="str">
        <x:v>MRV-0B29028081</x:v>
      </x:c>
      <x:c r="B963" s="71" t="str">
        <x:v>Acquisition</x:v>
      </x:c>
      <x:c r="C963" s="71" t="str">
        <x:v>Route detail</x:v>
      </x:c>
      <x:c r="D963" s="71" t="str">
        <x:v>/journey/routes/[slug]/route-attraction-image</x:v>
      </x:c>
      <x:c r="E963" s="71" t="str">
        <x:v>cacheKey</x:v>
      </x:c>
      <x:c r="F963" s="71" t="str">
        <x:v>Default</x:v>
      </x:c>
      <x:c r="G963" s="71" t="str">
        <x:v>Body copy</x:v>
      </x:c>
      <x:c r="H963" s="71" t="str">
        <x:v>{routeKey}:attraction:{subjectKey}</x:v>
      </x:c>
      <x:c r="I963" s="71" t="str">
        <x:v>{routeKey}:attraction:{subjectKey}</x:v>
      </x:c>
      <x:c r="J963" s="73"/>
      <x:c r="K963" s="74" t="str">
        <x:f>IF(J963="",H963,IF(J963=I963,I963,J963))</x:f>
        <x:v>{routeKey}:attraction:{subjectKey}</x:v>
      </x:c>
      <x:c r="L963" s="74" t="str">
        <x:f>IF(J963="","Keep current",IF(J963=I963,"Use suggestion","Custom"))</x:f>
        <x:v>Keep current</x:v>
      </x:c>
      <x:c r="M963" s="71" t="str">
        <x:v>Pending review</x:v>
      </x:c>
      <x:c r="N963" s="71" t="str">
        <x:v>Normal</x:v>
      </x:c>
      <x:c r="O963" s="71" t="str">
        <x:v>app/journey/routes/[slug]/route-attraction-image.tsx</x:v>
      </x:c>
      <x:c r="P963" s="71" t="str">
        <x:v>cacheKey:11</x:v>
      </x:c>
      <x:c r="Q963" s="71" t="str">
        <x:v>EN (default / shared)</x:v>
      </x:c>
      <x:c r="R963" s="71" t="str">
        <x:v>Already clear and direct; suggested wording intentionally keeps the current copy. Dynamic traveller or trip value is represented as a token; user-generated values are excluded.</x:v>
      </x:c>
      <x:c r="S963" s="75" t="str">
        <x:v>Not applied — review required</x:v>
      </x:c>
    </x:row>
    <x:row r="964">
      <x:c r="A964" s="71" t="str">
        <x:v>MRV-B8CE7CF723</x:v>
      </x:c>
      <x:c r="B964" s="71" t="str">
        <x:v>Acquisition</x:v>
      </x:c>
      <x:c r="C964" s="71" t="str">
        <x:v>Route detail</x:v>
      </x:c>
      <x:c r="D964" s="71" t="str">
        <x:v>/journey/routes/[slug]/route-attraction-image</x:v>
      </x:c>
      <x:c r="E964" s="71" t="str">
        <x:v>RouteAttractionImage</x:v>
      </x:c>
      <x:c r="F964" s="71" t="str">
        <x:v>Default</x:v>
      </x:c>
      <x:c r="G964" s="71" t="str">
        <x:v>Label</x:v>
      </x:c>
      <x:c r="H964" s="71" t="str">
        <x:v>IntersectionObserver</x:v>
      </x:c>
      <x:c r="I964" s="71" t="str">
        <x:v>IntersectionObserver</x:v>
      </x:c>
      <x:c r="J964" s="73"/>
      <x:c r="K964" s="74" t="str">
        <x:f>IF(J964="",H964,IF(J964=I964,I964,J964))</x:f>
        <x:v>IntersectionObserver</x:v>
      </x:c>
      <x:c r="L964" s="74" t="str">
        <x:f>IF(J964="","Keep current",IF(J964=I964,"Use suggestion","Custom"))</x:f>
        <x:v>Keep current</x:v>
      </x:c>
      <x:c r="M964" s="71" t="str">
        <x:v>Pending review</x:v>
      </x:c>
      <x:c r="N964" s="71" t="str">
        <x:v>Normal</x:v>
      </x:c>
      <x:c r="O964" s="71" t="str">
        <x:v>app/journey/routes/[slug]/route-attraction-image.tsx</x:v>
      </x:c>
      <x:c r="P964" s="71" t="str">
        <x:v>RouteAttractionImage:17</x:v>
      </x:c>
      <x:c r="Q964" s="71" t="str">
        <x:v>EN (default / shared)</x:v>
      </x:c>
      <x:c r="R964" s="71" t="str">
        <x:v>Already clear and direct; suggested wording intentionally keeps the current copy. Duplicate wording: appears 3 times.</x:v>
      </x:c>
      <x:c r="S964" s="75" t="str">
        <x:v>Not applied — review required</x:v>
      </x:c>
    </x:row>
    <x:row r="965">
      <x:c r="A965" s="71" t="str">
        <x:v>MRV-F28A973756</x:v>
      </x:c>
      <x:c r="B965" s="71" t="str">
        <x:v>Acquisition</x:v>
      </x:c>
      <x:c r="C965" s="71" t="str">
        <x:v>Route detail</x:v>
      </x:c>
      <x:c r="D965" s="71" t="str">
        <x:v>/journey/routes/[slug]/route-attraction-image</x:v>
      </x:c>
      <x:c r="E965" s="71" t="str">
        <x:v>RouteAttractionImage</x:v>
      </x:c>
      <x:c r="F965" s="71" t="str">
        <x:v>Default</x:v>
      </x:c>
      <x:c r="G965" s="71" t="str">
        <x:v>Label</x:v>
      </x:c>
      <x:c r="H965" s="71" t="str">
        <x:v>{attraction} {country}</x:v>
      </x:c>
      <x:c r="I965" s="71" t="str">
        <x:v>{attraction} {country}</x:v>
      </x:c>
      <x:c r="J965" s="73"/>
      <x:c r="K965" s="74" t="str">
        <x:f>IF(J965="",H965,IF(J965=I965,I965,J965))</x:f>
        <x:v>{attraction} {country}</x:v>
      </x:c>
      <x:c r="L965" s="74" t="str">
        <x:f>IF(J965="","Keep current",IF(J965=I965,"Use suggestion","Custom"))</x:f>
        <x:v>Keep current</x:v>
      </x:c>
      <x:c r="M965" s="71" t="str">
        <x:v>Pending review</x:v>
      </x:c>
      <x:c r="N965" s="71" t="str">
        <x:v>Normal</x:v>
      </x:c>
      <x:c r="O965" s="71" t="str">
        <x:v>app/journey/routes/[slug]/route-attraction-image.tsx</x:v>
      </x:c>
      <x:c r="P965" s="71" t="str">
        <x:v>RouteAttractionImage:32</x:v>
      </x:c>
      <x:c r="Q965" s="71" t="str">
        <x:v>EN (default / shared)</x:v>
      </x:c>
      <x:c r="R965" s="71" t="str">
        <x:v>Already clear and direct; suggested wording intentionally keeps the current copy. Dynamic traveller or trip value is represented as a token; user-generated values are excluded.</x:v>
      </x:c>
      <x:c r="S965" s="75" t="str">
        <x:v>Not applied — review required</x:v>
      </x:c>
    </x:row>
    <x:row r="966">
      <x:c r="A966" s="71" t="str">
        <x:v>MRV-73DE84559C</x:v>
      </x:c>
      <x:c r="B966" s="71" t="str">
        <x:v>Acquisition</x:v>
      </x:c>
      <x:c r="C966" s="71" t="str">
        <x:v>Route detail</x:v>
      </x:c>
      <x:c r="D966" s="71" t="str">
        <x:v>/journey/routes/[slug]/route-attraction-image</x:v>
      </x:c>
      <x:c r="E966" s="71" t="str">
        <x:v>RouteAttractionImage</x:v>
      </x:c>
      <x:c r="F966" s="71" t="str">
        <x:v>Default</x:v>
      </x:c>
      <x:c r="G966" s="71" t="str">
        <x:v>Label</x:v>
      </x:c>
      <x:c r="H966" s="71" t="str">
        <x:v>{stop} {country} travel</x:v>
      </x:c>
      <x:c r="I966" s="71" t="str">
        <x:v>{stop} {country} travel</x:v>
      </x:c>
      <x:c r="J966" s="73"/>
      <x:c r="K966" s="74" t="str">
        <x:f>IF(J966="",H966,IF(J966=I966,I966,J966))</x:f>
        <x:v>{stop} {country} travel</x:v>
      </x:c>
      <x:c r="L966" s="74" t="str">
        <x:f>IF(J966="","Keep current",IF(J966=I966,"Use suggestion","Custom"))</x:f>
        <x:v>Keep current</x:v>
      </x:c>
      <x:c r="M966" s="71" t="str">
        <x:v>Pending review</x:v>
      </x:c>
      <x:c r="N966" s="71" t="str">
        <x:v>Normal</x:v>
      </x:c>
      <x:c r="O966" s="71" t="str">
        <x:v>app/journey/routes/[slug]/route-attraction-image.tsx</x:v>
      </x:c>
      <x:c r="P966" s="71" t="str">
        <x:v>RouteAttractionImage:32</x:v>
      </x:c>
      <x:c r="Q966" s="71" t="str">
        <x:v>EN (default / shared)</x:v>
      </x:c>
      <x:c r="R966"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966" s="75" t="str">
        <x:v>Not applied — review required</x:v>
      </x:c>
    </x:row>
    <x:row r="967">
      <x:c r="A967" s="71" t="str">
        <x:v>MRV-F805D652FB</x:v>
      </x:c>
      <x:c r="B967" s="71" t="str">
        <x:v>Acquisition</x:v>
      </x:c>
      <x:c r="C967" s="71" t="str">
        <x:v>Route detail</x:v>
      </x:c>
      <x:c r="D967" s="71" t="str">
        <x:v>/journey/routes/[slug]/route-detail-view</x:v>
      </x:c>
      <x:c r="E967" s="71" t="str">
        <x:v>nightLabel</x:v>
      </x:c>
      <x:c r="F967" s="71" t="str">
        <x:v>Default</x:v>
      </x:c>
      <x:c r="G967" s="71" t="str">
        <x:v>Body copy</x:v>
      </x:c>
      <x:c r="H967" s="71" t="str">
        <x:v>{nights} {nights === 1 ? "night" : "nights"}</x:v>
      </x:c>
      <x:c r="I967" s="71" t="str">
        <x:v>{nights} {nights === 1 ? "night" : "nights"}</x:v>
      </x:c>
      <x:c r="J967" s="73"/>
      <x:c r="K967" s="74" t="str">
        <x:f>IF(J967="",H967,IF(J967=I967,I967,J967))</x:f>
        <x:v>{nights} {nights === 1 ? "night" : "nights"}</x:v>
      </x:c>
      <x:c r="L967" s="74" t="str">
        <x:f>IF(J967="","Keep current",IF(J967=I967,"Use suggestion","Custom"))</x:f>
        <x:v>Keep current</x:v>
      </x:c>
      <x:c r="M967" s="71" t="str">
        <x:v>Pending review</x:v>
      </x:c>
      <x:c r="N967" s="71" t="str">
        <x:v>Normal</x:v>
      </x:c>
      <x:c r="O967" s="71" t="str">
        <x:v>app/journey/routes/[slug]/route-detail-view.tsx</x:v>
      </x:c>
      <x:c r="P967" s="71" t="str">
        <x:v>nightLabel:40</x:v>
      </x:c>
      <x:c r="Q967" s="71" t="str">
        <x:v>EN (default / shared)</x:v>
      </x:c>
      <x:c r="R967" s="71" t="str">
        <x:v>Already clear and direct; suggested wording intentionally keeps the current copy. Dynamic traveller or trip value is represented as a token; user-generated values are excluded.</x:v>
      </x:c>
      <x:c r="S967" s="75" t="str">
        <x:v>Not applied — review required</x:v>
      </x:c>
    </x:row>
    <x:row r="968">
      <x:c r="A968" s="71" t="str">
        <x:v>MRV-303EBAA76D</x:v>
      </x:c>
      <x:c r="B968" s="71" t="str">
        <x:v>Acquisition</x:v>
      </x:c>
      <x:c r="C968" s="71" t="str">
        <x:v>Route detail</x:v>
      </x:c>
      <x:c r="D968" s="71" t="str">
        <x:v>/journey/routes/[slug]/route-detail-view</x:v>
      </x:c>
      <x:c r="E968" s="71" t="str">
        <x:v>RouteDetailView</x:v>
      </x:c>
      <x:c r="F968" s="71" t="str">
        <x:v>Default</x:v>
      </x:c>
      <x:c r="G968" s="71" t="str">
        <x:v>Label</x:v>
      </x:c>
      <x:c r="H968" s="71" t="str">
        <x:v>Pacing</x:v>
      </x:c>
      <x:c r="I968" s="71" t="str">
        <x:v>Pacing</x:v>
      </x:c>
      <x:c r="J968" s="73"/>
      <x:c r="K968" s="74" t="str">
        <x:f>IF(J968="",H968,IF(J968=I968,I968,J968))</x:f>
        <x:v>Pacing</x:v>
      </x:c>
      <x:c r="L968" s="74" t="str">
        <x:f>IF(J968="","Keep current",IF(J968=I968,"Use suggestion","Custom"))</x:f>
        <x:v>Keep current</x:v>
      </x:c>
      <x:c r="M968" s="71" t="str">
        <x:v>Pending review</x:v>
      </x:c>
      <x:c r="N968" s="71" t="str">
        <x:v>Normal</x:v>
      </x:c>
      <x:c r="O968" s="71" t="str">
        <x:v>app/journey/routes/[slug]/route-detail-view.tsx</x:v>
      </x:c>
      <x:c r="P968" s="71" t="str">
        <x:v>RouteDetailView:55</x:v>
      </x:c>
      <x:c r="Q968" s="71" t="str">
        <x:v>EN (default / shared)</x:v>
      </x:c>
      <x:c r="R968" s="71" t="str">
        <x:v>Already clear and direct; suggested wording intentionally keeps the current copy. Duplicate wording: appears 2 times.</x:v>
      </x:c>
      <x:c r="S968" s="75" t="str">
        <x:v>Not applied — review required</x:v>
      </x:c>
    </x:row>
    <x:row r="969">
      <x:c r="A969" s="71" t="str">
        <x:v>MRV-B5F00C63B0</x:v>
      </x:c>
      <x:c r="B969" s="71" t="str">
        <x:v>Acquisition</x:v>
      </x:c>
      <x:c r="C969" s="71" t="str">
        <x:v>Route detail</x:v>
      </x:c>
      <x:c r="D969" s="71" t="str">
        <x:v>/journey/routes/[slug]/route-detail-view</x:v>
      </x:c>
      <x:c r="E969" s="71" t="str">
        <x:v>RouteDetailView</x:v>
      </x:c>
      <x:c r="F969" s="71" t="str">
        <x:v>Default</x:v>
      </x:c>
      <x:c r="G969" s="71" t="str">
        <x:v>Label</x:v>
      </x:c>
      <x:c r="H969" s="71" t="str">
        <x:v>Route character</x:v>
      </x:c>
      <x:c r="I969" s="71" t="str">
        <x:v>Route character</x:v>
      </x:c>
      <x:c r="J969" s="73"/>
      <x:c r="K969" s="74" t="str">
        <x:f>IF(J969="",H969,IF(J969=I969,I969,J969))</x:f>
        <x:v>Route character</x:v>
      </x:c>
      <x:c r="L969" s="74" t="str">
        <x:f>IF(J969="","Keep current",IF(J969=I969,"Use suggestion","Custom"))</x:f>
        <x:v>Keep current</x:v>
      </x:c>
      <x:c r="M969" s="71" t="str">
        <x:v>Pending review</x:v>
      </x:c>
      <x:c r="N969" s="71" t="str">
        <x:v>Normal</x:v>
      </x:c>
      <x:c r="O969" s="71" t="str">
        <x:v>app/journey/routes/[slug]/route-detail-view.tsx</x:v>
      </x:c>
      <x:c r="P969" s="71" t="str">
        <x:v>RouteDetailView:56</x:v>
      </x:c>
      <x:c r="Q969" s="71" t="str">
        <x:v>EN (default / shared)</x:v>
      </x:c>
      <x:c r="R969" s="71" t="str">
        <x:v>Already clear and direct; suggested wording intentionally keeps the current copy. Duplicate wording: appears 2 times.</x:v>
      </x:c>
      <x:c r="S969" s="75" t="str">
        <x:v>Not applied — review required</x:v>
      </x:c>
    </x:row>
    <x:row r="970">
      <x:c r="A970" s="71" t="str">
        <x:v>MRV-116B5D7ADB</x:v>
      </x:c>
      <x:c r="B970" s="71" t="str">
        <x:v>Acquisition</x:v>
      </x:c>
      <x:c r="C970" s="71" t="str">
        <x:v>Route detail</x:v>
      </x:c>
      <x:c r="D970" s="71" t="str">
        <x:v>/journey/routes/[slug]/route-detail-view</x:v>
      </x:c>
      <x:c r="E970" s="71" t="str">
        <x:v>RouteDetailView</x:v>
      </x:c>
      <x:c r="F970" s="71" t="str">
        <x:v>Default</x:v>
      </x:c>
      <x:c r="G970" s="71" t="str">
        <x:v>Body copy</x:v>
      </x:c>
      <x:c r="H970" s="71" t="str">
        <x:v>Dates, nights and every stop stay editable.</x:v>
      </x:c>
      <x:c r="I970" s="71" t="str">
        <x:v>Dates, nights and every stop stay editable.</x:v>
      </x:c>
      <x:c r="J970" s="73"/>
      <x:c r="K970" s="74" t="str">
        <x:f>IF(J970="",H970,IF(J970=I970,I970,J970))</x:f>
        <x:v>Dates, nights and every stop stay editable.</x:v>
      </x:c>
      <x:c r="L970" s="74" t="str">
        <x:f>IF(J970="","Keep current",IF(J970=I970,"Use suggestion","Custom"))</x:f>
        <x:v>Keep current</x:v>
      </x:c>
      <x:c r="M970" s="71" t="str">
        <x:v>Pending review</x:v>
      </x:c>
      <x:c r="N970" s="71" t="str">
        <x:v>Normal</x:v>
      </x:c>
      <x:c r="O970" s="71" t="str">
        <x:v>app/journey/routes/[slug]/route-detail-view.tsx</x:v>
      </x:c>
      <x:c r="P970" s="71" t="str">
        <x:v>RouteDetailView:60</x:v>
      </x:c>
      <x:c r="Q970" s="71" t="str">
        <x:v>EN (default / shared)</x:v>
      </x:c>
      <x:c r="R970" s="71" t="str">
        <x:v>Already clear and direct; suggested wording intentionally keeps the current copy. Terminology watch: ‘trip’ and ‘journey’ both describe the same plan. Terminology watch: ‘stops’, ‘destinations’ and ‘places’ overlap.</x:v>
      </x:c>
      <x:c r="S970" s="75" t="str">
        <x:v>Not applied — review required</x:v>
      </x:c>
    </x:row>
    <x:row r="971">
      <x:c r="A971" s="71" t="str">
        <x:v>MRV-07D3F4EED9</x:v>
      </x:c>
      <x:c r="B971" s="71" t="str">
        <x:v>Acquisition</x:v>
      </x:c>
      <x:c r="C971" s="71" t="str">
        <x:v>Route detail</x:v>
      </x:c>
      <x:c r="D971" s="71" t="str">
        <x:v>/journey/routes/[slug]/route-detail-view</x:v>
      </x:c>
      <x:c r="E971" s="71" t="str">
        <x:v>RouteDetailView</x:v>
      </x:c>
      <x:c r="F971" s="71" t="str">
        <x:v>Accessibility / input support</x:v>
      </x:c>
      <x:c r="G971" s="71" t="str">
        <x:v>Image alternative</x:v>
      </x:c>
      <x:c r="H971" s="71" t="str">
        <x:v>{detail.title} route landscape</x:v>
      </x:c>
      <x:c r="I971" s="71" t="str">
        <x:v>{detail.title} route landscape</x:v>
      </x:c>
      <x:c r="J971" s="73"/>
      <x:c r="K971" s="74" t="str">
        <x:f>IF(J971="",H971,IF(J971=I971,I971,J971))</x:f>
        <x:v>{detail.title} route landscape</x:v>
      </x:c>
      <x:c r="L971" s="74" t="str">
        <x:f>IF(J971="","Keep current",IF(J971=I971,"Use suggestion","Custom"))</x:f>
        <x:v>Keep current</x:v>
      </x:c>
      <x:c r="M971" s="71" t="str">
        <x:v>Pending review</x:v>
      </x:c>
      <x:c r="N971" s="71" t="str">
        <x:v>Normal</x:v>
      </x:c>
      <x:c r="O971" s="71" t="str">
        <x:v>app/journey/routes/[slug]/route-detail-view.tsx</x:v>
      </x:c>
      <x:c r="P971" s="71" t="str">
        <x:v>RouteDetailView:70</x:v>
      </x:c>
      <x:c r="Q971" s="71" t="str">
        <x:v>EN (default / shared)</x:v>
      </x:c>
      <x:c r="R971" s="71" t="str">
        <x:v>Already clear and direct; suggested wording intentionally keeps the current copy. Dynamic traveller or trip value is represented as a token; user-generated values are excluded.</x:v>
      </x:c>
      <x:c r="S971" s="75" t="str">
        <x:v>Not applied — review required</x:v>
      </x:c>
    </x:row>
    <x:row r="972">
      <x:c r="A972" s="71" t="str">
        <x:v>MRV-A03941B3DA</x:v>
      </x:c>
      <x:c r="B972" s="71" t="str">
        <x:v>Acquisition</x:v>
      </x:c>
      <x:c r="C972" s="71" t="str">
        <x:v>Route detail</x:v>
      </x:c>
      <x:c r="D972" s="71" t="str">
        <x:v>/journey/routes/[slug]/route-detail-view</x:v>
      </x:c>
      <x:c r="E972" s="71" t="str">
        <x:v>RouteDetailView</x:v>
      </x:c>
      <x:c r="F972" s="71" t="str">
        <x:v>Accessibility / input support</x:v>
      </x:c>
      <x:c r="G972" s="71" t="str">
        <x:v>Accessibility label</x:v>
      </x:c>
      <x:c r="H972" s="71" t="str">
        <x:v>Ordered stops on {detail.title}</x:v>
      </x:c>
      <x:c r="I972" s="71" t="str">
        <x:v>Ordered stops on {detail.title}</x:v>
      </x:c>
      <x:c r="J972" s="73"/>
      <x:c r="K972" s="74" t="str">
        <x:f>IF(J972="",H972,IF(J972=I972,I972,J972))</x:f>
        <x:v>Ordered stops on {detail.title}</x:v>
      </x:c>
      <x:c r="L972" s="74" t="str">
        <x:f>IF(J972="","Keep current",IF(J972=I972,"Use suggestion","Custom"))</x:f>
        <x:v>Keep current</x:v>
      </x:c>
      <x:c r="M972" s="71" t="str">
        <x:v>Pending review</x:v>
      </x:c>
      <x:c r="N972" s="71" t="str">
        <x:v>Medium</x:v>
      </x:c>
      <x:c r="O972" s="71" t="str">
        <x:v>app/journey/routes/[slug]/route-detail-view.tsx</x:v>
      </x:c>
      <x:c r="P972" s="71" t="str">
        <x:v>RouteDetailView:80</x:v>
      </x:c>
      <x:c r="Q972" s="71" t="str">
        <x:v>EN (default / shared)</x:v>
      </x:c>
      <x:c r="R972"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972" s="75" t="str">
        <x:v>Not applied — review required</x:v>
      </x:c>
    </x:row>
    <x:row r="973">
      <x:c r="A973" s="71" t="str">
        <x:v>MRV-70AD661299</x:v>
      </x:c>
      <x:c r="B973" s="71" t="str">
        <x:v>Acquisition</x:v>
      </x:c>
      <x:c r="C973" s="71" t="str">
        <x:v>Route detail</x:v>
      </x:c>
      <x:c r="D973" s="71" t="str">
        <x:v>/journey/routes/[slug]/route-detail-view</x:v>
      </x:c>
      <x:c r="E973" s="71" t="str">
        <x:v>RouteDetailView</x:v>
      </x:c>
      <x:c r="F973" s="71" t="str">
        <x:v>Default</x:v>
      </x:c>
      <x:c r="G973" s="71" t="str">
        <x:v>Label</x:v>
      </x:c>
      <x:c r="H973" s="71" t="str">
        <x:v>Best time</x:v>
      </x:c>
      <x:c r="I973" s="71" t="str">
        <x:v>Best time</x:v>
      </x:c>
      <x:c r="J973" s="73"/>
      <x:c r="K973" s="74" t="str">
        <x:f>IF(J973="",H973,IF(J973=I973,I973,J973))</x:f>
        <x:v>Best time</x:v>
      </x:c>
      <x:c r="L973" s="74" t="str">
        <x:f>IF(J973="","Keep current",IF(J973=I973,"Use suggestion","Custom"))</x:f>
        <x:v>Keep current</x:v>
      </x:c>
      <x:c r="M973" s="71" t="str">
        <x:v>Pending review</x:v>
      </x:c>
      <x:c r="N973" s="71" t="str">
        <x:v>Normal</x:v>
      </x:c>
      <x:c r="O973" s="71" t="str">
        <x:v>app/journey/routes/[slug]/route-detail-view.tsx</x:v>
      </x:c>
      <x:c r="P973" s="71" t="str">
        <x:v>RouteDetailView:88</x:v>
      </x:c>
      <x:c r="Q973" s="71" t="str">
        <x:v>EN (default / shared)</x:v>
      </x:c>
      <x:c r="R973" s="71" t="str">
        <x:v>Already clear and direct; suggested wording intentionally keeps the current copy.</x:v>
      </x:c>
      <x:c r="S973" s="75" t="str">
        <x:v>Not applied — review required</x:v>
      </x:c>
    </x:row>
    <x:row r="974">
      <x:c r="A974" s="71" t="str">
        <x:v>MRV-38D115539E</x:v>
      </x:c>
      <x:c r="B974" s="71" t="str">
        <x:v>Acquisition</x:v>
      </x:c>
      <x:c r="C974" s="71" t="str">
        <x:v>Route detail</x:v>
      </x:c>
      <x:c r="D974" s="71" t="str">
        <x:v>/journey/routes/[slug]/route-detail-view</x:v>
      </x:c>
      <x:c r="E974" s="71" t="str">
        <x:v>RouteDetailView</x:v>
      </x:c>
      <x:c r="F974" s="71" t="str">
        <x:v>Default</x:v>
      </x:c>
      <x:c r="G974" s="71" t="str">
        <x:v>Label</x:v>
      </x:c>
      <x:c r="H974" s="71" t="str">
        <x:v>Country</x:v>
      </x:c>
      <x:c r="I974" s="71" t="str">
        <x:v>Country</x:v>
      </x:c>
      <x:c r="J974" s="73"/>
      <x:c r="K974" s="74" t="str">
        <x:f>IF(J974="",H974,IF(J974=I974,I974,J974))</x:f>
        <x:v>Country</x:v>
      </x:c>
      <x:c r="L974" s="74" t="str">
        <x:f>IF(J974="","Keep current",IF(J974=I974,"Use suggestion","Custom"))</x:f>
        <x:v>Keep current</x:v>
      </x:c>
      <x:c r="M974" s="71" t="str">
        <x:v>Pending review</x:v>
      </x:c>
      <x:c r="N974" s="71" t="str">
        <x:v>Normal</x:v>
      </x:c>
      <x:c r="O974" s="71" t="str">
        <x:v>app/journey/routes/[slug]/route-detail-view.tsx</x:v>
      </x:c>
      <x:c r="P974" s="71" t="str">
        <x:v>RouteDetailView:89</x:v>
      </x:c>
      <x:c r="Q974" s="71" t="str">
        <x:v>EN (default / shared)</x:v>
      </x:c>
      <x:c r="R974" s="71" t="str">
        <x:v>Already clear and direct; suggested wording intentionally keeps the current copy.</x:v>
      </x:c>
      <x:c r="S974" s="75" t="str">
        <x:v>Not applied — review required</x:v>
      </x:c>
    </x:row>
    <x:row r="975">
      <x:c r="A975" s="71" t="str">
        <x:v>MRV-4E3EBAAC8B</x:v>
      </x:c>
      <x:c r="B975" s="71" t="str">
        <x:v>Acquisition</x:v>
      </x:c>
      <x:c r="C975" s="71" t="str">
        <x:v>Route detail</x:v>
      </x:c>
      <x:c r="D975" s="71" t="str">
        <x:v>/journey/routes/[slug]/route-detail-view</x:v>
      </x:c>
      <x:c r="E975" s="71" t="str">
        <x:v>RouteDetailView</x:v>
      </x:c>
      <x:c r="F975" s="71" t="str">
        <x:v>Default</x:v>
      </x:c>
      <x:c r="G975" s="71" t="str">
        <x:v>Label</x:v>
      </x:c>
      <x:c r="H975" s="71" t="str">
        <x:v>Countries</x:v>
      </x:c>
      <x:c r="I975" s="71" t="str">
        <x:v>Countries</x:v>
      </x:c>
      <x:c r="J975" s="73"/>
      <x:c r="K975" s="74" t="str">
        <x:f>IF(J975="",H975,IF(J975=I975,I975,J975))</x:f>
        <x:v>Countries</x:v>
      </x:c>
      <x:c r="L975" s="74" t="str">
        <x:f>IF(J975="","Keep current",IF(J975=I975,"Use suggestion","Custom"))</x:f>
        <x:v>Keep current</x:v>
      </x:c>
      <x:c r="M975" s="71" t="str">
        <x:v>Pending review</x:v>
      </x:c>
      <x:c r="N975" s="71" t="str">
        <x:v>Normal</x:v>
      </x:c>
      <x:c r="O975" s="71" t="str">
        <x:v>app/journey/routes/[slug]/route-detail-view.tsx</x:v>
      </x:c>
      <x:c r="P975" s="71" t="str">
        <x:v>RouteDetailView:89</x:v>
      </x:c>
      <x:c r="Q975" s="71" t="str">
        <x:v>EN (default / shared)</x:v>
      </x:c>
      <x:c r="R975" s="71" t="str">
        <x:v>Already clear and direct; suggested wording intentionally keeps the current copy.</x:v>
      </x:c>
      <x:c r="S975" s="75" t="str">
        <x:v>Not applied — review required</x:v>
      </x:c>
    </x:row>
    <x:row r="976">
      <x:c r="A976" s="71" t="str">
        <x:v>MRV-166D8D5216</x:v>
      </x:c>
      <x:c r="B976" s="71" t="str">
        <x:v>Acquisition</x:v>
      </x:c>
      <x:c r="C976" s="71" t="str">
        <x:v>Route detail</x:v>
      </x:c>
      <x:c r="D976" s="71" t="str">
        <x:v>/journey/routes/[slug]/route-detail-view</x:v>
      </x:c>
      <x:c r="E976" s="71" t="str">
        <x:v>RouteDetailView</x:v>
      </x:c>
      <x:c r="F976" s="71" t="str">
        <x:v>Default</x:v>
      </x:c>
      <x:c r="G976" s="71" t="str">
        <x:v>Label</x:v>
      </x:c>
      <x:c r="H976" s="71" t="str">
        <x:v>Pacing</x:v>
      </x:c>
      <x:c r="I976" s="71" t="str">
        <x:v>Pacing</x:v>
      </x:c>
      <x:c r="J976" s="73"/>
      <x:c r="K976" s="74" t="str">
        <x:f>IF(J976="",H976,IF(J976=I976,I976,J976))</x:f>
        <x:v>Pacing</x:v>
      </x:c>
      <x:c r="L976" s="74" t="str">
        <x:f>IF(J976="","Keep current",IF(J976=I976,"Use suggestion","Custom"))</x:f>
        <x:v>Keep current</x:v>
      </x:c>
      <x:c r="M976" s="71" t="str">
        <x:v>Pending review</x:v>
      </x:c>
      <x:c r="N976" s="71" t="str">
        <x:v>Normal</x:v>
      </x:c>
      <x:c r="O976" s="71" t="str">
        <x:v>app/journey/routes/[slug]/route-detail-view.tsx</x:v>
      </x:c>
      <x:c r="P976" s="71" t="str">
        <x:v>RouteDetailView:90</x:v>
      </x:c>
      <x:c r="Q976" s="71" t="str">
        <x:v>EN (default / shared)</x:v>
      </x:c>
      <x:c r="R976" s="71" t="str">
        <x:v>Already clear and direct; suggested wording intentionally keeps the current copy. Duplicate wording: appears 2 times.</x:v>
      </x:c>
      <x:c r="S976" s="75" t="str">
        <x:v>Not applied — review required</x:v>
      </x:c>
    </x:row>
    <x:row r="977">
      <x:c r="A977" s="71" t="str">
        <x:v>MRV-E404D37B14</x:v>
      </x:c>
      <x:c r="B977" s="71" t="str">
        <x:v>Acquisition</x:v>
      </x:c>
      <x:c r="C977" s="71" t="str">
        <x:v>Route detail</x:v>
      </x:c>
      <x:c r="D977" s="71" t="str">
        <x:v>/journey/routes/[slug]/route-detail-view</x:v>
      </x:c>
      <x:c r="E977" s="71" t="str">
        <x:v>RouteDetailView</x:v>
      </x:c>
      <x:c r="F977" s="71" t="str">
        <x:v>Default</x:v>
      </x:c>
      <x:c r="G977" s="71" t="str">
        <x:v>CTA / button</x:v>
      </x:c>
      <x:c r="H977" s="71" t="str">
        <x:v>Start</x:v>
      </x:c>
      <x:c r="I977" s="71" t="str">
        <x:v>Start</x:v>
      </x:c>
      <x:c r="J977" s="73"/>
      <x:c r="K977" s="74" t="str">
        <x:f>IF(J977="",H977,IF(J977=I977,I977,J977))</x:f>
        <x:v>Start</x:v>
      </x:c>
      <x:c r="L977" s="74" t="str">
        <x:f>IF(J977="","Keep current",IF(J977=I977,"Use suggestion","Custom"))</x:f>
        <x:v>Keep current</x:v>
      </x:c>
      <x:c r="M977" s="71" t="str">
        <x:v>Pending review</x:v>
      </x:c>
      <x:c r="N977" s="71" t="str">
        <x:v>Medium</x:v>
      </x:c>
      <x:c r="O977" s="71" t="str">
        <x:v>app/journey/routes/[slug]/route-detail-view.tsx</x:v>
      </x:c>
      <x:c r="P977" s="71" t="str">
        <x:v>RouteDetailView:91</x:v>
      </x:c>
      <x:c r="Q977" s="71" t="str">
        <x:v>EN (default / shared)</x:v>
      </x:c>
      <x:c r="R977" s="71" t="str">
        <x:v>Already clear and direct; suggested wording intentionally keeps the current copy.</x:v>
      </x:c>
      <x:c r="S977" s="75" t="str">
        <x:v>Not applied — review required</x:v>
      </x:c>
    </x:row>
    <x:row r="978">
      <x:c r="A978" s="71" t="str">
        <x:v>MRV-4A096EC5A5</x:v>
      </x:c>
      <x:c r="B978" s="71" t="str">
        <x:v>Acquisition</x:v>
      </x:c>
      <x:c r="C978" s="71" t="str">
        <x:v>Route detail</x:v>
      </x:c>
      <x:c r="D978" s="71" t="str">
        <x:v>/journey/routes/[slug]/route-detail-view</x:v>
      </x:c>
      <x:c r="E978" s="71" t="str">
        <x:v>RouteDetailView</x:v>
      </x:c>
      <x:c r="F978" s="71" t="str">
        <x:v>Default</x:v>
      </x:c>
      <x:c r="G978" s="71" t="str">
        <x:v>Label</x:v>
      </x:c>
      <x:c r="H978" s="71" t="str">
        <x:v>End</x:v>
      </x:c>
      <x:c r="I978" s="71" t="str">
        <x:v>End</x:v>
      </x:c>
      <x:c r="J978" s="73"/>
      <x:c r="K978" s="74" t="str">
        <x:f>IF(J978="",H978,IF(J978=I978,I978,J978))</x:f>
        <x:v>End</x:v>
      </x:c>
      <x:c r="L978" s="74" t="str">
        <x:f>IF(J978="","Keep current",IF(J978=I978,"Use suggestion","Custom"))</x:f>
        <x:v>Keep current</x:v>
      </x:c>
      <x:c r="M978" s="71" t="str">
        <x:v>Pending review</x:v>
      </x:c>
      <x:c r="N978" s="71" t="str">
        <x:v>Normal</x:v>
      </x:c>
      <x:c r="O978" s="71" t="str">
        <x:v>app/journey/routes/[slug]/route-detail-view.tsx</x:v>
      </x:c>
      <x:c r="P978" s="71" t="str">
        <x:v>RouteDetailView:92</x:v>
      </x:c>
      <x:c r="Q978" s="71" t="str">
        <x:v>EN (default / shared)</x:v>
      </x:c>
      <x:c r="R978" s="71" t="str">
        <x:v>Already clear and direct; suggested wording intentionally keeps the current copy. Duplicate wording: appears 2 times.</x:v>
      </x:c>
      <x:c r="S978" s="75" t="str">
        <x:v>Not applied — review required</x:v>
      </x:c>
    </x:row>
    <x:row r="979">
      <x:c r="A979" s="71" t="str">
        <x:v>MRV-1C07602486</x:v>
      </x:c>
      <x:c r="B979" s="71" t="str">
        <x:v>Acquisition</x:v>
      </x:c>
      <x:c r="C979" s="71" t="str">
        <x:v>Route detail</x:v>
      </x:c>
      <x:c r="D979" s="71" t="str">
        <x:v>/journey/routes/[slug]/route-detail-view</x:v>
      </x:c>
      <x:c r="E979" s="71" t="str">
        <x:v>RouteDetailView</x:v>
      </x:c>
      <x:c r="F979" s="71" t="str">
        <x:v>Default</x:v>
      </x:c>
      <x:c r="G979" s="71" t="str">
        <x:v>Label</x:v>
      </x:c>
      <x:c r="H979" s="71" t="str">
        <x:v>Why this route works</x:v>
      </x:c>
      <x:c r="I979" s="71" t="str">
        <x:v>Why this route works</x:v>
      </x:c>
      <x:c r="J979" s="73"/>
      <x:c r="K979" s="74" t="str">
        <x:f>IF(J979="",H979,IF(J979=I979,I979,J979))</x:f>
        <x:v>Why this route works</x:v>
      </x:c>
      <x:c r="L979" s="74" t="str">
        <x:f>IF(J979="","Keep current",IF(J979=I979,"Use suggestion","Custom"))</x:f>
        <x:v>Keep current</x:v>
      </x:c>
      <x:c r="M979" s="71" t="str">
        <x:v>Pending review</x:v>
      </x:c>
      <x:c r="N979" s="71" t="str">
        <x:v>Normal</x:v>
      </x:c>
      <x:c r="O979" s="71" t="str">
        <x:v>app/journey/routes/[slug]/route-detail-view.tsx</x:v>
      </x:c>
      <x:c r="P979" s="71" t="str">
        <x:v>RouteDetailView:95</x:v>
      </x:c>
      <x:c r="Q979" s="71" t="str">
        <x:v>EN (default / shared)</x:v>
      </x:c>
      <x:c r="R979" s="71" t="str">
        <x:v>Already clear and direct; suggested wording intentionally keeps the current copy.</x:v>
      </x:c>
      <x:c r="S979" s="75" t="str">
        <x:v>Not applied — review required</x:v>
      </x:c>
    </x:row>
    <x:row r="980">
      <x:c r="A980" s="71" t="str">
        <x:v>MRV-6A05B3A0BA</x:v>
      </x:c>
      <x:c r="B980" s="71" t="str">
        <x:v>Acquisition</x:v>
      </x:c>
      <x:c r="C980" s="71" t="str">
        <x:v>Route detail</x:v>
      </x:c>
      <x:c r="D980" s="71" t="str">
        <x:v>/journey/routes/[slug]/route-detail-view</x:v>
      </x:c>
      <x:c r="E980" s="71" t="str">
        <x:v>RouteDetailView</x:v>
      </x:c>
      <x:c r="F980" s="71" t="str">
        <x:v>Default</x:v>
      </x:c>
      <x:c r="G980" s="71" t="str">
        <x:v>Label</x:v>
      </x:c>
      <x:c r="H980" s="71" t="str">
        <x:v>Worth knowing</x:v>
      </x:c>
      <x:c r="I980" s="71" t="str">
        <x:v>Worth knowing</x:v>
      </x:c>
      <x:c r="J980" s="73"/>
      <x:c r="K980" s="74" t="str">
        <x:f>IF(J980="",H980,IF(J980=I980,I980,J980))</x:f>
        <x:v>Worth knowing</x:v>
      </x:c>
      <x:c r="L980" s="74" t="str">
        <x:f>IF(J980="","Keep current",IF(J980=I980,"Use suggestion","Custom"))</x:f>
        <x:v>Keep current</x:v>
      </x:c>
      <x:c r="M980" s="71" t="str">
        <x:v>Pending review</x:v>
      </x:c>
      <x:c r="N980" s="71" t="str">
        <x:v>Normal</x:v>
      </x:c>
      <x:c r="O980" s="71" t="str">
        <x:v>app/journey/routes/[slug]/route-detail-view.tsx</x:v>
      </x:c>
      <x:c r="P980" s="71" t="str">
        <x:v>RouteDetailView:99</x:v>
      </x:c>
      <x:c r="Q980" s="71" t="str">
        <x:v>EN (default / shared)</x:v>
      </x:c>
      <x:c r="R980" s="71" t="str">
        <x:v>Already clear and direct; suggested wording intentionally keeps the current copy.</x:v>
      </x:c>
      <x:c r="S980" s="75" t="str">
        <x:v>Not applied — review required</x:v>
      </x:c>
    </x:row>
    <x:row r="981">
      <x:c r="A981" s="71" t="str">
        <x:v>MRV-E5C0B5CEB6</x:v>
      </x:c>
      <x:c r="B981" s="71" t="str">
        <x:v>Acquisition</x:v>
      </x:c>
      <x:c r="C981" s="71" t="str">
        <x:v>Route detail</x:v>
      </x:c>
      <x:c r="D981" s="71" t="str">
        <x:v>/journey/routes/[slug]/route-detail-view</x:v>
      </x:c>
      <x:c r="E981" s="71" t="str">
        <x:v>RouteDetailView</x:v>
      </x:c>
      <x:c r="F981" s="71" t="str">
        <x:v>Default</x:v>
      </x:c>
      <x:c r="G981" s="71" t="str">
        <x:v>Label</x:v>
      </x:c>
      <x:c r="H981" s="71" t="str">
        <x:v>See how the route unfolds</x:v>
      </x:c>
      <x:c r="I981" s="71" t="str">
        <x:v>See how the route unfolds</x:v>
      </x:c>
      <x:c r="J981" s="73"/>
      <x:c r="K981" s="74" t="str">
        <x:f>IF(J981="",H981,IF(J981=I981,I981,J981))</x:f>
        <x:v>See how the route unfolds</x:v>
      </x:c>
      <x:c r="L981" s="74" t="str">
        <x:f>IF(J981="","Keep current",IF(J981=I981,"Use suggestion","Custom"))</x:f>
        <x:v>Keep current</x:v>
      </x:c>
      <x:c r="M981" s="71" t="str">
        <x:v>Pending review</x:v>
      </x:c>
      <x:c r="N981" s="71" t="str">
        <x:v>Normal</x:v>
      </x:c>
      <x:c r="O981" s="71" t="str">
        <x:v>app/journey/routes/[slug]/route-detail-view.tsx</x:v>
      </x:c>
      <x:c r="P981" s="71" t="str">
        <x:v>RouteDetailView:107</x:v>
      </x:c>
      <x:c r="Q981" s="71" t="str">
        <x:v>EN (default / shared)</x:v>
      </x:c>
      <x:c r="R981" s="71" t="str">
        <x:v>Already clear and direct; suggested wording intentionally keeps the current copy.</x:v>
      </x:c>
      <x:c r="S981" s="75" t="str">
        <x:v>Not applied — review required</x:v>
      </x:c>
    </x:row>
    <x:row r="982">
      <x:c r="A982" s="71" t="str">
        <x:v>MRV-D366C35F23</x:v>
      </x:c>
      <x:c r="B982" s="71" t="str">
        <x:v>Acquisition</x:v>
      </x:c>
      <x:c r="C982" s="71" t="str">
        <x:v>Route detail</x:v>
      </x:c>
      <x:c r="D982" s="71" t="str">
        <x:v>/journey/routes/[slug]/route-detail-view</x:v>
      </x:c>
      <x:c r="E982" s="71" t="str">
        <x:v>RouteDetailView</x:v>
      </x:c>
      <x:c r="F982" s="71" t="str">
        <x:v>Default</x:v>
      </x:c>
      <x:c r="G982" s="71" t="str">
        <x:v>Body copy</x:v>
      </x:c>
      <x:c r="H982" s="71" t="str">
        <x:v>Each base has a clear role. Known transfer allowances are labelled; other legs stay marked for confirmation.</x:v>
      </x:c>
      <x:c r="I982" s="71" t="str">
        <x:v>Each base has a clear role. Known transfer allowances are labelled; other legs stay marked for confirmation.</x:v>
      </x:c>
      <x:c r="J982" s="73"/>
      <x:c r="K982" s="74" t="str">
        <x:f>IF(J982="",H982,IF(J982=I982,I982,J982))</x:f>
        <x:v>Each base has a clear role. Known transfer allowances are labelled; other legs stay marked for confirmation.</x:v>
      </x:c>
      <x:c r="L982" s="74" t="str">
        <x:f>IF(J982="","Keep current",IF(J982=I982,"Use suggestion","Custom"))</x:f>
        <x:v>Keep current</x:v>
      </x:c>
      <x:c r="M982" s="71" t="str">
        <x:v>Pending review</x:v>
      </x:c>
      <x:c r="N982" s="71" t="str">
        <x:v>Normal</x:v>
      </x:c>
      <x:c r="O982" s="71" t="str">
        <x:v>app/journey/routes/[slug]/route-detail-view.tsx</x:v>
      </x:c>
      <x:c r="P982" s="71" t="str">
        <x:v>RouteDetailView:108</x:v>
      </x:c>
      <x:c r="Q982" s="71" t="str">
        <x:v>EN (default / shared)</x:v>
      </x:c>
      <x:c r="R982" s="71" t="str">
        <x:v>Already clear and direct; suggested wording intentionally keeps the current copy.</x:v>
      </x:c>
      <x:c r="S982" s="75" t="str">
        <x:v>Not applied — review required</x:v>
      </x:c>
    </x:row>
    <x:row r="983">
      <x:c r="A983" s="71" t="str">
        <x:v>MRV-93B8EA59B8</x:v>
      </x:c>
      <x:c r="B983" s="71" t="str">
        <x:v>Acquisition</x:v>
      </x:c>
      <x:c r="C983" s="71" t="str">
        <x:v>Route detail</x:v>
      </x:c>
      <x:c r="D983" s="71" t="str">
        <x:v>/journey/routes/[slug]/route-detail-view</x:v>
      </x:c>
      <x:c r="E983" s="71" t="str">
        <x:v>RouteDetailView</x:v>
      </x:c>
      <x:c r="F983" s="71" t="str">
        <x:v>Accessibility / input support</x:v>
      </x:c>
      <x:c r="G983" s="71" t="str">
        <x:v>Accessibility label</x:v>
      </x:c>
      <x:c r="H983" s="71" t="str">
        <x:v>{stop.onward.modeLabel} from {stop.onward.from} to {stop.onward.to}: {stop.onward.durationLabel}</x:v>
      </x:c>
      <x:c r="I983" s="71" t="str">
        <x:v>{stop.onward.modeLabel} from {stop.onward.from} to {stop.onward.to}: {stop.onward.durationLabel}</x:v>
      </x:c>
      <x:c r="J983" s="73"/>
      <x:c r="K983" s="74" t="str">
        <x:f>IF(J983="",H983,IF(J983=I983,I983,J983))</x:f>
        <x:v>{stop.onward.modeLabel} from {stop.onward.from} to {stop.onward.to}: {stop.onward.durationLabel}</x:v>
      </x:c>
      <x:c r="L983" s="74" t="str">
        <x:f>IF(J983="","Keep current",IF(J983=I983,"Use suggestion","Custom"))</x:f>
        <x:v>Keep current</x:v>
      </x:c>
      <x:c r="M983" s="71" t="str">
        <x:v>Pending review</x:v>
      </x:c>
      <x:c r="N983" s="71" t="str">
        <x:v>Medium</x:v>
      </x:c>
      <x:c r="O983" s="71" t="str">
        <x:v>app/journey/routes/[slug]/route-detail-view.tsx</x:v>
      </x:c>
      <x:c r="P983" s="71" t="str">
        <x:v>RouteDetailView:122</x:v>
      </x:c>
      <x:c r="Q983" s="71" t="str">
        <x:v>EN (default / shared)</x:v>
      </x:c>
      <x:c r="R983"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983" s="75" t="str">
        <x:v>Not applied — review required</x:v>
      </x:c>
    </x:row>
    <x:row r="984">
      <x:c r="A984" s="71" t="str">
        <x:v>MRV-DF03AED84E</x:v>
      </x:c>
      <x:c r="B984" s="71" t="str">
        <x:v>Acquisition</x:v>
      </x:c>
      <x:c r="C984" s="71" t="str">
        <x:v>Route detail</x:v>
      </x:c>
      <x:c r="D984" s="71" t="str">
        <x:v>/journey/routes/[slug]/route-detail-view</x:v>
      </x:c>
      <x:c r="E984" s="71" t="str">
        <x:v>RouteDetailView</x:v>
      </x:c>
      <x:c r="F984" s="71" t="str">
        <x:v>Default</x:v>
      </x:c>
      <x:c r="G984" s="71" t="str">
        <x:v>Label</x:v>
      </x:c>
      <x:c r="H984" s="71" t="str">
        <x:v>A clear rhythm, stop by stop</x:v>
      </x:c>
      <x:c r="I984" s="71" t="str">
        <x:v>A clear rhythm, stop by stop</x:v>
      </x:c>
      <x:c r="J984" s="73"/>
      <x:c r="K984" s="74" t="str">
        <x:f>IF(J984="",H984,IF(J984=I984,I984,J984))</x:f>
        <x:v>A clear rhythm, stop by stop</x:v>
      </x:c>
      <x:c r="L984" s="74" t="str">
        <x:f>IF(J984="","Keep current",IF(J984=I984,"Use suggestion","Custom"))</x:f>
        <x:v>Keep current</x:v>
      </x:c>
      <x:c r="M984" s="71" t="str">
        <x:v>Pending review</x:v>
      </x:c>
      <x:c r="N984" s="71" t="str">
        <x:v>Normal</x:v>
      </x:c>
      <x:c r="O984" s="71" t="str">
        <x:v>app/journey/routes/[slug]/route-detail-view.tsx</x:v>
      </x:c>
      <x:c r="P984" s="71" t="str">
        <x:v>RouteDetailView:134</x:v>
      </x:c>
      <x:c r="Q984" s="71" t="str">
        <x:v>EN (default / shared)</x:v>
      </x:c>
      <x:c r="R984" s="71" t="str">
        <x:v>Already clear and direct; suggested wording intentionally keeps the current copy. Terminology watch: ‘trip’ and ‘journey’ both describe the same plan. Terminology watch: ‘stops’, ‘destinations’ and ‘places’ overlap.</x:v>
      </x:c>
      <x:c r="S984" s="75" t="str">
        <x:v>Not applied — review required</x:v>
      </x:c>
    </x:row>
    <x:row r="985">
      <x:c r="A985" s="71" t="str">
        <x:v>MRV-E108D3DFC1</x:v>
      </x:c>
      <x:c r="B985" s="71" t="str">
        <x:v>Acquisition</x:v>
      </x:c>
      <x:c r="C985" s="71" t="str">
        <x:v>Route detail</x:v>
      </x:c>
      <x:c r="D985" s="71" t="str">
        <x:v>/journey/routes/[slug]/route-detail-view</x:v>
      </x:c>
      <x:c r="E985" s="71" t="str">
        <x:v>RouteDetailView</x:v>
      </x:c>
      <x:c r="F985" s="71" t="str">
        <x:v>Default</x:v>
      </x:c>
      <x:c r="G985" s="71" t="str">
        <x:v>Label</x:v>
      </x:c>
      <x:c r="H985" s="71" t="str">
        <x:v>days ·</x:v>
      </x:c>
      <x:c r="I985" s="71" t="str">
        <x:v>days ·</x:v>
      </x:c>
      <x:c r="J985" s="73"/>
      <x:c r="K985" s="74" t="str">
        <x:f>IF(J985="",H985,IF(J985=I985,I985,J985))</x:f>
        <x:v>days ·</x:v>
      </x:c>
      <x:c r="L985" s="74" t="str">
        <x:f>IF(J985="","Keep current",IF(J985=I985,"Use suggestion","Custom"))</x:f>
        <x:v>Keep current</x:v>
      </x:c>
      <x:c r="M985" s="71" t="str">
        <x:v>Pending review</x:v>
      </x:c>
      <x:c r="N985" s="71" t="str">
        <x:v>Normal</x:v>
      </x:c>
      <x:c r="O985" s="71" t="str">
        <x:v>app/journey/routes/[slug]/route-detail-view.tsx</x:v>
      </x:c>
      <x:c r="P985" s="71" t="str">
        <x:v>RouteDetailView:135</x:v>
      </x:c>
      <x:c r="Q985" s="71" t="str">
        <x:v>EN (default / shared)</x:v>
      </x:c>
      <x:c r="R985" s="71" t="str">
        <x:v>Already clear and direct; suggested wording intentionally keeps the current copy. Duplicate wording: appears 2 times.</x:v>
      </x:c>
      <x:c r="S985" s="75" t="str">
        <x:v>Not applied — review required</x:v>
      </x:c>
    </x:row>
    <x:row r="986">
      <x:c r="A986" s="71" t="str">
        <x:v>MRV-A31274AE36</x:v>
      </x:c>
      <x:c r="B986" s="71" t="str">
        <x:v>Acquisition</x:v>
      </x:c>
      <x:c r="C986" s="71" t="str">
        <x:v>Route detail</x:v>
      </x:c>
      <x:c r="D986" s="71" t="str">
        <x:v>/journey/routes/[slug]/route-detail-view</x:v>
      </x:c>
      <x:c r="E986" s="71" t="str">
        <x:v>RouteDetailView</x:v>
      </x:c>
      <x:c r="F986" s="71" t="str">
        <x:v>Default</x:v>
      </x:c>
      <x:c r="G986" s="71" t="str">
        <x:v>CTA / button</x:v>
      </x:c>
      <x:c r="H986" s="71" t="str">
        <x:v>Planned stay</x:v>
      </x:c>
      <x:c r="I986" s="71" t="str">
        <x:v>Planned stay</x:v>
      </x:c>
      <x:c r="J986" s="73"/>
      <x:c r="K986" s="74" t="str">
        <x:f>IF(J986="",H986,IF(J986=I986,I986,J986))</x:f>
        <x:v>Planned stay</x:v>
      </x:c>
      <x:c r="L986" s="74" t="str">
        <x:f>IF(J986="","Keep current",IF(J986=I986,"Use suggestion","Custom"))</x:f>
        <x:v>Keep current</x:v>
      </x:c>
      <x:c r="M986" s="71" t="str">
        <x:v>Pending review</x:v>
      </x:c>
      <x:c r="N986" s="71" t="str">
        <x:v>Medium</x:v>
      </x:c>
      <x:c r="O986" s="71" t="str">
        <x:v>app/journey/routes/[slug]/route-detail-view.tsx</x:v>
      </x:c>
      <x:c r="P986" s="71" t="str">
        <x:v>RouteDetailView:143</x:v>
      </x:c>
      <x:c r="Q986" s="71" t="str">
        <x:v>EN (default / shared)</x:v>
      </x:c>
      <x:c r="R986" s="71" t="str">
        <x:v>Already clear and direct; suggested wording intentionally keeps the current copy.</x:v>
      </x:c>
      <x:c r="S986" s="75" t="str">
        <x:v>Not applied — review required</x:v>
      </x:c>
    </x:row>
    <x:row r="987">
      <x:c r="A987" s="71" t="str">
        <x:v>MRV-F735299418</x:v>
      </x:c>
      <x:c r="B987" s="71" t="str">
        <x:v>Acquisition</x:v>
      </x:c>
      <x:c r="C987" s="71" t="str">
        <x:v>Route detail</x:v>
      </x:c>
      <x:c r="D987" s="71" t="str">
        <x:v>/journey/routes/[slug]/route-detail-view</x:v>
      </x:c>
      <x:c r="E987" s="71" t="str">
        <x:v>RouteDetailView</x:v>
      </x:c>
      <x:c r="F987" s="71" t="str">
        <x:v>Default</x:v>
      </x:c>
      <x:c r="G987" s="71" t="str">
        <x:v>Body copy</x:v>
      </x:c>
      <x:c r="H987" s="71" t="str">
        <x:v>The moments worth making time for</x:v>
      </x:c>
      <x:c r="I987" s="71" t="str">
        <x:v>The moments worth making time for</x:v>
      </x:c>
      <x:c r="J987" s="73"/>
      <x:c r="K987" s="74" t="str">
        <x:f>IF(J987="",H987,IF(J987=I987,I987,J987))</x:f>
        <x:v>The moments worth making time for</x:v>
      </x:c>
      <x:c r="L987" s="74" t="str">
        <x:f>IF(J987="","Keep current",IF(J987=I987,"Use suggestion","Custom"))</x:f>
        <x:v>Keep current</x:v>
      </x:c>
      <x:c r="M987" s="71" t="str">
        <x:v>Pending review</x:v>
      </x:c>
      <x:c r="N987" s="71" t="str">
        <x:v>Normal</x:v>
      </x:c>
      <x:c r="O987" s="71" t="str">
        <x:v>app/journey/routes/[slug]/route-detail-view.tsx</x:v>
      </x:c>
      <x:c r="P987" s="71" t="str">
        <x:v>RouteDetailView:150</x:v>
      </x:c>
      <x:c r="Q987" s="71" t="str">
        <x:v>EN (default / shared)</x:v>
      </x:c>
      <x:c r="R987" s="71" t="str">
        <x:v>Already clear and direct; suggested wording intentionally keeps the current copy.</x:v>
      </x:c>
      <x:c r="S987" s="75" t="str">
        <x:v>Not applied — review required</x:v>
      </x:c>
    </x:row>
    <x:row r="988">
      <x:c r="A988" s="71" t="str">
        <x:v>MRV-4A7F2C7E1F</x:v>
      </x:c>
      <x:c r="B988" s="71" t="str">
        <x:v>Acquisition</x:v>
      </x:c>
      <x:c r="C988" s="71" t="str">
        <x:v>Route detail</x:v>
      </x:c>
      <x:c r="D988" s="71" t="str">
        <x:v>/journey/routes/[slug]/route-detail-view</x:v>
      </x:c>
      <x:c r="E988" s="71" t="str">
        <x:v>RouteDetailView</x:v>
      </x:c>
      <x:c r="F988" s="71" t="str">
        <x:v>Default</x:v>
      </x:c>
      <x:c r="G988" s="71" t="str">
        <x:v>Body copy</x:v>
      </x:c>
      <x:c r="H988" s="71" t="str">
        <x:v>Anchors for the route, not a checklist for every day.</x:v>
      </x:c>
      <x:c r="I988" s="71" t="str">
        <x:v>Anchors for the route, not a checklist for every day.</x:v>
      </x:c>
      <x:c r="J988" s="73"/>
      <x:c r="K988" s="74" t="str">
        <x:f>IF(J988="",H988,IF(J988=I988,I988,J988))</x:f>
        <x:v>Anchors for the route, not a checklist for every day.</x:v>
      </x:c>
      <x:c r="L988" s="74" t="str">
        <x:f>IF(J988="","Keep current",IF(J988=I988,"Use suggestion","Custom"))</x:f>
        <x:v>Keep current</x:v>
      </x:c>
      <x:c r="M988" s="71" t="str">
        <x:v>Pending review</x:v>
      </x:c>
      <x:c r="N988" s="71" t="str">
        <x:v>Normal</x:v>
      </x:c>
      <x:c r="O988" s="71" t="str">
        <x:v>app/journey/routes/[slug]/route-detail-view.tsx</x:v>
      </x:c>
      <x:c r="P988" s="71" t="str">
        <x:v>RouteDetailView:151</x:v>
      </x:c>
      <x:c r="Q988" s="71" t="str">
        <x:v>EN (default / shared)</x:v>
      </x:c>
      <x:c r="R988" s="71" t="str">
        <x:v>Already clear and direct; suggested wording intentionally keeps the current copy.</x:v>
      </x:c>
      <x:c r="S988" s="75" t="str">
        <x:v>Not applied — review required</x:v>
      </x:c>
    </x:row>
    <x:row r="989">
      <x:c r="A989" s="71" t="str">
        <x:v>MRV-8577737476</x:v>
      </x:c>
      <x:c r="B989" s="71" t="str">
        <x:v>Acquisition</x:v>
      </x:c>
      <x:c r="C989" s="71" t="str">
        <x:v>Route detail</x:v>
      </x:c>
      <x:c r="D989" s="71" t="str">
        <x:v>/journey/routes/[slug]/route-detail-view</x:v>
      </x:c>
      <x:c r="E989" s="71" t="str">
        <x:v>RouteDetailView</x:v>
      </x:c>
      <x:c r="F989" s="71" t="str">
        <x:v>Default</x:v>
      </x:c>
      <x:c r="G989" s="71" t="str">
        <x:v>CTA / button</x:v>
      </x:c>
      <x:c r="H989" s="71" t="str">
        <x:v>Plan smart, travel better</x:v>
      </x:c>
      <x:c r="I989" s="71" t="str">
        <x:v>Plan smart, travel better</x:v>
      </x:c>
      <x:c r="J989" s="73"/>
      <x:c r="K989" s="74" t="str">
        <x:f>IF(J989="",H989,IF(J989=I989,I989,J989))</x:f>
        <x:v>Plan smart, travel better</x:v>
      </x:c>
      <x:c r="L989" s="74" t="str">
        <x:f>IF(J989="","Keep current",IF(J989=I989,"Use suggestion","Custom"))</x:f>
        <x:v>Keep current</x:v>
      </x:c>
      <x:c r="M989" s="71" t="str">
        <x:v>Pending review</x:v>
      </x:c>
      <x:c r="N989" s="71" t="str">
        <x:v>Medium</x:v>
      </x:c>
      <x:c r="O989" s="71" t="str">
        <x:v>app/journey/routes/[slug]/route-detail-view.tsx</x:v>
      </x:c>
      <x:c r="P989" s="71" t="str">
        <x:v>RouteDetailView:170</x:v>
      </x:c>
      <x:c r="Q989" s="71" t="str">
        <x:v>EN (default / shared)</x:v>
      </x:c>
      <x:c r="R989" s="71" t="str">
        <x:v>Already clear and direct; suggested wording intentionally keeps the current copy.</x:v>
      </x:c>
      <x:c r="S989" s="75" t="str">
        <x:v>Not applied — review required</x:v>
      </x:c>
    </x:row>
    <x:row r="990">
      <x:c r="A990" s="71" t="str">
        <x:v>MRV-A10EBE5DD6</x:v>
      </x:c>
      <x:c r="B990" s="71" t="str">
        <x:v>Acquisition</x:v>
      </x:c>
      <x:c r="C990" s="71" t="str">
        <x:v>Route detail</x:v>
      </x:c>
      <x:c r="D990" s="71" t="str">
        <x:v>/journey/routes/[slug]/route-detail-view</x:v>
      </x:c>
      <x:c r="E990" s="71" t="str">
        <x:v>RouteDetailView</x:v>
      </x:c>
      <x:c r="F990" s="71" t="str">
        <x:v>Default</x:v>
      </x:c>
      <x:c r="G990" s="71" t="str">
        <x:v>CTA / button</x:v>
      </x:c>
      <x:c r="H990" s="71" t="str">
        <x:v>Reviewed</x:v>
      </x:c>
      <x:c r="I990" s="71" t="str">
        <x:v>Reviewed</x:v>
      </x:c>
      <x:c r="J990" s="73"/>
      <x:c r="K990" s="74" t="str">
        <x:f>IF(J990="",H990,IF(J990=I990,I990,J990))</x:f>
        <x:v>Reviewed</x:v>
      </x:c>
      <x:c r="L990" s="74" t="str">
        <x:f>IF(J990="","Keep current",IF(J990=I990,"Use suggestion","Custom"))</x:f>
        <x:v>Keep current</x:v>
      </x:c>
      <x:c r="M990" s="71" t="str">
        <x:v>Pending review</x:v>
      </x:c>
      <x:c r="N990" s="71" t="str">
        <x:v>Medium</x:v>
      </x:c>
      <x:c r="O990" s="71" t="str">
        <x:v>app/journey/routes/[slug]/route-detail-view.tsx</x:v>
      </x:c>
      <x:c r="P990" s="71" t="str">
        <x:v>RouteDetailView:171</x:v>
      </x:c>
      <x:c r="Q990" s="71" t="str">
        <x:v>EN (default / shared)</x:v>
      </x:c>
      <x:c r="R990" s="71" t="str">
        <x:v>Already clear and direct; suggested wording intentionally keeps the current copy.</x:v>
      </x:c>
      <x:c r="S990" s="75" t="str">
        <x:v>Not applied — review required</x:v>
      </x:c>
    </x:row>
    <x:row r="991">
      <x:c r="A991" s="71" t="str">
        <x:v>MRV-F114D5A184</x:v>
      </x:c>
      <x:c r="B991" s="71" t="str">
        <x:v>Acquisition</x:v>
      </x:c>
      <x:c r="C991" s="71" t="str">
        <x:v>Route detail</x:v>
      </x:c>
      <x:c r="D991" s="71" t="str">
        <x:v>/journey/routes/[slug]/route-detail-view</x:v>
      </x:c>
      <x:c r="E991" s="71" t="str">
        <x:v>RouteDetailView</x:v>
      </x:c>
      <x:c r="F991" s="71" t="str">
        <x:v>Default</x:v>
      </x:c>
      <x:c r="G991" s="71" t="str">
        <x:v>Label</x:v>
      </x:c>
      <x:c r="H991" s="71" t="str">
        <x:v>Best time to go</x:v>
      </x:c>
      <x:c r="I991" s="71" t="str">
        <x:v>Best time to go</x:v>
      </x:c>
      <x:c r="J991" s="73"/>
      <x:c r="K991" s="74" t="str">
        <x:f>IF(J991="",H991,IF(J991=I991,I991,J991))</x:f>
        <x:v>Best time to go</x:v>
      </x:c>
      <x:c r="L991" s="74" t="str">
        <x:f>IF(J991="","Keep current",IF(J991=I991,"Use suggestion","Custom"))</x:f>
        <x:v>Keep current</x:v>
      </x:c>
      <x:c r="M991" s="71" t="str">
        <x:v>Pending review</x:v>
      </x:c>
      <x:c r="N991" s="71" t="str">
        <x:v>Normal</x:v>
      </x:c>
      <x:c r="O991" s="71" t="str">
        <x:v>app/journey/routes/[slug]/route-detail-view.tsx</x:v>
      </x:c>
      <x:c r="P991" s="71" t="str">
        <x:v>RouteDetailView:174</x:v>
      </x:c>
      <x:c r="Q991" s="71" t="str">
        <x:v>EN (default / shared)</x:v>
      </x:c>
      <x:c r="R991" s="71" t="str">
        <x:v>Already clear and direct; suggested wording intentionally keeps the current copy.</x:v>
      </x:c>
      <x:c r="S991" s="75" t="str">
        <x:v>Not applied — review required</x:v>
      </x:c>
    </x:row>
    <x:row r="992">
      <x:c r="A992" s="71" t="str">
        <x:v>MRV-5FAB68C7A1</x:v>
      </x:c>
      <x:c r="B992" s="71" t="str">
        <x:v>Acquisition</x:v>
      </x:c>
      <x:c r="C992" s="71" t="str">
        <x:v>Route detail</x:v>
      </x:c>
      <x:c r="D992" s="71" t="str">
        <x:v>/journey/routes/[slug]/route-detail-view</x:v>
      </x:c>
      <x:c r="E992" s="71" t="str">
        <x:v>RouteDetailView</x:v>
      </x:c>
      <x:c r="F992" s="71" t="str">
        <x:v>Default</x:v>
      </x:c>
      <x:c r="G992" s="71" t="str">
        <x:v>Label</x:v>
      </x:c>
      <x:c r="H992" s="71" t="str">
        <x:v>What this route suits</x:v>
      </x:c>
      <x:c r="I992" s="71" t="str">
        <x:v>What this route suits</x:v>
      </x:c>
      <x:c r="J992" s="73"/>
      <x:c r="K992" s="74" t="str">
        <x:f>IF(J992="",H992,IF(J992=I992,I992,J992))</x:f>
        <x:v>What this route suits</x:v>
      </x:c>
      <x:c r="L992" s="74" t="str">
        <x:f>IF(J992="","Keep current",IF(J992=I992,"Use suggestion","Custom"))</x:f>
        <x:v>Keep current</x:v>
      </x:c>
      <x:c r="M992" s="71" t="str">
        <x:v>Pending review</x:v>
      </x:c>
      <x:c r="N992" s="71" t="str">
        <x:v>Normal</x:v>
      </x:c>
      <x:c r="O992" s="71" t="str">
        <x:v>app/journey/routes/[slug]/route-detail-view.tsx</x:v>
      </x:c>
      <x:c r="P992" s="71" t="str">
        <x:v>RouteDetailView:175</x:v>
      </x:c>
      <x:c r="Q992" s="71" t="str">
        <x:v>EN (default / shared)</x:v>
      </x:c>
      <x:c r="R992" s="71" t="str">
        <x:v>Already clear and direct; suggested wording intentionally keeps the current copy.</x:v>
      </x:c>
      <x:c r="S992" s="75" t="str">
        <x:v>Not applied — review required</x:v>
      </x:c>
    </x:row>
    <x:row r="993">
      <x:c r="A993" s="71" t="str">
        <x:v>MRV-1350AFDCD0</x:v>
      </x:c>
      <x:c r="B993" s="71" t="str">
        <x:v>Acquisition</x:v>
      </x:c>
      <x:c r="C993" s="71" t="str">
        <x:v>Route detail</x:v>
      </x:c>
      <x:c r="D993" s="71" t="str">
        <x:v>/journey/routes/[slug]/route-detail-view</x:v>
      </x:c>
      <x:c r="E993" s="71" t="str">
        <x:v>RouteDetailView</x:v>
      </x:c>
      <x:c r="F993" s="71" t="str">
        <x:v>Default</x:v>
      </x:c>
      <x:c r="G993" s="71" t="str">
        <x:v>Label</x:v>
      </x:c>
      <x:c r="H993" s="71" t="str">
        <x:v>Conditions</x:v>
      </x:c>
      <x:c r="I993" s="71" t="str">
        <x:v>Conditions</x:v>
      </x:c>
      <x:c r="J993" s="73"/>
      <x:c r="K993" s="74" t="str">
        <x:f>IF(J993="",H993,IF(J993=I993,I993,J993))</x:f>
        <x:v>Conditions</x:v>
      </x:c>
      <x:c r="L993" s="74" t="str">
        <x:f>IF(J993="","Keep current",IF(J993=I993,"Use suggestion","Custom"))</x:f>
        <x:v>Keep current</x:v>
      </x:c>
      <x:c r="M993" s="71" t="str">
        <x:v>Pending review</x:v>
      </x:c>
      <x:c r="N993" s="71" t="str">
        <x:v>Normal</x:v>
      </x:c>
      <x:c r="O993" s="71" t="str">
        <x:v>app/journey/routes/[slug]/route-detail-view.tsx</x:v>
      </x:c>
      <x:c r="P993" s="71" t="str">
        <x:v>RouteDetailView:176</x:v>
      </x:c>
      <x:c r="Q993" s="71" t="str">
        <x:v>EN (default / shared)</x:v>
      </x:c>
      <x:c r="R993" s="71" t="str">
        <x:v>Already clear and direct; suggested wording intentionally keeps the current copy.</x:v>
      </x:c>
      <x:c r="S993" s="75" t="str">
        <x:v>Not applied — review required</x:v>
      </x:c>
    </x:row>
    <x:row r="994">
      <x:c r="A994" s="71" t="str">
        <x:v>MRV-172731CB48</x:v>
      </x:c>
      <x:c r="B994" s="71" t="str">
        <x:v>Acquisition</x:v>
      </x:c>
      <x:c r="C994" s="71" t="str">
        <x:v>Route detail</x:v>
      </x:c>
      <x:c r="D994" s="71" t="str">
        <x:v>/journey/routes/[slug]/route-detail-view</x:v>
      </x:c>
      <x:c r="E994" s="71" t="str">
        <x:v>RouteDetailView</x:v>
      </x:c>
      <x:c r="F994" s="71" t="str">
        <x:v>Default</x:v>
      </x:c>
      <x:c r="G994" s="71" t="str">
        <x:v>Label</x:v>
      </x:c>
      <x:c r="H994" s="71" t="str">
        <x:v>Seasonal context</x:v>
      </x:c>
      <x:c r="I994" s="71" t="str">
        <x:v>Seasonal context</x:v>
      </x:c>
      <x:c r="J994" s="73"/>
      <x:c r="K994" s="74" t="str">
        <x:f>IF(J994="",H994,IF(J994=I994,I994,J994))</x:f>
        <x:v>Seasonal context</x:v>
      </x:c>
      <x:c r="L994" s="74" t="str">
        <x:f>IF(J994="","Keep current",IF(J994=I994,"Use suggestion","Custom"))</x:f>
        <x:v>Keep current</x:v>
      </x:c>
      <x:c r="M994" s="71" t="str">
        <x:v>Pending review</x:v>
      </x:c>
      <x:c r="N994" s="71" t="str">
        <x:v>Normal</x:v>
      </x:c>
      <x:c r="O994" s="71" t="str">
        <x:v>app/journey/routes/[slug]/route-detail-view.tsx</x:v>
      </x:c>
      <x:c r="P994" s="71" t="str">
        <x:v>RouteDetailView:177</x:v>
      </x:c>
      <x:c r="Q994" s="71" t="str">
        <x:v>EN (default / shared)</x:v>
      </x:c>
      <x:c r="R994" s="71" t="str">
        <x:v>Already clear and direct; suggested wording intentionally keeps the current copy.</x:v>
      </x:c>
      <x:c r="S994" s="75" t="str">
        <x:v>Not applied — review required</x:v>
      </x:c>
    </x:row>
    <x:row r="995">
      <x:c r="A995" s="71" t="str">
        <x:v>MRV-9DC569104A</x:v>
      </x:c>
      <x:c r="B995" s="71" t="str">
        <x:v>Acquisition</x:v>
      </x:c>
      <x:c r="C995" s="71" t="str">
        <x:v>Route detail</x:v>
      </x:c>
      <x:c r="D995" s="71" t="str">
        <x:v>/journey/routes/[slug]/route-detail-view</x:v>
      </x:c>
      <x:c r="E995" s="71" t="str">
        <x:v>RouteDetailView</x:v>
      </x:c>
      <x:c r="F995" s="71" t="str">
        <x:v>Default</x:v>
      </x:c>
      <x:c r="G995" s="71" t="str">
        <x:v>CTA / button</x:v>
      </x:c>
      <x:c r="H995" s="71" t="str">
        <x:v>Planning context</x:v>
      </x:c>
      <x:c r="I995" s="71" t="str">
        <x:v>Planning context</x:v>
      </x:c>
      <x:c r="J995" s="73"/>
      <x:c r="K995" s="74" t="str">
        <x:f>IF(J995="",H995,IF(J995=I995,I995,J995))</x:f>
        <x:v>Planning context</x:v>
      </x:c>
      <x:c r="L995" s="74" t="str">
        <x:f>IF(J995="","Keep current",IF(J995=I995,"Use suggestion","Custom"))</x:f>
        <x:v>Keep current</x:v>
      </x:c>
      <x:c r="M995" s="71" t="str">
        <x:v>Pending review</x:v>
      </x:c>
      <x:c r="N995" s="71" t="str">
        <x:v>Medium</x:v>
      </x:c>
      <x:c r="O995" s="71" t="str">
        <x:v>app/journey/routes/[slug]/route-detail-view.tsx</x:v>
      </x:c>
      <x:c r="P995" s="71" t="str">
        <x:v>RouteDetailView:177</x:v>
      </x:c>
      <x:c r="Q995" s="71" t="str">
        <x:v>EN (default / shared)</x:v>
      </x:c>
      <x:c r="R995" s="71" t="str">
        <x:v>Already clear and direct; suggested wording intentionally keeps the current copy.</x:v>
      </x:c>
      <x:c r="S995" s="75" t="str">
        <x:v>Not applied — review required</x:v>
      </x:c>
    </x:row>
    <x:row r="996">
      <x:c r="A996" s="71" t="str">
        <x:v>MRV-AC280CE1D0</x:v>
      </x:c>
      <x:c r="B996" s="71" t="str">
        <x:v>Acquisition</x:v>
      </x:c>
      <x:c r="C996" s="71" t="str">
        <x:v>Route detail</x:v>
      </x:c>
      <x:c r="D996" s="71" t="str">
        <x:v>/journey/routes/[slug]/route-detail-view</x:v>
      </x:c>
      <x:c r="E996" s="71" t="str">
        <x:v>RouteDetailView</x:v>
      </x:c>
      <x:c r="F996" s="71" t="str">
        <x:v>Default</x:v>
      </x:c>
      <x:c r="G996" s="71" t="str">
        <x:v>Label</x:v>
      </x:c>
      <x:c r="H996" s="71" t="str">
        <x:v>Route character</x:v>
      </x:c>
      <x:c r="I996" s="71" t="str">
        <x:v>Route character</x:v>
      </x:c>
      <x:c r="J996" s="73"/>
      <x:c r="K996" s="74" t="str">
        <x:f>IF(J996="",H996,IF(J996=I996,I996,J996))</x:f>
        <x:v>Route character</x:v>
      </x:c>
      <x:c r="L996" s="74" t="str">
        <x:f>IF(J996="","Keep current",IF(J996=I996,"Use suggestion","Custom"))</x:f>
        <x:v>Keep current</x:v>
      </x:c>
      <x:c r="M996" s="71" t="str">
        <x:v>Pending review</x:v>
      </x:c>
      <x:c r="N996" s="71" t="str">
        <x:v>Normal</x:v>
      </x:c>
      <x:c r="O996" s="71" t="str">
        <x:v>app/journey/routes/[slug]/route-detail-view.tsx</x:v>
      </x:c>
      <x:c r="P996" s="71" t="str">
        <x:v>RouteDetailView:178</x:v>
      </x:c>
      <x:c r="Q996" s="71" t="str">
        <x:v>EN (default / shared)</x:v>
      </x:c>
      <x:c r="R996" s="71" t="str">
        <x:v>Already clear and direct; suggested wording intentionally keeps the current copy. Duplicate wording: appears 2 times.</x:v>
      </x:c>
      <x:c r="S996" s="75" t="str">
        <x:v>Not applied — review required</x:v>
      </x:c>
    </x:row>
    <x:row r="997">
      <x:c r="A997" s="71" t="str">
        <x:v>MRV-87C8CE3300</x:v>
      </x:c>
      <x:c r="B997" s="71" t="str">
        <x:v>Acquisition</x:v>
      </x:c>
      <x:c r="C997" s="71" t="str">
        <x:v>Route detail</x:v>
      </x:c>
      <x:c r="D997" s="71" t="str">
        <x:v>/journey/routes/[slug]/route-detail-view</x:v>
      </x:c>
      <x:c r="E997" s="71" t="str">
        <x:v>RouteDetailView</x:v>
      </x:c>
      <x:c r="F997" s="71" t="str">
        <x:v>Default</x:v>
      </x:c>
      <x:c r="G997" s="71" t="str">
        <x:v>CTA / button</x:v>
      </x:c>
      <x:c r="H997" s="71" t="str">
        <x:v>Editorial route reviewed</x:v>
      </x:c>
      <x:c r="I997" s="71" t="str">
        <x:v>Editorial route reviewed</x:v>
      </x:c>
      <x:c r="J997" s="73"/>
      <x:c r="K997" s="74" t="str">
        <x:f>IF(J997="",H997,IF(J997=I997,I997,J997))</x:f>
        <x:v>Editorial route reviewed</x:v>
      </x:c>
      <x:c r="L997" s="74" t="str">
        <x:f>IF(J997="","Keep current",IF(J997=I997,"Use suggestion","Custom"))</x:f>
        <x:v>Keep current</x:v>
      </x:c>
      <x:c r="M997" s="71" t="str">
        <x:v>Pending review</x:v>
      </x:c>
      <x:c r="N997" s="71" t="str">
        <x:v>Medium</x:v>
      </x:c>
      <x:c r="O997" s="71" t="str">
        <x:v>app/journey/routes/[slug]/route-detail-view.tsx</x:v>
      </x:c>
      <x:c r="P997" s="71" t="str">
        <x:v>RouteDetailView:181</x:v>
      </x:c>
      <x:c r="Q997" s="71" t="str">
        <x:v>EN (default / shared)</x:v>
      </x:c>
      <x:c r="R997" s="71" t="str">
        <x:v>Already clear and direct; suggested wording intentionally keeps the current copy.</x:v>
      </x:c>
      <x:c r="S997" s="75" t="str">
        <x:v>Not applied — review required</x:v>
      </x:c>
    </x:row>
    <x:row r="998">
      <x:c r="A998" s="71" t="str">
        <x:v>MRV-D95E3654A9</x:v>
      </x:c>
      <x:c r="B998" s="71" t="str">
        <x:v>Acquisition</x:v>
      </x:c>
      <x:c r="C998" s="71" t="str">
        <x:v>Route detail</x:v>
      </x:c>
      <x:c r="D998" s="71" t="str">
        <x:v>/journey/routes/[slug]/route-detail-view</x:v>
      </x:c>
      <x:c r="E998" s="71" t="str">
        <x:v>RouteDetailView</x:v>
      </x:c>
      <x:c r="F998" s="71" t="str">
        <x:v>Default</x:v>
      </x:c>
      <x:c r="G998" s="71" t="str">
        <x:v>Label</x:v>
      </x:c>
      <x:c r="H998" s="71" t="str">
        <x:v>· confidence:</x:v>
      </x:c>
      <x:c r="I998" s="71" t="str">
        <x:v>· confidence:</x:v>
      </x:c>
      <x:c r="J998" s="73"/>
      <x:c r="K998" s="74" t="str">
        <x:f>IF(J998="",H998,IF(J998=I998,I998,J998))</x:f>
        <x:v>· confidence:</x:v>
      </x:c>
      <x:c r="L998" s="74" t="str">
        <x:f>IF(J998="","Keep current",IF(J998=I998,"Use suggestion","Custom"))</x:f>
        <x:v>Keep current</x:v>
      </x:c>
      <x:c r="M998" s="71" t="str">
        <x:v>Pending review</x:v>
      </x:c>
      <x:c r="N998" s="71" t="str">
        <x:v>Normal</x:v>
      </x:c>
      <x:c r="O998" s="71" t="str">
        <x:v>app/journey/routes/[slug]/route-detail-view.tsx</x:v>
      </x:c>
      <x:c r="P998" s="71" t="str">
        <x:v>RouteDetailView:181</x:v>
      </x:c>
      <x:c r="Q998" s="71" t="str">
        <x:v>EN (default / shared)</x:v>
      </x:c>
      <x:c r="R998" s="71" t="str">
        <x:v>Already clear and direct; suggested wording intentionally keeps the current copy.</x:v>
      </x:c>
      <x:c r="S998" s="75" t="str">
        <x:v>Not applied — review required</x:v>
      </x:c>
    </x:row>
    <x:row r="999">
      <x:c r="A999" s="71" t="str">
        <x:v>MRV-8DE2529B1C</x:v>
      </x:c>
      <x:c r="B999" s="71" t="str">
        <x:v>Acquisition</x:v>
      </x:c>
      <x:c r="C999" s="71" t="str">
        <x:v>Route detail</x:v>
      </x:c>
      <x:c r="D999" s="71" t="str">
        <x:v>/journey/routes/[slug]/route-detail-view</x:v>
      </x:c>
      <x:c r="E999" s="71" t="str">
        <x:v>RouteDetailView</x:v>
      </x:c>
      <x:c r="F999" s="71" t="str">
        <x:v>Accessibility / input support</x:v>
      </x:c>
      <x:c r="G999" s="71" t="str">
        <x:v>Accessibility label</x:v>
      </x:c>
      <x:c r="H999" s="71" t="str">
        <x:v>{detail.title} landscape</x:v>
      </x:c>
      <x:c r="I999" s="71" t="str">
        <x:v>{detail.title} landscape</x:v>
      </x:c>
      <x:c r="J999" s="73"/>
      <x:c r="K999" s="74" t="str">
        <x:f>IF(J999="",H999,IF(J999=I999,I999,J999))</x:f>
        <x:v>{detail.title} landscape</x:v>
      </x:c>
      <x:c r="L999" s="74" t="str">
        <x:f>IF(J999="","Keep current",IF(J999=I999,"Use suggestion","Custom"))</x:f>
        <x:v>Keep current</x:v>
      </x:c>
      <x:c r="M999" s="71" t="str">
        <x:v>Pending review</x:v>
      </x:c>
      <x:c r="N999" s="71" t="str">
        <x:v>Medium</x:v>
      </x:c>
      <x:c r="O999" s="71" t="str">
        <x:v>app/journey/routes/[slug]/route-detail-view.tsx</x:v>
      </x:c>
      <x:c r="P999" s="71" t="str">
        <x:v>RouteDetailView:187</x:v>
      </x:c>
      <x:c r="Q999" s="71" t="str">
        <x:v>EN (default / shared)</x:v>
      </x:c>
      <x:c r="R999" s="71" t="str">
        <x:v>Already clear and direct; suggested wording intentionally keeps the current copy. Dynamic traveller or trip value is represented as a token; user-generated values are excluded.</x:v>
      </x:c>
      <x:c r="S999" s="75" t="str">
        <x:v>Not applied — review required</x:v>
      </x:c>
    </x:row>
    <x:row r="1000">
      <x:c r="A1000" s="71" t="str">
        <x:v>MRV-46D5FF4E0B</x:v>
      </x:c>
      <x:c r="B1000" s="71" t="str">
        <x:v>Acquisition</x:v>
      </x:c>
      <x:c r="C1000" s="71" t="str">
        <x:v>Route detail</x:v>
      </x:c>
      <x:c r="D1000" s="71" t="str">
        <x:v>/journey/routes/[slug]/route-detail-view</x:v>
      </x:c>
      <x:c r="E1000" s="71" t="str">
        <x:v>RouteDetailView</x:v>
      </x:c>
      <x:c r="F1000" s="71" t="str">
        <x:v>Default</x:v>
      </x:c>
      <x:c r="G1000" s="71" t="str">
        <x:v>CTA / button</x:v>
      </x:c>
      <x:c r="H1000" s="71" t="str">
        <x:v>Start with this route.</x:v>
      </x:c>
      <x:c r="I1000" s="71" t="str">
        <x:v>Start with this route.</x:v>
      </x:c>
      <x:c r="J1000" s="73"/>
      <x:c r="K1000" s="74" t="str">
        <x:f>IF(J1000="",H1000,IF(J1000=I1000,I1000,J1000))</x:f>
        <x:v>Start with this route.</x:v>
      </x:c>
      <x:c r="L1000" s="74" t="str">
        <x:f>IF(J1000="","Keep current",IF(J1000=I1000,"Use suggestion","Custom"))</x:f>
        <x:v>Keep current</x:v>
      </x:c>
      <x:c r="M1000" s="71" t="str">
        <x:v>Pending review</x:v>
      </x:c>
      <x:c r="N1000" s="71" t="str">
        <x:v>Medium</x:v>
      </x:c>
      <x:c r="O1000" s="71" t="str">
        <x:v>app/journey/routes/[slug]/route-detail-view.tsx</x:v>
      </x:c>
      <x:c r="P1000" s="71" t="str">
        <x:v>RouteDetailView:188</x:v>
      </x:c>
      <x:c r="Q1000" s="71" t="str">
        <x:v>EN (default / shared)</x:v>
      </x:c>
      <x:c r="R1000" s="71" t="str">
        <x:v>Already clear and direct; suggested wording intentionally keeps the current copy.</x:v>
      </x:c>
      <x:c r="S1000" s="75" t="str">
        <x:v>Not applied — review required</x:v>
      </x:c>
    </x:row>
    <x:row r="1001">
      <x:c r="A1001" s="71" t="str">
        <x:v>MRV-E5F1F7FF04</x:v>
      </x:c>
      <x:c r="B1001" s="71" t="str">
        <x:v>Acquisition</x:v>
      </x:c>
      <x:c r="C1001" s="71" t="str">
        <x:v>Route detail</x:v>
      </x:c>
      <x:c r="D1001" s="71" t="str">
        <x:v>/journey/routes/[slug]/route-detail-view</x:v>
      </x:c>
      <x:c r="E1001" s="71" t="str">
        <x:v>RouteDetailView</x:v>
      </x:c>
      <x:c r="F1001" s="71" t="str">
        <x:v>Default</x:v>
      </x:c>
      <x:c r="G1001" s="71" t="str">
        <x:v>Body copy</x:v>
      </x:c>
      <x:c r="H1001" s="71" t="str">
        <x:v>Shape every day around you.</x:v>
      </x:c>
      <x:c r="I1001" s="71" t="str">
        <x:v>Shape every day around you.</x:v>
      </x:c>
      <x:c r="J1001" s="73"/>
      <x:c r="K1001" s="74" t="str">
        <x:f>IF(J1001="",H1001,IF(J1001=I1001,I1001,J1001))</x:f>
        <x:v>Shape every day around you.</x:v>
      </x:c>
      <x:c r="L1001" s="74" t="str">
        <x:f>IF(J1001="","Keep current",IF(J1001=I1001,"Use suggestion","Custom"))</x:f>
        <x:v>Keep current</x:v>
      </x:c>
      <x:c r="M1001" s="71" t="str">
        <x:v>Pending review</x:v>
      </x:c>
      <x:c r="N1001" s="71" t="str">
        <x:v>Normal</x:v>
      </x:c>
      <x:c r="O1001" s="71" t="str">
        <x:v>app/journey/routes/[slug]/route-detail-view.tsx</x:v>
      </x:c>
      <x:c r="P1001" s="71" t="str">
        <x:v>RouteDetailView:188</x:v>
      </x:c>
      <x:c r="Q1001" s="71" t="str">
        <x:v>EN (default / shared)</x:v>
      </x:c>
      <x:c r="R1001" s="71" t="str">
        <x:v>Already clear and direct; suggested wording intentionally keeps the current copy.</x:v>
      </x:c>
      <x:c r="S1001" s="75" t="str">
        <x:v>Not applied — review required</x:v>
      </x:c>
    </x:row>
    <x:row r="1002">
      <x:c r="A1002" s="71" t="str">
        <x:v>MRV-4B9A9E4B46</x:v>
      </x:c>
      <x:c r="B1002" s="71" t="str">
        <x:v>Acquisition</x:v>
      </x:c>
      <x:c r="C1002" s="71" t="str">
        <x:v>Route detail</x:v>
      </x:c>
      <x:c r="D1002" s="71" t="str">
        <x:v>/journey/routes/[slug]/route-detail-view</x:v>
      </x:c>
      <x:c r="E1002" s="71" t="str">
        <x:v>RouteDetailView</x:v>
      </x:c>
      <x:c r="F1002" s="71" t="str">
        <x:v>Default</x:v>
      </x:c>
      <x:c r="G1002" s="71" t="str">
        <x:v>CTA / button</x:v>
      </x:c>
      <x:c r="H1002" s="71" t="str">
        <x:v>Change dates, nights and stops</x:v>
      </x:c>
      <x:c r="I1002" s="71" t="str">
        <x:v>Change dates, nights and stops</x:v>
      </x:c>
      <x:c r="J1002" s="73"/>
      <x:c r="K1002" s="74" t="str">
        <x:f>IF(J1002="",H1002,IF(J1002=I1002,I1002,J1002))</x:f>
        <x:v>Change dates, nights and stops</x:v>
      </x:c>
      <x:c r="L1002" s="74" t="str">
        <x:f>IF(J1002="","Keep current",IF(J1002=I1002,"Use suggestion","Custom"))</x:f>
        <x:v>Keep current</x:v>
      </x:c>
      <x:c r="M1002" s="71" t="str">
        <x:v>Pending review</x:v>
      </x:c>
      <x:c r="N1002" s="71" t="str">
        <x:v>Medium</x:v>
      </x:c>
      <x:c r="O1002" s="71" t="str">
        <x:v>app/journey/routes/[slug]/route-detail-view.tsx</x:v>
      </x:c>
      <x:c r="P1002" s="71" t="str">
        <x:v>RouteDetailView:190</x:v>
      </x:c>
      <x:c r="Q1002" s="71" t="str">
        <x:v>EN (default / shared)</x:v>
      </x:c>
      <x:c r="R1002" s="71" t="str">
        <x:v>Already clear and direct; suggested wording intentionally keeps the current copy. Terminology watch: ‘trip’ and ‘journey’ both describe the same plan. Terminology watch: ‘stops’, ‘destinations’ and ‘places’ overlap.</x:v>
      </x:c>
      <x:c r="S1002" s="75" t="str">
        <x:v>Not applied — review required</x:v>
      </x:c>
    </x:row>
    <x:row r="1003">
      <x:c r="A1003" s="71" t="str">
        <x:v>MRV-BBFDB387B8</x:v>
      </x:c>
      <x:c r="B1003" s="71" t="str">
        <x:v>Acquisition</x:v>
      </x:c>
      <x:c r="C1003" s="71" t="str">
        <x:v>Route detail</x:v>
      </x:c>
      <x:c r="D1003" s="71" t="str">
        <x:v>/journey/routes/[slug]/route-detail-view</x:v>
      </x:c>
      <x:c r="E1003" s="71" t="str">
        <x:v>RouteDetailView</x:v>
      </x:c>
      <x:c r="F1003" s="71" t="str">
        <x:v>Default</x:v>
      </x:c>
      <x:c r="G1003" s="71" t="str">
        <x:v>Body copy</x:v>
      </x:c>
      <x:c r="H1003" s="71" t="str">
        <x:v>Keep the route order as your starting point</x:v>
      </x:c>
      <x:c r="I1003" s="71" t="str">
        <x:v>Keep the route order as your starting point</x:v>
      </x:c>
      <x:c r="J1003" s="73"/>
      <x:c r="K1003" s="74" t="str">
        <x:f>IF(J1003="",H1003,IF(J1003=I1003,I1003,J1003))</x:f>
        <x:v>Keep the route order as your starting point</x:v>
      </x:c>
      <x:c r="L1003" s="74" t="str">
        <x:f>IF(J1003="","Keep current",IF(J1003=I1003,"Use suggestion","Custom"))</x:f>
        <x:v>Keep current</x:v>
      </x:c>
      <x:c r="M1003" s="71" t="str">
        <x:v>Pending review</x:v>
      </x:c>
      <x:c r="N1003" s="71" t="str">
        <x:v>Normal</x:v>
      </x:c>
      <x:c r="O1003" s="71" t="str">
        <x:v>app/journey/routes/[slug]/route-detail-view.tsx</x:v>
      </x:c>
      <x:c r="P1003" s="71" t="str">
        <x:v>RouteDetailView:191</x:v>
      </x:c>
      <x:c r="Q1003" s="71" t="str">
        <x:v>EN (default / shared)</x:v>
      </x:c>
      <x:c r="R1003" s="71" t="str">
        <x:v>Already clear and direct; suggested wording intentionally keeps the current copy.</x:v>
      </x:c>
      <x:c r="S1003" s="75" t="str">
        <x:v>Not applied — review required</x:v>
      </x:c>
    </x:row>
    <x:row r="1004">
      <x:c r="A1004" s="71" t="str">
        <x:v>MRV-CF3915F010</x:v>
      </x:c>
      <x:c r="B1004" s="71" t="str">
        <x:v>Acquisition</x:v>
      </x:c>
      <x:c r="C1004" s="71" t="str">
        <x:v>Route detail</x:v>
      </x:c>
      <x:c r="D1004" s="71" t="str">
        <x:v>/journey/routes/[slug]/route-detail-view</x:v>
      </x:c>
      <x:c r="E1004" s="71" t="str">
        <x:v>RouteDetailView</x:v>
      </x:c>
      <x:c r="F1004" s="71" t="str">
        <x:v>Default</x:v>
      </x:c>
      <x:c r="G1004" s="71" t="str">
        <x:v>CTA / button</x:v>
      </x:c>
      <x:c r="H1004" s="71" t="str">
        <x:v>Build an editable day-by-day plan</x:v>
      </x:c>
      <x:c r="I1004" s="71" t="str">
        <x:v>Build an editable day-by-day plan</x:v>
      </x:c>
      <x:c r="J1004" s="73"/>
      <x:c r="K1004" s="74" t="str">
        <x:f>IF(J1004="",H1004,IF(J1004=I1004,I1004,J1004))</x:f>
        <x:v>Build an editable day-by-day plan</x:v>
      </x:c>
      <x:c r="L1004" s="74" t="str">
        <x:f>IF(J1004="","Keep current",IF(J1004=I1004,"Use suggestion","Custom"))</x:f>
        <x:v>Keep current</x:v>
      </x:c>
      <x:c r="M1004" s="71" t="str">
        <x:v>Pending review</x:v>
      </x:c>
      <x:c r="N1004" s="71" t="str">
        <x:v>Medium</x:v>
      </x:c>
      <x:c r="O1004" s="71" t="str">
        <x:v>app/journey/routes/[slug]/route-detail-view.tsx</x:v>
      </x:c>
      <x:c r="P1004" s="71" t="str">
        <x:v>RouteDetailView:192</x:v>
      </x:c>
      <x:c r="Q1004" s="71" t="str">
        <x:v>EN (default / shared)</x:v>
      </x:c>
      <x:c r="R1004" s="71" t="str">
        <x:v>Already clear and direct; suggested wording intentionally keeps the current copy.</x:v>
      </x:c>
      <x:c r="S1004" s="75" t="str">
        <x:v>Not applied — review required</x:v>
      </x:c>
    </x:row>
    <x:row r="1005">
      <x:c r="A1005" s="71" t="str">
        <x:v>MRV-E723C70D75</x:v>
      </x:c>
      <x:c r="B1005" s="71" t="str">
        <x:v>Acquisition</x:v>
      </x:c>
      <x:c r="C1005" s="71" t="str">
        <x:v>Route detail</x:v>
      </x:c>
      <x:c r="D1005" s="71" t="str">
        <x:v>/journey/routes/[slug]/route-detail-view</x:v>
      </x:c>
      <x:c r="E1005" s="71" t="str">
        <x:v>RouteDetailView</x:v>
      </x:c>
      <x:c r="F1005" s="71" t="str">
        <x:v>Default</x:v>
      </x:c>
      <x:c r="G1005" s="71" t="str">
        <x:v>Body copy</x:v>
      </x:c>
      <x:c r="H1005" s="71" t="str">
        <x:v>It takes a couple of minutes to get started.</x:v>
      </x:c>
      <x:c r="I1005" s="71" t="str">
        <x:v>It takes a couple of minutes to get started.</x:v>
      </x:c>
      <x:c r="J1005" s="73"/>
      <x:c r="K1005" s="74" t="str">
        <x:f>IF(J1005="",H1005,IF(J1005=I1005,I1005,J1005))</x:f>
        <x:v>It takes a couple of minutes to get started.</x:v>
      </x:c>
      <x:c r="L1005" s="74" t="str">
        <x:f>IF(J1005="","Keep current",IF(J1005=I1005,"Use suggestion","Custom"))</x:f>
        <x:v>Keep current</x:v>
      </x:c>
      <x:c r="M1005" s="71" t="str">
        <x:v>Pending review</x:v>
      </x:c>
      <x:c r="N1005" s="71" t="str">
        <x:v>Normal</x:v>
      </x:c>
      <x:c r="O1005" s="71" t="str">
        <x:v>app/journey/routes/[slug]/route-detail-view.tsx</x:v>
      </x:c>
      <x:c r="P1005" s="71" t="str">
        <x:v>RouteDetailView:194</x:v>
      </x:c>
      <x:c r="Q1005" s="71" t="str">
        <x:v>EN (default / shared)</x:v>
      </x:c>
      <x:c r="R1005" s="71" t="str">
        <x:v>Already clear and direct; suggested wording intentionally keeps the current copy.</x:v>
      </x:c>
      <x:c r="S1005" s="75" t="str">
        <x:v>Not applied — review required</x:v>
      </x:c>
    </x:row>
    <x:row r="1006">
      <x:c r="A1006" s="71" t="str">
        <x:v>MRV-C34804026F</x:v>
      </x:c>
      <x:c r="B1006" s="71" t="str">
        <x:v>Acquisition</x:v>
      </x:c>
      <x:c r="C1006" s="71" t="str">
        <x:v>Route detail</x:v>
      </x:c>
      <x:c r="D1006" s="71" t="str">
        <x:v>/journey/routes/[slug]/route-hero-image</x:v>
      </x:c>
      <x:c r="E1006" s="71" t="str">
        <x:v>RouteHeroImage</x:v>
      </x:c>
      <x:c r="F1006" s="71" t="str">
        <x:v>Failure / recovery</x:v>
      </x:c>
      <x:c r="G1006" s="71" t="str">
        <x:v>Label</x:v>
      </x:c>
      <x:c r="H1006" s="71" t="str">
        <x:v>No route image available</x:v>
      </x:c>
      <x:c r="I1006" s="71" t="str">
        <x:v>No route image available</x:v>
      </x:c>
      <x:c r="J1006" s="73"/>
      <x:c r="K1006" s="74" t="str">
        <x:f>IF(J1006="",H1006,IF(J1006=I1006,I1006,J1006))</x:f>
        <x:v>No route image available</x:v>
      </x:c>
      <x:c r="L1006" s="74" t="str">
        <x:f>IF(J1006="","Keep current",IF(J1006=I1006,"Use suggestion","Custom"))</x:f>
        <x:v>Keep current</x:v>
      </x:c>
      <x:c r="M1006" s="71" t="str">
        <x:v>Pending review</x:v>
      </x:c>
      <x:c r="N1006" s="71" t="str">
        <x:v>High</x:v>
      </x:c>
      <x:c r="O1006" s="71" t="str">
        <x:v>app/journey/routes/[slug]/route-hero-image.tsx</x:v>
      </x:c>
      <x:c r="P1006" s="71" t="str">
        <x:v>RouteHeroImage:29</x:v>
      </x:c>
      <x:c r="Q1006" s="71" t="str">
        <x:v>EN (default / shared)</x:v>
      </x:c>
      <x:c r="R1006" s="71" t="str">
        <x:v>Already clear and direct; suggested wording intentionally keeps the current copy.</x:v>
      </x:c>
      <x:c r="S1006" s="75" t="str">
        <x:v>Not applied — review required</x:v>
      </x:c>
    </x:row>
    <x:row r="1007">
      <x:c r="A1007" s="71" t="str">
        <x:v>MRV-B19454A280</x:v>
      </x:c>
      <x:c r="B1007" s="71" t="str">
        <x:v>Acquisition</x:v>
      </x:c>
      <x:c r="C1007" s="71" t="str">
        <x:v>Route detail</x:v>
      </x:c>
      <x:c r="D1007" s="71" t="str">
        <x:v>/journey/routes/[slug]/route-hero-image</x:v>
      </x:c>
      <x:c r="E1007" s="71" t="str">
        <x:v>RouteHeroImage</x:v>
      </x:c>
      <x:c r="F1007" s="71" t="str">
        <x:v>Loading / in progress</x:v>
      </x:c>
      <x:c r="G1007" s="71" t="str">
        <x:v>CTA / button</x:v>
      </x:c>
      <x:c r="H1007" s="71" t="str">
        <x:v>Finding a photograph…</x:v>
      </x:c>
      <x:c r="I1007" s="71" t="str">
        <x:v>Finding a photograph…</x:v>
      </x:c>
      <x:c r="J1007" s="73"/>
      <x:c r="K1007" s="74" t="str">
        <x:f>IF(J1007="",H1007,IF(J1007=I1007,I1007,J1007))</x:f>
        <x:v>Finding a photograph…</x:v>
      </x:c>
      <x:c r="L1007" s="74" t="str">
        <x:f>IF(J1007="","Keep current",IF(J1007=I1007,"Use suggestion","Custom"))</x:f>
        <x:v>Keep current</x:v>
      </x:c>
      <x:c r="M1007" s="71" t="str">
        <x:v>Pending review</x:v>
      </x:c>
      <x:c r="N1007" s="71" t="str">
        <x:v>Medium</x:v>
      </x:c>
      <x:c r="O1007" s="71" t="str">
        <x:v>app/journey/routes/[slug]/route-hero-image.tsx</x:v>
      </x:c>
      <x:c r="P1007" s="71" t="str">
        <x:v>RouteHeroImage:45</x:v>
      </x:c>
      <x:c r="Q1007" s="71" t="str">
        <x:v>EN (default / shared)</x:v>
      </x:c>
      <x:c r="R1007" s="71" t="str">
        <x:v>Already clear and direct; suggested wording intentionally keeps the current copy.</x:v>
      </x:c>
      <x:c r="S1007" s="75" t="str">
        <x:v>Not applied — review required</x:v>
      </x:c>
    </x:row>
    <x:row r="1008">
      <x:c r="A1008" s="71" t="str">
        <x:v>MRV-F8CD059CC7</x:v>
      </x:c>
      <x:c r="B1008" s="71" t="str">
        <x:v>Acquisition</x:v>
      </x:c>
      <x:c r="C1008" s="71" t="str">
        <x:v>Route detail</x:v>
      </x:c>
      <x:c r="D1008" s="71" t="str">
        <x:v>/journey/routes/[slug]/route-hero-image</x:v>
      </x:c>
      <x:c r="E1008" s="71" t="str">
        <x:v>RouteHeroImage</x:v>
      </x:c>
      <x:c r="F1008" s="71" t="str">
        <x:v>Loading / in progress</x:v>
      </x:c>
      <x:c r="G1008" s="71" t="str">
        <x:v>Label</x:v>
      </x:c>
      <x:c r="H1008" s="71" t="str">
        <x:v>Photography unavailable</x:v>
      </x:c>
      <x:c r="I1008" s="71" t="str">
        <x:v>Photography unavailable</x:v>
      </x:c>
      <x:c r="J1008" s="73"/>
      <x:c r="K1008" s="74" t="str">
        <x:f>IF(J1008="",H1008,IF(J1008=I1008,I1008,J1008))</x:f>
        <x:v>Photography unavailable</x:v>
      </x:c>
      <x:c r="L1008" s="74" t="str">
        <x:f>IF(J1008="","Keep current",IF(J1008=I1008,"Use suggestion","Custom"))</x:f>
        <x:v>Keep current</x:v>
      </x:c>
      <x:c r="M1008" s="71" t="str">
        <x:v>Pending review</x:v>
      </x:c>
      <x:c r="N1008" s="71" t="str">
        <x:v>Normal</x:v>
      </x:c>
      <x:c r="O1008" s="71" t="str">
        <x:v>app/journey/routes/[slug]/route-hero-image.tsx</x:v>
      </x:c>
      <x:c r="P1008" s="71" t="str">
        <x:v>RouteHeroImage:45</x:v>
      </x:c>
      <x:c r="Q1008" s="71" t="str">
        <x:v>EN (default / shared)</x:v>
      </x:c>
      <x:c r="R1008" s="71" t="str">
        <x:v>Already clear and direct; suggested wording intentionally keeps the current copy.</x:v>
      </x:c>
      <x:c r="S1008" s="75" t="str">
        <x:v>Not applied — review required</x:v>
      </x:c>
    </x:row>
    <x:row r="1009">
      <x:c r="A1009" s="71" t="str">
        <x:v>MRV-918029F1FD</x:v>
      </x:c>
      <x:c r="B1009" s="71" t="str">
        <x:v>Acquisition</x:v>
      </x:c>
      <x:c r="C1009" s="71" t="str">
        <x:v>Route detail</x:v>
      </x:c>
      <x:c r="D1009" s="71" t="str">
        <x:v>/journey/routes/[slug]/route-live-map</x:v>
      </x:c>
      <x:c r="E1009" s="71" t="str">
        <x:v>initialise</x:v>
      </x:c>
      <x:c r="F1009" s="71" t="str">
        <x:v>Default</x:v>
      </x:c>
      <x:c r="G1009" s="71" t="str">
        <x:v>Body copy</x:v>
      </x:c>
      <x:c r="H1009" s="71" t="str">
        <x:v>Stop {index + 1}: {stop.name}</x:v>
      </x:c>
      <x:c r="I1009" s="71" t="str">
        <x:v>Stop {index + 1}: {stop.name}</x:v>
      </x:c>
      <x:c r="J1009" s="73"/>
      <x:c r="K1009" s="74" t="str">
        <x:f>IF(J1009="",H1009,IF(J1009=I1009,I1009,J1009))</x:f>
        <x:v>Stop {index + 1}: {stop.name}</x:v>
      </x:c>
      <x:c r="L1009" s="74" t="str">
        <x:f>IF(J1009="","Keep current",IF(J1009=I1009,"Use suggestion","Custom"))</x:f>
        <x:v>Keep current</x:v>
      </x:c>
      <x:c r="M1009" s="71" t="str">
        <x:v>Pending review</x:v>
      </x:c>
      <x:c r="N1009" s="71" t="str">
        <x:v>Normal</x:v>
      </x:c>
      <x:c r="O1009" s="71" t="str">
        <x:v>app/journey/routes/[slug]/route-live-map.tsx</x:v>
      </x:c>
      <x:c r="P1009" s="71" t="str">
        <x:v>initialise:54</x:v>
      </x:c>
      <x:c r="Q1009" s="71" t="str">
        <x:v>EN (default / shared)</x:v>
      </x:c>
      <x:c r="R100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009" s="75" t="str">
        <x:v>Not applied — review required</x:v>
      </x:c>
    </x:row>
    <x:row r="1010">
      <x:c r="A1010" s="71" t="str">
        <x:v>MRV-82C2EACE24</x:v>
      </x:c>
      <x:c r="B1010" s="71" t="str">
        <x:v>Acquisition</x:v>
      </x:c>
      <x:c r="C1010" s="71" t="str">
        <x:v>Route detail</x:v>
      </x:c>
      <x:c r="D1010" s="71" t="str">
        <x:v>/journey/routes/[slug]/route-live-map</x:v>
      </x:c>
      <x:c r="E1010" s="71" t="str">
        <x:v>observer</x:v>
      </x:c>
      <x:c r="F1010" s="71" t="str">
        <x:v>Default</x:v>
      </x:c>
      <x:c r="G1010" s="71" t="str">
        <x:v>Label</x:v>
      </x:c>
      <x:c r="H1010" s="71" t="str">
        <x:v>IntersectionObserver</x:v>
      </x:c>
      <x:c r="I1010" s="71" t="str">
        <x:v>IntersectionObserver</x:v>
      </x:c>
      <x:c r="J1010" s="73"/>
      <x:c r="K1010" s="74" t="str">
        <x:f>IF(J1010="",H1010,IF(J1010=I1010,I1010,J1010))</x:f>
        <x:v>IntersectionObserver</x:v>
      </x:c>
      <x:c r="L1010" s="74" t="str">
        <x:f>IF(J1010="","Keep current",IF(J1010=I1010,"Use suggestion","Custom"))</x:f>
        <x:v>Keep current</x:v>
      </x:c>
      <x:c r="M1010" s="71" t="str">
        <x:v>Pending review</x:v>
      </x:c>
      <x:c r="N1010" s="71" t="str">
        <x:v>Normal</x:v>
      </x:c>
      <x:c r="O1010" s="71" t="str">
        <x:v>app/journey/routes/[slug]/route-live-map.tsx</x:v>
      </x:c>
      <x:c r="P1010" s="71" t="str">
        <x:v>observer:96</x:v>
      </x:c>
      <x:c r="Q1010" s="71" t="str">
        <x:v>EN (default / shared)</x:v>
      </x:c>
      <x:c r="R1010" s="71" t="str">
        <x:v>Already clear and direct; suggested wording intentionally keeps the current copy. Duplicate wording: appears 3 times.</x:v>
      </x:c>
      <x:c r="S1010" s="75" t="str">
        <x:v>Not applied — review required</x:v>
      </x:c>
    </x:row>
    <x:row r="1011">
      <x:c r="A1011" s="71" t="str">
        <x:v>MRV-B1866BD82E</x:v>
      </x:c>
      <x:c r="B1011" s="71" t="str">
        <x:v>Acquisition</x:v>
      </x:c>
      <x:c r="C1011" s="71" t="str">
        <x:v>Route detail</x:v>
      </x:c>
      <x:c r="D1011" s="71" t="str">
        <x:v>/journey/routes/[slug]/route-live-map</x:v>
      </x:c>
      <x:c r="E1011" s="71" t="str">
        <x:v>RouteLiveMap</x:v>
      </x:c>
      <x:c r="F1011" s="71" t="str">
        <x:v>Accessibility / input support</x:v>
      </x:c>
      <x:c r="G1011" s="71" t="str">
        <x:v>Accessibility label</x:v>
      </x:c>
      <x:c r="H1011" s="71" t="str">
        <x:v>Interactive map of {title}</x:v>
      </x:c>
      <x:c r="I1011" s="71" t="str">
        <x:v>Interactive map of {title}</x:v>
      </x:c>
      <x:c r="J1011" s="73"/>
      <x:c r="K1011" s="74" t="str">
        <x:f>IF(J1011="",H1011,IF(J1011=I1011,I1011,J1011))</x:f>
        <x:v>Interactive map of {title}</x:v>
      </x:c>
      <x:c r="L1011" s="74" t="str">
        <x:f>IF(J1011="","Keep current",IF(J1011=I1011,"Use suggestion","Custom"))</x:f>
        <x:v>Keep current</x:v>
      </x:c>
      <x:c r="M1011" s="71" t="str">
        <x:v>Pending review</x:v>
      </x:c>
      <x:c r="N1011" s="71" t="str">
        <x:v>Medium</x:v>
      </x:c>
      <x:c r="O1011" s="71" t="str">
        <x:v>app/journey/routes/[slug]/route-live-map.tsx</x:v>
      </x:c>
      <x:c r="P1011" s="71" t="str">
        <x:v>RouteLiveMap:112</x:v>
      </x:c>
      <x:c r="Q1011" s="71" t="str">
        <x:v>EN (default / shared)</x:v>
      </x:c>
      <x:c r="R1011" s="71" t="str">
        <x:v>Already clear and direct; suggested wording intentionally keeps the current copy. Dynamic traveller or trip value is represented as a token; user-generated values are excluded.</x:v>
      </x:c>
      <x:c r="S1011" s="75" t="str">
        <x:v>Not applied — review required</x:v>
      </x:c>
    </x:row>
    <x:row r="1012">
      <x:c r="A1012" s="71" t="str">
        <x:v>MRV-505A624784</x:v>
      </x:c>
      <x:c r="B1012" s="71" t="str">
        <x:v>Acquisition</x:v>
      </x:c>
      <x:c r="C1012" s="71" t="str">
        <x:v>Route detail</x:v>
      </x:c>
      <x:c r="D1012" s="71" t="str">
        <x:v>/journey/routes/[slug]/route-live-map</x:v>
      </x:c>
      <x:c r="E1012" s="71" t="str">
        <x:v>RouteLiveMap</x:v>
      </x:c>
      <x:c r="F1012" s="71" t="str">
        <x:v>Loading / in progress</x:v>
      </x:c>
      <x:c r="G1012" s="71" t="str">
        <x:v>Body copy</x:v>
      </x:c>
      <x:c r="H1012" s="71" t="str">
        <x:v>The live map is unavailable. The ordered route remains listed below.</x:v>
      </x:c>
      <x:c r="I1012" s="71" t="str">
        <x:v>The live map is unavailable. The ordered route remains listed below.</x:v>
      </x:c>
      <x:c r="J1012" s="73"/>
      <x:c r="K1012" s="74" t="str">
        <x:f>IF(J1012="",H1012,IF(J1012=I1012,I1012,J1012))</x:f>
        <x:v>The live map is unavailable. The ordered route remains listed below.</x:v>
      </x:c>
      <x:c r="L1012" s="74" t="str">
        <x:f>IF(J1012="","Keep current",IF(J1012=I1012,"Use suggestion","Custom"))</x:f>
        <x:v>Keep current</x:v>
      </x:c>
      <x:c r="M1012" s="71" t="str">
        <x:v>Pending review</x:v>
      </x:c>
      <x:c r="N1012" s="71" t="str">
        <x:v>Normal</x:v>
      </x:c>
      <x:c r="O1012" s="71" t="str">
        <x:v>app/journey/routes/[slug]/route-live-map.tsx</x:v>
      </x:c>
      <x:c r="P1012" s="71" t="str">
        <x:v>RouteLiveMap:114</x:v>
      </x:c>
      <x:c r="Q1012" s="71" t="str">
        <x:v>EN (default / shared)</x:v>
      </x:c>
      <x:c r="R1012" s="71" t="str">
        <x:v>Already clear and direct; suggested wording intentionally keeps the current copy.</x:v>
      </x:c>
      <x:c r="S1012" s="75" t="str">
        <x:v>Not applied — review required</x:v>
      </x:c>
    </x:row>
    <x:row r="1013">
      <x:c r="A1013" s="71" t="str">
        <x:v>MRV-6FF650EDC2</x:v>
      </x:c>
      <x:c r="B1013" s="71" t="str">
        <x:v>Acquisition</x:v>
      </x:c>
      <x:c r="C1013" s="71" t="str">
        <x:v>Route detail</x:v>
      </x:c>
      <x:c r="D1013" s="71" t="str">
        <x:v>/journey/routes/[slug]/route-live-map</x:v>
      </x:c>
      <x:c r="E1013" s="71" t="str">
        <x:v>RouteLiveMap</x:v>
      </x:c>
      <x:c r="F1013" s="71" t="str">
        <x:v>Loading / in progress</x:v>
      </x:c>
      <x:c r="G1013" s="71" t="str">
        <x:v>Label</x:v>
      </x:c>
      <x:c r="H1013" s="71" t="str">
        <x:v>Loading route map…</x:v>
      </x:c>
      <x:c r="I1013" s="71" t="str">
        <x:v>Loading route map…</x:v>
      </x:c>
      <x:c r="J1013" s="73"/>
      <x:c r="K1013" s="74" t="str">
        <x:f>IF(J1013="",H1013,IF(J1013=I1013,I1013,J1013))</x:f>
        <x:v>Loading route map…</x:v>
      </x:c>
      <x:c r="L1013" s="74" t="str">
        <x:f>IF(J1013="","Keep current",IF(J1013=I1013,"Use suggestion","Custom"))</x:f>
        <x:v>Keep current</x:v>
      </x:c>
      <x:c r="M1013" s="71" t="str">
        <x:v>Pending review</x:v>
      </x:c>
      <x:c r="N1013" s="71" t="str">
        <x:v>Normal</x:v>
      </x:c>
      <x:c r="O1013" s="71" t="str">
        <x:v>app/journey/routes/[slug]/route-live-map.tsx</x:v>
      </x:c>
      <x:c r="P1013" s="71" t="str">
        <x:v>RouteLiveMap:114</x:v>
      </x:c>
      <x:c r="Q1013" s="71" t="str">
        <x:v>EN (default / shared)</x:v>
      </x:c>
      <x:c r="R1013" s="71" t="str">
        <x:v>Already clear and direct; suggested wording intentionally keeps the current copy.</x:v>
      </x:c>
      <x:c r="S1013" s="75" t="str">
        <x:v>Not applied — review required</x:v>
      </x:c>
    </x:row>
    <x:row r="1014">
      <x:c r="A1014" s="71" t="str">
        <x:v>MRV-856532667D</x:v>
      </x:c>
      <x:c r="B1014" s="71" t="str">
        <x:v>Acquisition</x:v>
      </x:c>
      <x:c r="C1014" s="71" t="str">
        <x:v>Route detail</x:v>
      </x:c>
      <x:c r="D1014" s="71" t="str">
        <x:v>/journey/routes/[slug]/route-plan-link</x:v>
      </x:c>
      <x:c r="E1014" s="71" t="str">
        <x:v>RoutePlanLink</x:v>
      </x:c>
      <x:c r="F1014" s="71" t="str">
        <x:v>Default</x:v>
      </x:c>
      <x:c r="G1014" s="71" t="str">
        <x:v>CTA / button</x:v>
      </x:c>
      <x:c r="H1014" s="71" t="str">
        <x:v>Plan this route</x:v>
      </x:c>
      <x:c r="I1014" s="71" t="str">
        <x:v>Plan this route</x:v>
      </x:c>
      <x:c r="J1014" s="73"/>
      <x:c r="K1014" s="74" t="str">
        <x:f>IF(J1014="",H1014,IF(J1014=I1014,I1014,J1014))</x:f>
        <x:v>Plan this route</x:v>
      </x:c>
      <x:c r="L1014" s="74" t="str">
        <x:f>IF(J1014="","Keep current",IF(J1014=I1014,"Use suggestion","Custom"))</x:f>
        <x:v>Keep current</x:v>
      </x:c>
      <x:c r="M1014" s="71" t="str">
        <x:v>Pending review</x:v>
      </x:c>
      <x:c r="N1014" s="71" t="str">
        <x:v>Medium</x:v>
      </x:c>
      <x:c r="O1014" s="71" t="str">
        <x:v>app/journey/routes/[slug]/route-plan-link.tsx</x:v>
      </x:c>
      <x:c r="P1014" s="71" t="str">
        <x:v>RoutePlanLink:15</x:v>
      </x:c>
      <x:c r="Q1014" s="71" t="str">
        <x:v>EN (default / shared)</x:v>
      </x:c>
      <x:c r="R1014" s="71" t="str">
        <x:v>Already clear and direct; suggested wording intentionally keeps the current copy.</x:v>
      </x:c>
      <x:c r="S1014" s="75" t="str">
        <x:v>Not applied — review required</x:v>
      </x:c>
    </x:row>
    <x:row r="1015">
      <x:c r="A1015" s="71" t="str">
        <x:v>MRV-0DFBCAFA33</x:v>
      </x:c>
      <x:c r="B1015" s="71" t="str">
        <x:v>Acquisition</x:v>
      </x:c>
      <x:c r="C1015" s="71" t="str">
        <x:v>Route detail</x:v>
      </x:c>
      <x:c r="D1015" s="71" t="str">
        <x:v>/journey/routes/[slug]/route-stop-image</x:v>
      </x:c>
      <x:c r="E1015" s="71" t="str">
        <x:v>cacheKey</x:v>
      </x:c>
      <x:c r="F1015" s="71" t="str">
        <x:v>Default</x:v>
      </x:c>
      <x:c r="G1015" s="71" t="str">
        <x:v>Label</x:v>
      </x:c>
      <x:c r="H1015" s="71" t="str">
        <x:v>{routeKey}:stop:{subjectKey}</x:v>
      </x:c>
      <x:c r="I1015" s="71" t="str">
        <x:v>{routeKey}:stop:{subjectKey}</x:v>
      </x:c>
      <x:c r="J1015" s="73"/>
      <x:c r="K1015" s="74" t="str">
        <x:f>IF(J1015="",H1015,IF(J1015=I1015,I1015,J1015))</x:f>
        <x:v>{routeKey}:stop:{subjectKey}</x:v>
      </x:c>
      <x:c r="L1015" s="74" t="str">
        <x:f>IF(J1015="","Keep current",IF(J1015=I1015,"Use suggestion","Custom"))</x:f>
        <x:v>Keep current</x:v>
      </x:c>
      <x:c r="M1015" s="71" t="str">
        <x:v>Pending review</x:v>
      </x:c>
      <x:c r="N1015" s="71" t="str">
        <x:v>Normal</x:v>
      </x:c>
      <x:c r="O1015" s="71" t="str">
        <x:v>app/journey/routes/[slug]/route-stop-image.tsx</x:v>
      </x:c>
      <x:c r="P1015" s="71" t="str">
        <x:v>cacheKey:12</x:v>
      </x:c>
      <x:c r="Q1015" s="71" t="str">
        <x:v>EN (default / shared)</x:v>
      </x:c>
      <x:c r="R1015"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015" s="75" t="str">
        <x:v>Not applied — review required</x:v>
      </x:c>
    </x:row>
    <x:row r="1016">
      <x:c r="A1016" s="71" t="str">
        <x:v>MRV-265F7EBC02</x:v>
      </x:c>
      <x:c r="B1016" s="71" t="str">
        <x:v>Acquisition</x:v>
      </x:c>
      <x:c r="C1016" s="71" t="str">
        <x:v>Route detail</x:v>
      </x:c>
      <x:c r="D1016" s="71" t="str">
        <x:v>/journey/routes/[slug]/route-stop-image</x:v>
      </x:c>
      <x:c r="E1016" s="71" t="str">
        <x:v>RouteStopImage</x:v>
      </x:c>
      <x:c r="F1016" s="71" t="str">
        <x:v>Default</x:v>
      </x:c>
      <x:c r="G1016" s="71" t="str">
        <x:v>Label</x:v>
      </x:c>
      <x:c r="H1016" s="71" t="str">
        <x:v>IntersectionObserver</x:v>
      </x:c>
      <x:c r="I1016" s="71" t="str">
        <x:v>IntersectionObserver</x:v>
      </x:c>
      <x:c r="J1016" s="73"/>
      <x:c r="K1016" s="74" t="str">
        <x:f>IF(J1016="",H1016,IF(J1016=I1016,I1016,J1016))</x:f>
        <x:v>IntersectionObserver</x:v>
      </x:c>
      <x:c r="L1016" s="74" t="str">
        <x:f>IF(J1016="","Keep current",IF(J1016=I1016,"Use suggestion","Custom"))</x:f>
        <x:v>Keep current</x:v>
      </x:c>
      <x:c r="M1016" s="71" t="str">
        <x:v>Pending review</x:v>
      </x:c>
      <x:c r="N1016" s="71" t="str">
        <x:v>Normal</x:v>
      </x:c>
      <x:c r="O1016" s="71" t="str">
        <x:v>app/journey/routes/[slug]/route-stop-image.tsx</x:v>
      </x:c>
      <x:c r="P1016" s="71" t="str">
        <x:v>RouteStopImage:19</x:v>
      </x:c>
      <x:c r="Q1016" s="71" t="str">
        <x:v>EN (default / shared)</x:v>
      </x:c>
      <x:c r="R1016" s="71" t="str">
        <x:v>Already clear and direct; suggested wording intentionally keeps the current copy. Duplicate wording: appears 3 times.</x:v>
      </x:c>
      <x:c r="S1016" s="75" t="str">
        <x:v>Not applied — review required</x:v>
      </x:c>
    </x:row>
    <x:row r="1017">
      <x:c r="A1017" s="71" t="str">
        <x:v>MRV-5291FA84FB</x:v>
      </x:c>
      <x:c r="B1017" s="71" t="str">
        <x:v>Acquisition</x:v>
      </x:c>
      <x:c r="C1017" s="71" t="str">
        <x:v>Route detail</x:v>
      </x:c>
      <x:c r="D1017" s="71" t="str">
        <x:v>/journey/routes/[slug]/route-stop-image</x:v>
      </x:c>
      <x:c r="E1017" s="71" t="str">
        <x:v>RouteStopImage</x:v>
      </x:c>
      <x:c r="F1017" s="71" t="str">
        <x:v>Default</x:v>
      </x:c>
      <x:c r="G1017" s="71" t="str">
        <x:v>Label</x:v>
      </x:c>
      <x:c r="H1017" s="71" t="str">
        <x:v>{stop} {country} travel</x:v>
      </x:c>
      <x:c r="I1017" s="71" t="str">
        <x:v>{stop} {country} travel</x:v>
      </x:c>
      <x:c r="J1017" s="73"/>
      <x:c r="K1017" s="74" t="str">
        <x:f>IF(J1017="",H1017,IF(J1017=I1017,I1017,J1017))</x:f>
        <x:v>{stop} {country} travel</x:v>
      </x:c>
      <x:c r="L1017" s="74" t="str">
        <x:f>IF(J1017="","Keep current",IF(J1017=I1017,"Use suggestion","Custom"))</x:f>
        <x:v>Keep current</x:v>
      </x:c>
      <x:c r="M1017" s="71" t="str">
        <x:v>Pending review</x:v>
      </x:c>
      <x:c r="N1017" s="71" t="str">
        <x:v>Normal</x:v>
      </x:c>
      <x:c r="O1017" s="71" t="str">
        <x:v>app/journey/routes/[slug]/route-stop-image.tsx</x:v>
      </x:c>
      <x:c r="P1017" s="71" t="str">
        <x:v>RouteStopImage:35</x:v>
      </x:c>
      <x:c r="Q1017" s="71" t="str">
        <x:v>EN (default / shared)</x:v>
      </x:c>
      <x:c r="R1017"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1017" s="75" t="str">
        <x:v>Not applied — review required</x:v>
      </x:c>
    </x:row>
    <x:row r="1018">
      <x:c r="A1018" s="71" t="str">
        <x:v>MRV-D491F2033E</x:v>
      </x:c>
      <x:c r="B1018" s="71" t="str">
        <x:v>Acquisition</x:v>
      </x:c>
      <x:c r="C1018" s="71" t="str">
        <x:v>Route detail</x:v>
      </x:c>
      <x:c r="D1018" s="71" t="str">
        <x:v>/journey/routes/[slug]/route-stop-image</x:v>
      </x:c>
      <x:c r="E1018" s="71" t="str">
        <x:v>RouteStopImage</x:v>
      </x:c>
      <x:c r="F1018" s="71" t="str">
        <x:v>Default</x:v>
      </x:c>
      <x:c r="G1018" s="71" t="str">
        <x:v>Label</x:v>
      </x:c>
      <x:c r="H1018" s="71" t="str">
        <x:v>{stop} {country} landmark</x:v>
      </x:c>
      <x:c r="I1018" s="71" t="str">
        <x:v>{stop} {country} landmark</x:v>
      </x:c>
      <x:c r="J1018" s="73"/>
      <x:c r="K1018" s="74" t="str">
        <x:f>IF(J1018="",H1018,IF(J1018=I1018,I1018,J1018))</x:f>
        <x:v>{stop} {country} landmark</x:v>
      </x:c>
      <x:c r="L1018" s="74" t="str">
        <x:f>IF(J1018="","Keep current",IF(J1018=I1018,"Use suggestion","Custom"))</x:f>
        <x:v>Keep current</x:v>
      </x:c>
      <x:c r="M1018" s="71" t="str">
        <x:v>Pending review</x:v>
      </x:c>
      <x:c r="N1018" s="71" t="str">
        <x:v>Normal</x:v>
      </x:c>
      <x:c r="O1018" s="71" t="str">
        <x:v>app/journey/routes/[slug]/route-stop-image.tsx</x:v>
      </x:c>
      <x:c r="P1018" s="71" t="str">
        <x:v>RouteStopImage:35</x:v>
      </x:c>
      <x:c r="Q1018" s="71" t="str">
        <x:v>EN (default / shared)</x:v>
      </x:c>
      <x:c r="R101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018" s="75" t="str">
        <x:v>Not applied — review required</x:v>
      </x:c>
    </x:row>
    <x:row r="1019">
      <x:c r="A1019" s="71" t="str">
        <x:v>MRV-76E42C1094</x:v>
      </x:c>
      <x:c r="B1019" s="71" t="str">
        <x:v>Acquisition</x:v>
      </x:c>
      <x:c r="C1019" s="71" t="str">
        <x:v>Route detail</x:v>
      </x:c>
      <x:c r="D1019" s="71" t="str">
        <x:v>/journey/routes/[slug]/route-stop-image</x:v>
      </x:c>
      <x:c r="E1019" s="71" t="str">
        <x:v>RouteStopImage</x:v>
      </x:c>
      <x:c r="F1019" s="71" t="str">
        <x:v>Accessibility / input support</x:v>
      </x:c>
      <x:c r="G1019" s="71" t="str">
        <x:v>Accessibility label</x:v>
      </x:c>
      <x:c r="H1019" s="71" t="str">
        <x:v>{stop}, {country}</x:v>
      </x:c>
      <x:c r="I1019" s="71" t="str">
        <x:v>{stop}, {country}</x:v>
      </x:c>
      <x:c r="J1019" s="73"/>
      <x:c r="K1019" s="74" t="str">
        <x:f>IF(J1019="",H1019,IF(J1019=I1019,I1019,J1019))</x:f>
        <x:v>{stop}, {country}</x:v>
      </x:c>
      <x:c r="L1019" s="74" t="str">
        <x:f>IF(J1019="","Keep current",IF(J1019=I1019,"Use suggestion","Custom"))</x:f>
        <x:v>Keep current</x:v>
      </x:c>
      <x:c r="M1019" s="71" t="str">
        <x:v>Pending review</x:v>
      </x:c>
      <x:c r="N1019" s="71" t="str">
        <x:v>Medium</x:v>
      </x:c>
      <x:c r="O1019" s="71" t="str">
        <x:v>app/journey/routes/[slug]/route-stop-image.tsx</x:v>
      </x:c>
      <x:c r="P1019" s="71" t="str">
        <x:v>RouteStopImage:48</x:v>
      </x:c>
      <x:c r="Q1019" s="71" t="str">
        <x:v>EN (default / shared)</x:v>
      </x:c>
      <x:c r="R101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019" s="75" t="str">
        <x:v>Not applied — review required</x:v>
      </x:c>
    </x:row>
    <x:row r="1020">
      <x:c r="A1020" s="71" t="str">
        <x:v>MRV-D6025B559C</x:v>
      </x:c>
      <x:c r="B1020" s="71" t="str">
        <x:v>Travel identity</x:v>
      </x:c>
      <x:c r="C1020" s="71" t="str">
        <x:v>Stamps</x:v>
      </x:c>
      <x:c r="D1020" s="71" t="str">
        <x:v>/journey/stamped</x:v>
      </x:c>
      <x:c r="E1020" s="71" t="str">
        <x:v>metadata</x:v>
      </x:c>
      <x:c r="F1020" s="71" t="str">
        <x:v>Default</x:v>
      </x:c>
      <x:c r="G1020" s="71" t="str">
        <x:v>Tooltip</x:v>
      </x:c>
      <x:c r="H1020" s="71" t="str">
        <x:v>Stamped · Morrovia</x:v>
      </x:c>
      <x:c r="I1020" s="71" t="str">
        <x:v>Stamped · Morrovia</x:v>
      </x:c>
      <x:c r="J1020" s="73"/>
      <x:c r="K1020" s="74" t="str">
        <x:f>IF(J1020="",H1020,IF(J1020=I1020,I1020,J1020))</x:f>
        <x:v>Stamped · Morrovia</x:v>
      </x:c>
      <x:c r="L1020" s="74" t="str">
        <x:f>IF(J1020="","Keep current",IF(J1020=I1020,"Use suggestion","Custom"))</x:f>
        <x:v>Keep current</x:v>
      </x:c>
      <x:c r="M1020" s="71" t="str">
        <x:v>Pending review</x:v>
      </x:c>
      <x:c r="N1020" s="71" t="str">
        <x:v>Normal</x:v>
      </x:c>
      <x:c r="O1020" s="71" t="str">
        <x:v>app/journey/stamped/page.tsx</x:v>
      </x:c>
      <x:c r="P1020" s="71" t="str">
        <x:v>metadata:10</x:v>
      </x:c>
      <x:c r="Q1020" s="71" t="str">
        <x:v>EN (default / shared)</x:v>
      </x:c>
      <x:c r="R1020" s="71" t="str">
        <x:v>Already clear and direct; suggested wording intentionally keeps the current copy.</x:v>
      </x:c>
      <x:c r="S1020" s="75" t="str">
        <x:v>Not applied — review required</x:v>
      </x:c>
    </x:row>
    <x:row r="1021">
      <x:c r="A1021" s="71" t="str">
        <x:v>MRV-0CD046094F</x:v>
      </x:c>
      <x:c r="B1021" s="71" t="str">
        <x:v>Travel identity</x:v>
      </x:c>
      <x:c r="C1021" s="71" t="str">
        <x:v>Stamps</x:v>
      </x:c>
      <x:c r="D1021" s="71" t="str">
        <x:v>/journey/stamped/stamped-client</x:v>
      </x:c>
      <x:c r="E1021" s="71" t="str">
        <x:v>copy</x:v>
      </x:c>
      <x:c r="F1021" s="71" t="str">
        <x:v>Default</x:v>
      </x:c>
      <x:c r="G1021" s="71" t="str">
        <x:v>Tooltip</x:v>
      </x:c>
      <x:c r="H1021" s="71" t="str">
        <x:v>Your world, marked.</x:v>
      </x:c>
      <x:c r="I1021" s="71" t="str">
        <x:v>Your world, marked.</x:v>
      </x:c>
      <x:c r="J1021" s="73"/>
      <x:c r="K1021" s="74" t="str">
        <x:f>IF(J1021="",H1021,IF(J1021=I1021,I1021,J1021))</x:f>
        <x:v>Your world, marked.</x:v>
      </x:c>
      <x:c r="L1021" s="74" t="str">
        <x:f>IF(J1021="","Keep current",IF(J1021=I1021,"Use suggestion","Custom"))</x:f>
        <x:v>Keep current</x:v>
      </x:c>
      <x:c r="M1021" s="71" t="str">
        <x:v>Pending review</x:v>
      </x:c>
      <x:c r="N1021" s="71" t="str">
        <x:v>Normal</x:v>
      </x:c>
      <x:c r="O1021" s="71" t="str">
        <x:v>app/journey/stamped/stamped-client.tsx</x:v>
      </x:c>
      <x:c r="P1021" s="71" t="str">
        <x:v>copy:137</x:v>
      </x:c>
      <x:c r="Q1021" s="71" t="str">
        <x:v>EN (default / shared)</x:v>
      </x:c>
      <x:c r="R1021" s="71" t="str">
        <x:v>Already clear and direct; suggested wording intentionally keeps the current copy. Duplicate wording: appears 2 times.</x:v>
      </x:c>
      <x:c r="S1021" s="75" t="str">
        <x:v>Not applied — review required</x:v>
      </x:c>
    </x:row>
    <x:row r="1022">
      <x:c r="A1022" s="71" t="str">
        <x:v>MRV-4FFF1F3142</x:v>
      </x:c>
      <x:c r="B1022" s="71" t="str">
        <x:v>Travel identity</x:v>
      </x:c>
      <x:c r="C1022" s="71" t="str">
        <x:v>Stamps</x:v>
      </x:c>
      <x:c r="D1022" s="71" t="str">
        <x:v>/journey/stamped/stamped-client</x:v>
      </x:c>
      <x:c r="E1022" s="71" t="str">
        <x:v>copy</x:v>
      </x:c>
      <x:c r="F1022" s="71" t="str">
        <x:v>Default</x:v>
      </x:c>
      <x:c r="G1022" s="71" t="str">
        <x:v>Tooltip</x:v>
      </x:c>
      <x:c r="H1022" s="71" t="str">
        <x:v>Tu mundo, marcado.</x:v>
      </x:c>
      <x:c r="I1022" s="71" t="str">
        <x:v>Tu mundo, marcado.</x:v>
      </x:c>
      <x:c r="J1022" s="73"/>
      <x:c r="K1022" s="74" t="str">
        <x:f>IF(J1022="",H1022,IF(J1022=I1022,I1022,J1022))</x:f>
        <x:v>Tu mundo, marcado.</x:v>
      </x:c>
      <x:c r="L1022" s="74" t="str">
        <x:f>IF(J1022="","Keep current",IF(J1022=I1022,"Use suggestion","Custom"))</x:f>
        <x:v>Keep current</x:v>
      </x:c>
      <x:c r="M1022" s="71" t="str">
        <x:v>Pending review</x:v>
      </x:c>
      <x:c r="N1022" s="71" t="str">
        <x:v>Normal</x:v>
      </x:c>
      <x:c r="O1022" s="71" t="str">
        <x:v>app/journey/stamped/stamped-client.tsx</x:v>
      </x:c>
      <x:c r="P1022" s="71" t="str">
        <x:v>copy:182</x:v>
      </x:c>
      <x:c r="Q1022" s="71" t="str">
        <x:v>EN (default / shared)</x:v>
      </x:c>
      <x:c r="R1022" s="71" t="str">
        <x:v>Already clear and direct; suggested wording intentionally keeps the current copy. Duplicate wording: appears 2 times.</x:v>
      </x:c>
      <x:c r="S1022" s="75" t="str">
        <x:v>Not applied — review required</x:v>
      </x:c>
    </x:row>
    <x:row r="1023">
      <x:c r="A1023" s="71" t="str">
        <x:v>MRV-86BDDA0482</x:v>
      </x:c>
      <x:c r="B1023" s="71" t="str">
        <x:v>Travel identity</x:v>
      </x:c>
      <x:c r="C1023" s="71" t="str">
        <x:v>Stamps</x:v>
      </x:c>
      <x:c r="D1023" s="71" t="str">
        <x:v>/journey/stamped/stamped-client</x:v>
      </x:c>
      <x:c r="E1023" s="71" t="str">
        <x:v>closeOnEscape</x:v>
      </x:c>
      <x:c r="F1023" s="71" t="str">
        <x:v>Default</x:v>
      </x:c>
      <x:c r="G1023" s="71" t="str">
        <x:v>Label</x:v>
      </x:c>
      <x:c r="H1023" s="71" t="str">
        <x:v>Escape</x:v>
      </x:c>
      <x:c r="I1023" s="71" t="str">
        <x:v>Escape</x:v>
      </x:c>
      <x:c r="J1023" s="73"/>
      <x:c r="K1023" s="74" t="str">
        <x:f>IF(J1023="",H1023,IF(J1023=I1023,I1023,J1023))</x:f>
        <x:v>Escape</x:v>
      </x:c>
      <x:c r="L1023" s="74" t="str">
        <x:f>IF(J1023="","Keep current",IF(J1023=I1023,"Use suggestion","Custom"))</x:f>
        <x:v>Keep current</x:v>
      </x:c>
      <x:c r="M1023" s="71" t="str">
        <x:v>Pending review</x:v>
      </x:c>
      <x:c r="N1023" s="71" t="str">
        <x:v>Normal</x:v>
      </x:c>
      <x:c r="O1023" s="71" t="str">
        <x:v>app/journey/stamped/stamped-client.tsx</x:v>
      </x:c>
      <x:c r="P1023" s="71" t="str">
        <x:v>closeOnEscape:307</x:v>
      </x:c>
      <x:c r="Q1023" s="71" t="str">
        <x:v>EN (default / shared)</x:v>
      </x:c>
      <x:c r="R1023" s="71" t="str">
        <x:v>Already clear and direct; suggested wording intentionally keeps the current copy. Duplicate wording: appears 4 times.</x:v>
      </x:c>
      <x:c r="S1023" s="75" t="str">
        <x:v>Not applied — review required</x:v>
      </x:c>
    </x:row>
    <x:row r="1024">
      <x:c r="A1024" s="71" t="str">
        <x:v>MRV-36798B8BD9</x:v>
      </x:c>
      <x:c r="B1024" s="71" t="str">
        <x:v>Travel identity</x:v>
      </x:c>
      <x:c r="C1024" s="71" t="str">
        <x:v>Stamps</x:v>
      </x:c>
      <x:c r="D1024" s="71" t="str">
        <x:v>/journey/stamped/stamped-client</x:v>
      </x:c>
      <x:c r="E1024" s="71" t="str">
        <x:v>chooseCountry</x:v>
      </x:c>
      <x:c r="F1024" s="71" t="str">
        <x:v>Default</x:v>
      </x:c>
      <x:c r="G1024" s="71" t="str">
        <x:v>Label</x:v>
      </x:c>
      <x:c r="H1024" s="71" t="str">
        <x:v>(max-width: 900px)</x:v>
      </x:c>
      <x:c r="I1024" s="71" t="str">
        <x:v>(max-width: 900px)</x:v>
      </x:c>
      <x:c r="J1024" s="73"/>
      <x:c r="K1024" s="74" t="str">
        <x:f>IF(J1024="",H1024,IF(J1024=I1024,I1024,J1024))</x:f>
        <x:v>(max-width: 900px)</x:v>
      </x:c>
      <x:c r="L1024" s="74" t="str">
        <x:f>IF(J1024="","Keep current",IF(J1024=I1024,"Use suggestion","Custom"))</x:f>
        <x:v>Keep current</x:v>
      </x:c>
      <x:c r="M1024" s="71" t="str">
        <x:v>Pending review</x:v>
      </x:c>
      <x:c r="N1024" s="71" t="str">
        <x:v>Normal</x:v>
      </x:c>
      <x:c r="O1024" s="71" t="str">
        <x:v>app/journey/stamped/stamped-client.tsx</x:v>
      </x:c>
      <x:c r="P1024" s="71" t="str">
        <x:v>chooseCountry:319</x:v>
      </x:c>
      <x:c r="Q1024" s="71" t="str">
        <x:v>EN (default / shared)</x:v>
      </x:c>
      <x:c r="R1024" s="71" t="str">
        <x:v>Already clear and direct; suggested wording intentionally keeps the current copy.</x:v>
      </x:c>
      <x:c r="S1024" s="75" t="str">
        <x:v>Not applied — review required</x:v>
      </x:c>
    </x:row>
    <x:row r="1025">
      <x:c r="A1025" s="71" t="str">
        <x:v>MRV-A8EF67F042</x:v>
      </x:c>
      <x:c r="B1025" s="71" t="str">
        <x:v>Travel identity</x:v>
      </x:c>
      <x:c r="C1025" s="71" t="str">
        <x:v>Stamps</x:v>
      </x:c>
      <x:c r="D1025" s="71" t="str">
        <x:v>/journey/stamped/stamped-client</x:v>
      </x:c>
      <x:c r="E1025" s="71" t="str">
        <x:v>StampedExperience</x:v>
      </x:c>
      <x:c r="F1025" s="71" t="str">
        <x:v>Accessibility / input support</x:v>
      </x:c>
      <x:c r="G1025" s="71" t="str">
        <x:v>Accessibility label</x:v>
      </x:c>
      <x:c r="H1025" s="71" t="str">
        <x:v>Resumen de sellos</x:v>
      </x:c>
      <x:c r="I1025" s="71" t="str">
        <x:v>Resumen de sellos</x:v>
      </x:c>
      <x:c r="J1025" s="73"/>
      <x:c r="K1025" s="74" t="str">
        <x:f>IF(J1025="",H1025,IF(J1025=I1025,I1025,J1025))</x:f>
        <x:v>Resumen de sellos</x:v>
      </x:c>
      <x:c r="L1025" s="74" t="str">
        <x:f>IF(J1025="","Keep current",IF(J1025=I1025,"Use suggestion","Custom"))</x:f>
        <x:v>Keep current</x:v>
      </x:c>
      <x:c r="M1025" s="71" t="str">
        <x:v>Pending review</x:v>
      </x:c>
      <x:c r="N1025" s="71" t="str">
        <x:v>Medium</x:v>
      </x:c>
      <x:c r="O1025" s="71" t="str">
        <x:v>app/journey/stamped/stamped-client.tsx</x:v>
      </x:c>
      <x:c r="P1025" s="71" t="str">
        <x:v>StampedExperience:389</x:v>
      </x:c>
      <x:c r="Q1025" s="71" t="str">
        <x:v>ES</x:v>
      </x:c>
      <x:c r="R1025" s="71" t="str">
        <x:v>Already clear and direct; suggested wording intentionally keeps the current copy.</x:v>
      </x:c>
      <x:c r="S1025" s="75" t="str">
        <x:v>Not applied — review required</x:v>
      </x:c>
    </x:row>
    <x:row r="1026">
      <x:c r="A1026" s="71" t="str">
        <x:v>MRV-6F2E7DAD5A</x:v>
      </x:c>
      <x:c r="B1026" s="71" t="str">
        <x:v>Travel identity</x:v>
      </x:c>
      <x:c r="C1026" s="71" t="str">
        <x:v>Stamps</x:v>
      </x:c>
      <x:c r="D1026" s="71" t="str">
        <x:v>/journey/stamped/stamped-client</x:v>
      </x:c>
      <x:c r="E1026" s="71" t="str">
        <x:v>StampedExperience</x:v>
      </x:c>
      <x:c r="F1026" s="71" t="str">
        <x:v>Accessibility / input support</x:v>
      </x:c>
      <x:c r="G1026" s="71" t="str">
        <x:v>Accessibility label</x:v>
      </x:c>
      <x:c r="H1026" s="71" t="str">
        <x:v>Stamp summary</x:v>
      </x:c>
      <x:c r="I1026" s="71" t="str">
        <x:v>Stamp summary</x:v>
      </x:c>
      <x:c r="J1026" s="73"/>
      <x:c r="K1026" s="74" t="str">
        <x:f>IF(J1026="",H1026,IF(J1026=I1026,I1026,J1026))</x:f>
        <x:v>Stamp summary</x:v>
      </x:c>
      <x:c r="L1026" s="74" t="str">
        <x:f>IF(J1026="","Keep current",IF(J1026=I1026,"Use suggestion","Custom"))</x:f>
        <x:v>Keep current</x:v>
      </x:c>
      <x:c r="M1026" s="71" t="str">
        <x:v>Pending review</x:v>
      </x:c>
      <x:c r="N1026" s="71" t="str">
        <x:v>Medium</x:v>
      </x:c>
      <x:c r="O1026" s="71" t="str">
        <x:v>app/journey/stamped/stamped-client.tsx</x:v>
      </x:c>
      <x:c r="P1026" s="71" t="str">
        <x:v>StampedExperience:389</x:v>
      </x:c>
      <x:c r="Q1026" s="71" t="str">
        <x:v>EN</x:v>
      </x:c>
      <x:c r="R1026" s="71" t="str">
        <x:v>Already clear and direct; suggested wording intentionally keeps the current copy.</x:v>
      </x:c>
      <x:c r="S1026" s="75" t="str">
        <x:v>Not applied — review required</x:v>
      </x:c>
    </x:row>
    <x:row r="1027">
      <x:c r="A1027" s="71" t="str">
        <x:v>MRV-472CD5B9F7</x:v>
      </x:c>
      <x:c r="B1027" s="71" t="str">
        <x:v>Travel identity</x:v>
      </x:c>
      <x:c r="C1027" s="71" t="str">
        <x:v>Stamps</x:v>
      </x:c>
      <x:c r="D1027" s="71" t="str">
        <x:v>/journey/stamped/stamped-client</x:v>
      </x:c>
      <x:c r="E1027" s="71" t="str">
        <x:v>StampedExperience</x:v>
      </x:c>
      <x:c r="F1027" s="71" t="str">
        <x:v>Default</x:v>
      </x:c>
      <x:c r="G1027" s="71" t="str">
        <x:v>Label</x:v>
      </x:c>
      <x:c r="H1027" s="71" t="str">
        <x:v>Iniciar sesión</x:v>
      </x:c>
      <x:c r="I1027" s="71" t="str">
        <x:v>Iniciar sesión</x:v>
      </x:c>
      <x:c r="J1027" s="73"/>
      <x:c r="K1027" s="74" t="str">
        <x:f>IF(J1027="",H1027,IF(J1027=I1027,I1027,J1027))</x:f>
        <x:v>Iniciar sesión</x:v>
      </x:c>
      <x:c r="L1027" s="74" t="str">
        <x:f>IF(J1027="","Keep current",IF(J1027=I1027,"Use suggestion","Custom"))</x:f>
        <x:v>Keep current</x:v>
      </x:c>
      <x:c r="M1027" s="71" t="str">
        <x:v>Pending review</x:v>
      </x:c>
      <x:c r="N1027" s="71" t="str">
        <x:v>Normal</x:v>
      </x:c>
      <x:c r="O1027" s="71" t="str">
        <x:v>app/journey/stamped/stamped-client.tsx</x:v>
      </x:c>
      <x:c r="P1027" s="71" t="str">
        <x:v>StampedExperience:409</x:v>
      </x:c>
      <x:c r="Q1027" s="71" t="str">
        <x:v>ES</x:v>
      </x:c>
      <x:c r="R1027" s="71" t="str">
        <x:v>Already clear and direct; suggested wording intentionally keeps the current copy. Duplicate wording: appears 3 times.</x:v>
      </x:c>
      <x:c r="S1027" s="75" t="str">
        <x:v>Not applied — review required</x:v>
      </x:c>
    </x:row>
    <x:row r="1028">
      <x:c r="A1028" s="71" t="str">
        <x:v>MRV-2DC73F1004</x:v>
      </x:c>
      <x:c r="B1028" s="71" t="str">
        <x:v>Travel identity</x:v>
      </x:c>
      <x:c r="C1028" s="71" t="str">
        <x:v>Stamps</x:v>
      </x:c>
      <x:c r="D1028" s="71" t="str">
        <x:v>/journey/stamped/stamped-client</x:v>
      </x:c>
      <x:c r="E1028" s="71" t="str">
        <x:v>StampedExperience</x:v>
      </x:c>
      <x:c r="F1028" s="71" t="str">
        <x:v>Default</x:v>
      </x:c>
      <x:c r="G1028" s="71" t="str">
        <x:v>CTA / button</x:v>
      </x:c>
      <x:c r="H1028" s="71" t="str">
        <x:v>Sign in</x:v>
      </x:c>
      <x:c r="I1028" s="71" t="str">
        <x:v>Sign in</x:v>
      </x:c>
      <x:c r="J1028" s="73"/>
      <x:c r="K1028" s="74" t="str">
        <x:f>IF(J1028="",H1028,IF(J1028=I1028,I1028,J1028))</x:f>
        <x:v>Sign in</x:v>
      </x:c>
      <x:c r="L1028" s="74" t="str">
        <x:f>IF(J1028="","Keep current",IF(J1028=I1028,"Use suggestion","Custom"))</x:f>
        <x:v>Keep current</x:v>
      </x:c>
      <x:c r="M1028" s="71" t="str">
        <x:v>Pending review</x:v>
      </x:c>
      <x:c r="N1028" s="71" t="str">
        <x:v>Medium</x:v>
      </x:c>
      <x:c r="O1028" s="71" t="str">
        <x:v>app/journey/stamped/stamped-client.tsx</x:v>
      </x:c>
      <x:c r="P1028" s="71" t="str">
        <x:v>StampedExperience:409</x:v>
      </x:c>
      <x:c r="Q1028" s="71" t="str">
        <x:v>EN</x:v>
      </x:c>
      <x:c r="R1028" s="71" t="str">
        <x:v>Already clear and direct; suggested wording intentionally keeps the current copy. Duplicate wording: appears 5 times.</x:v>
      </x:c>
      <x:c r="S1028" s="75" t="str">
        <x:v>Not applied — review required</x:v>
      </x:c>
    </x:row>
    <x:row r="1029">
      <x:c r="A1029" s="71" t="str">
        <x:v>MRV-4EF4843546</x:v>
      </x:c>
      <x:c r="B1029" s="71" t="str">
        <x:v>Travel identity</x:v>
      </x:c>
      <x:c r="C1029" s="71" t="str">
        <x:v>Stamps</x:v>
      </x:c>
      <x:c r="D1029" s="71" t="str">
        <x:v>/journey/stamped/stamped-client</x:v>
      </x:c>
      <x:c r="E1029" s="71" t="str">
        <x:v>StampedExperience</x:v>
      </x:c>
      <x:c r="F1029" s="71" t="str">
        <x:v>Default</x:v>
      </x:c>
      <x:c r="G1029" s="71" t="str">
        <x:v>Label</x:v>
      </x:c>
      <x:c r="H1029" s="71" t="str">
        <x:v>Cerrar</x:v>
      </x:c>
      <x:c r="I1029" s="71" t="str">
        <x:v>Cerrar</x:v>
      </x:c>
      <x:c r="J1029" s="73"/>
      <x:c r="K1029" s="74" t="str">
        <x:f>IF(J1029="",H1029,IF(J1029=I1029,I1029,J1029))</x:f>
        <x:v>Cerrar</x:v>
      </x:c>
      <x:c r="L1029" s="74" t="str">
        <x:f>IF(J1029="","Keep current",IF(J1029=I1029,"Use suggestion","Custom"))</x:f>
        <x:v>Keep current</x:v>
      </x:c>
      <x:c r="M1029" s="71" t="str">
        <x:v>Pending review</x:v>
      </x:c>
      <x:c r="N1029" s="71" t="str">
        <x:v>Normal</x:v>
      </x:c>
      <x:c r="O1029" s="71" t="str">
        <x:v>app/journey/stamped/stamped-client.tsx</x:v>
      </x:c>
      <x:c r="P1029" s="71" t="str">
        <x:v>StampedExperience:415</x:v>
      </x:c>
      <x:c r="Q1029" s="71" t="str">
        <x:v>ES</x:v>
      </x:c>
      <x:c r="R1029" s="71" t="str">
        <x:v>Already clear and direct; suggested wording intentionally keeps the current copy. Duplicate wording: appears 3 times.</x:v>
      </x:c>
      <x:c r="S1029" s="75" t="str">
        <x:v>Not applied — review required</x:v>
      </x:c>
    </x:row>
    <x:row r="1030">
      <x:c r="A1030" s="71" t="str">
        <x:v>MRV-5DC34DED5B</x:v>
      </x:c>
      <x:c r="B1030" s="71" t="str">
        <x:v>Travel identity</x:v>
      </x:c>
      <x:c r="C1030" s="71" t="str">
        <x:v>Stamps</x:v>
      </x:c>
      <x:c r="D1030" s="71" t="str">
        <x:v>/journey/stamped/stamped-client</x:v>
      </x:c>
      <x:c r="E1030" s="71" t="str">
        <x:v>StampedExperience</x:v>
      </x:c>
      <x:c r="F1030" s="71" t="str">
        <x:v>Default</x:v>
      </x:c>
      <x:c r="G1030" s="71" t="str">
        <x:v>CTA / button</x:v>
      </x:c>
      <x:c r="H1030" s="71" t="str">
        <x:v>Dismiss</x:v>
      </x:c>
      <x:c r="I1030" s="71" t="str">
        <x:v>Dismiss</x:v>
      </x:c>
      <x:c r="J1030" s="73"/>
      <x:c r="K1030" s="74" t="str">
        <x:f>IF(J1030="",H1030,IF(J1030=I1030,I1030,J1030))</x:f>
        <x:v>Dismiss</x:v>
      </x:c>
      <x:c r="L1030" s="74" t="str">
        <x:f>IF(J1030="","Keep current",IF(J1030=I1030,"Use suggestion","Custom"))</x:f>
        <x:v>Keep current</x:v>
      </x:c>
      <x:c r="M1030" s="71" t="str">
        <x:v>Pending review</x:v>
      </x:c>
      <x:c r="N1030" s="71" t="str">
        <x:v>Medium</x:v>
      </x:c>
      <x:c r="O1030" s="71" t="str">
        <x:v>app/journey/stamped/stamped-client.tsx</x:v>
      </x:c>
      <x:c r="P1030" s="71" t="str">
        <x:v>StampedExperience:415</x:v>
      </x:c>
      <x:c r="Q1030" s="71" t="str">
        <x:v>EN</x:v>
      </x:c>
      <x:c r="R1030" s="71" t="str">
        <x:v>Already clear and direct; suggested wording intentionally keeps the current copy. Duplicate wording: appears 2 times.</x:v>
      </x:c>
      <x:c r="S1030" s="75" t="str">
        <x:v>Not applied — review required</x:v>
      </x:c>
    </x:row>
    <x:row r="1031">
      <x:c r="A1031" s="71" t="str">
        <x:v>MRV-7B547B283C</x:v>
      </x:c>
      <x:c r="B1031" s="71" t="str">
        <x:v>Travel identity</x:v>
      </x:c>
      <x:c r="C1031" s="71" t="str">
        <x:v>Stamps</x:v>
      </x:c>
      <x:c r="D1031" s="71" t="str">
        <x:v>/journey/stamped/stamped-client</x:v>
      </x:c>
      <x:c r="E1031" s="71" t="str">
        <x:v>StampedExperience</x:v>
      </x:c>
      <x:c r="F1031" s="71" t="str">
        <x:v>Default</x:v>
      </x:c>
      <x:c r="G1031" s="71" t="str">
        <x:v>Label</x:v>
      </x:c>
      <x:c r="H1031" s="71" t="str">
        <x:v>Cerrar</x:v>
      </x:c>
      <x:c r="I1031" s="71" t="str">
        <x:v>Cerrar</x:v>
      </x:c>
      <x:c r="J1031" s="73"/>
      <x:c r="K1031" s="74" t="str">
        <x:f>IF(J1031="",H1031,IF(J1031=I1031,I1031,J1031))</x:f>
        <x:v>Cerrar</x:v>
      </x:c>
      <x:c r="L1031" s="74" t="str">
        <x:f>IF(J1031="","Keep current",IF(J1031=I1031,"Use suggestion","Custom"))</x:f>
        <x:v>Keep current</x:v>
      </x:c>
      <x:c r="M1031" s="71" t="str">
        <x:v>Pending review</x:v>
      </x:c>
      <x:c r="N1031" s="71" t="str">
        <x:v>Normal</x:v>
      </x:c>
      <x:c r="O1031" s="71" t="str">
        <x:v>app/journey/stamped/stamped-client.tsx</x:v>
      </x:c>
      <x:c r="P1031" s="71" t="str">
        <x:v>StampedExperience:421</x:v>
      </x:c>
      <x:c r="Q1031" s="71" t="str">
        <x:v>ES</x:v>
      </x:c>
      <x:c r="R1031" s="71" t="str">
        <x:v>Already clear and direct; suggested wording intentionally keeps the current copy. Duplicate wording: appears 3 times.</x:v>
      </x:c>
      <x:c r="S1031" s="75" t="str">
        <x:v>Not applied — review required</x:v>
      </x:c>
    </x:row>
    <x:row r="1032">
      <x:c r="A1032" s="71" t="str">
        <x:v>MRV-15A00DAA49</x:v>
      </x:c>
      <x:c r="B1032" s="71" t="str">
        <x:v>Travel identity</x:v>
      </x:c>
      <x:c r="C1032" s="71" t="str">
        <x:v>Stamps</x:v>
      </x:c>
      <x:c r="D1032" s="71" t="str">
        <x:v>/journey/stamped/stamped-client</x:v>
      </x:c>
      <x:c r="E1032" s="71" t="str">
        <x:v>StampedExperience</x:v>
      </x:c>
      <x:c r="F1032" s="71" t="str">
        <x:v>Default</x:v>
      </x:c>
      <x:c r="G1032" s="71" t="str">
        <x:v>CTA / button</x:v>
      </x:c>
      <x:c r="H1032" s="71" t="str">
        <x:v>Dismiss</x:v>
      </x:c>
      <x:c r="I1032" s="71" t="str">
        <x:v>Dismiss</x:v>
      </x:c>
      <x:c r="J1032" s="73"/>
      <x:c r="K1032" s="74" t="str">
        <x:f>IF(J1032="",H1032,IF(J1032=I1032,I1032,J1032))</x:f>
        <x:v>Dismiss</x:v>
      </x:c>
      <x:c r="L1032" s="74" t="str">
        <x:f>IF(J1032="","Keep current",IF(J1032=I1032,"Use suggestion","Custom"))</x:f>
        <x:v>Keep current</x:v>
      </x:c>
      <x:c r="M1032" s="71" t="str">
        <x:v>Pending review</x:v>
      </x:c>
      <x:c r="N1032" s="71" t="str">
        <x:v>Medium</x:v>
      </x:c>
      <x:c r="O1032" s="71" t="str">
        <x:v>app/journey/stamped/stamped-client.tsx</x:v>
      </x:c>
      <x:c r="P1032" s="71" t="str">
        <x:v>StampedExperience:421</x:v>
      </x:c>
      <x:c r="Q1032" s="71" t="str">
        <x:v>EN</x:v>
      </x:c>
      <x:c r="R1032" s="71" t="str">
        <x:v>Already clear and direct; suggested wording intentionally keeps the current copy. Duplicate wording: appears 2 times.</x:v>
      </x:c>
      <x:c r="S1032" s="75" t="str">
        <x:v>Not applied — review required</x:v>
      </x:c>
    </x:row>
    <x:row r="1033">
      <x:c r="A1033" s="71" t="str">
        <x:v>MRV-E969EA4013</x:v>
      </x:c>
      <x:c r="B1033" s="71" t="str">
        <x:v>Travel identity</x:v>
      </x:c>
      <x:c r="C1033" s="71" t="str">
        <x:v>Stamps</x:v>
      </x:c>
      <x:c r="D1033" s="71" t="str">
        <x:v>/journey/stamped/stamped-client</x:v>
      </x:c>
      <x:c r="E1033" s="71" t="str">
        <x:v>StampedExperience</x:v>
      </x:c>
      <x:c r="F1033" s="71" t="str">
        <x:v>Default</x:v>
      </x:c>
      <x:c r="G1033" s="71" t="str">
        <x:v>Label</x:v>
      </x:c>
      <x:c r="H1033" s="71" t="str">
        <x:v>Ahora no</x:v>
      </x:c>
      <x:c r="I1033" s="71" t="str">
        <x:v>Ahora no</x:v>
      </x:c>
      <x:c r="J1033" s="73"/>
      <x:c r="K1033" s="74" t="str">
        <x:f>IF(J1033="",H1033,IF(J1033=I1033,I1033,J1033))</x:f>
        <x:v>Ahora no</x:v>
      </x:c>
      <x:c r="L1033" s="74" t="str">
        <x:f>IF(J1033="","Keep current",IF(J1033=I1033,"Use suggestion","Custom"))</x:f>
        <x:v>Keep current</x:v>
      </x:c>
      <x:c r="M1033" s="71" t="str">
        <x:v>Pending review</x:v>
      </x:c>
      <x:c r="N1033" s="71" t="str">
        <x:v>Normal</x:v>
      </x:c>
      <x:c r="O1033" s="71" t="str">
        <x:v>app/journey/stamped/stamped-client.tsx</x:v>
      </x:c>
      <x:c r="P1033" s="71" t="str">
        <x:v>StampedExperience:428</x:v>
      </x:c>
      <x:c r="Q1033" s="71" t="str">
        <x:v>ES</x:v>
      </x:c>
      <x:c r="R1033" s="71" t="str">
        <x:v>Already clear and direct; suggested wording intentionally keeps the current copy.</x:v>
      </x:c>
      <x:c r="S1033" s="75" t="str">
        <x:v>Not applied — review required</x:v>
      </x:c>
    </x:row>
    <x:row r="1034">
      <x:c r="A1034" s="71" t="str">
        <x:v>MRV-0042E75CDC</x:v>
      </x:c>
      <x:c r="B1034" s="71" t="str">
        <x:v>Travel identity</x:v>
      </x:c>
      <x:c r="C1034" s="71" t="str">
        <x:v>Stamps</x:v>
      </x:c>
      <x:c r="D1034" s="71" t="str">
        <x:v>/journey/stamped/stamped-client</x:v>
      </x:c>
      <x:c r="E1034" s="71" t="str">
        <x:v>StampedExperience</x:v>
      </x:c>
      <x:c r="F1034" s="71" t="str">
        <x:v>Default</x:v>
      </x:c>
      <x:c r="G1034" s="71" t="str">
        <x:v>Label</x:v>
      </x:c>
      <x:c r="H1034" s="71" t="str">
        <x:v>Not now</x:v>
      </x:c>
      <x:c r="I1034" s="71" t="str">
        <x:v>Not now</x:v>
      </x:c>
      <x:c r="J1034" s="73"/>
      <x:c r="K1034" s="74" t="str">
        <x:f>IF(J1034="",H1034,IF(J1034=I1034,I1034,J1034))</x:f>
        <x:v>Not now</x:v>
      </x:c>
      <x:c r="L1034" s="74" t="str">
        <x:f>IF(J1034="","Keep current",IF(J1034=I1034,"Use suggestion","Custom"))</x:f>
        <x:v>Keep current</x:v>
      </x:c>
      <x:c r="M1034" s="71" t="str">
        <x:v>Pending review</x:v>
      </x:c>
      <x:c r="N1034" s="71" t="str">
        <x:v>Normal</x:v>
      </x:c>
      <x:c r="O1034" s="71" t="str">
        <x:v>app/journey/stamped/stamped-client.tsx</x:v>
      </x:c>
      <x:c r="P1034" s="71" t="str">
        <x:v>StampedExperience:428</x:v>
      </x:c>
      <x:c r="Q1034" s="71" t="str">
        <x:v>EN</x:v>
      </x:c>
      <x:c r="R1034" s="71" t="str">
        <x:v>Already clear and direct; suggested wording intentionally keeps the current copy.</x:v>
      </x:c>
      <x:c r="S1034" s="75" t="str">
        <x:v>Not applied — review required</x:v>
      </x:c>
    </x:row>
    <x:row r="1035">
      <x:c r="A1035" s="71" t="str">
        <x:v>MRV-A69B909B82</x:v>
      </x:c>
      <x:c r="B1035" s="71" t="str">
        <x:v>Travel identity</x:v>
      </x:c>
      <x:c r="C1035" s="71" t="str">
        <x:v>Stamps</x:v>
      </x:c>
      <x:c r="D1035" s="71" t="str">
        <x:v>/journey/stamped/stamped-client</x:v>
      </x:c>
      <x:c r="E1035" s="71" t="str">
        <x:v>StampedExperience</x:v>
      </x:c>
      <x:c r="F1035" s="71" t="str">
        <x:v>Accessibility / input support</x:v>
      </x:c>
      <x:c r="G1035" s="71" t="str">
        <x:v>Accessibility label</x:v>
      </x:c>
      <x:c r="H1035" s="71" t="str">
        <x:v>Controles del mapa</x:v>
      </x:c>
      <x:c r="I1035" s="71" t="str">
        <x:v>Controles del mapa</x:v>
      </x:c>
      <x:c r="J1035" s="73"/>
      <x:c r="K1035" s="74" t="str">
        <x:f>IF(J1035="",H1035,IF(J1035=I1035,I1035,J1035))</x:f>
        <x:v>Controles del mapa</x:v>
      </x:c>
      <x:c r="L1035" s="74" t="str">
        <x:f>IF(J1035="","Keep current",IF(J1035=I1035,"Use suggestion","Custom"))</x:f>
        <x:v>Keep current</x:v>
      </x:c>
      <x:c r="M1035" s="71" t="str">
        <x:v>Pending review</x:v>
      </x:c>
      <x:c r="N1035" s="71" t="str">
        <x:v>Medium</x:v>
      </x:c>
      <x:c r="O1035" s="71" t="str">
        <x:v>app/journey/stamped/stamped-client.tsx</x:v>
      </x:c>
      <x:c r="P1035" s="71" t="str">
        <x:v>StampedExperience:435</x:v>
      </x:c>
      <x:c r="Q1035" s="71" t="str">
        <x:v>ES</x:v>
      </x:c>
      <x:c r="R1035" s="71" t="str">
        <x:v>Already clear and direct; suggested wording intentionally keeps the current copy.</x:v>
      </x:c>
      <x:c r="S1035" s="75" t="str">
        <x:v>Not applied — review required</x:v>
      </x:c>
    </x:row>
    <x:row r="1036">
      <x:c r="A1036" s="71" t="str">
        <x:v>MRV-6602D64F20</x:v>
      </x:c>
      <x:c r="B1036" s="71" t="str">
        <x:v>Travel identity</x:v>
      </x:c>
      <x:c r="C1036" s="71" t="str">
        <x:v>Stamps</x:v>
      </x:c>
      <x:c r="D1036" s="71" t="str">
        <x:v>/journey/stamped/stamped-client</x:v>
      </x:c>
      <x:c r="E1036" s="71" t="str">
        <x:v>StampedExperience</x:v>
      </x:c>
      <x:c r="F1036" s="71" t="str">
        <x:v>Accessibility / input support</x:v>
      </x:c>
      <x:c r="G1036" s="71" t="str">
        <x:v>Accessibility label</x:v>
      </x:c>
      <x:c r="H1036" s="71" t="str">
        <x:v>Map controls</x:v>
      </x:c>
      <x:c r="I1036" s="71" t="str">
        <x:v>Map controls</x:v>
      </x:c>
      <x:c r="J1036" s="73"/>
      <x:c r="K1036" s="74" t="str">
        <x:f>IF(J1036="",H1036,IF(J1036=I1036,I1036,J1036))</x:f>
        <x:v>Map controls</x:v>
      </x:c>
      <x:c r="L1036" s="74" t="str">
        <x:f>IF(J1036="","Keep current",IF(J1036=I1036,"Use suggestion","Custom"))</x:f>
        <x:v>Keep current</x:v>
      </x:c>
      <x:c r="M1036" s="71" t="str">
        <x:v>Pending review</x:v>
      </x:c>
      <x:c r="N1036" s="71" t="str">
        <x:v>Medium</x:v>
      </x:c>
      <x:c r="O1036" s="71" t="str">
        <x:v>app/journey/stamped/stamped-client.tsx</x:v>
      </x:c>
      <x:c r="P1036" s="71" t="str">
        <x:v>StampedExperience:435</x:v>
      </x:c>
      <x:c r="Q1036" s="71" t="str">
        <x:v>EN</x:v>
      </x:c>
      <x:c r="R1036" s="71" t="str">
        <x:v>Already clear and direct; suggested wording intentionally keeps the current copy. Duplicate wording: appears 2 times.</x:v>
      </x:c>
      <x:c r="S1036" s="75" t="str">
        <x:v>Not applied — review required</x:v>
      </x:c>
    </x:row>
    <x:row r="1037">
      <x:c r="A1037" s="71" t="str">
        <x:v>MRV-1358037E1E</x:v>
      </x:c>
      <x:c r="B1037" s="71" t="str">
        <x:v>Travel identity</x:v>
      </x:c>
      <x:c r="C1037" s="71" t="str">
        <x:v>Stamps</x:v>
      </x:c>
      <x:c r="D1037" s="71" t="str">
        <x:v>/journey/stamped/stamped-client</x:v>
      </x:c>
      <x:c r="E1037" s="71" t="str">
        <x:v>StampedExperience</x:v>
      </x:c>
      <x:c r="F1037" s="71" t="str">
        <x:v>Accessibility / input support</x:v>
      </x:c>
      <x:c r="G1037" s="71" t="str">
        <x:v>Accessibility label</x:v>
      </x:c>
      <x:c r="H1037" s="71" t="str">
        <x:v>{country.name}: {statusName(countryStatus, labels)}</x:v>
      </x:c>
      <x:c r="I1037" s="71" t="str">
        <x:v>{country.name}: {statusName(countryStatus, labels)}</x:v>
      </x:c>
      <x:c r="J1037" s="73"/>
      <x:c r="K1037" s="74" t="str">
        <x:f>IF(J1037="",H1037,IF(J1037=I1037,I1037,J1037))</x:f>
        <x:v>{country.name}: {statusName(countryStatus, labels)}</x:v>
      </x:c>
      <x:c r="L1037" s="74" t="str">
        <x:f>IF(J1037="","Keep current",IF(J1037=I1037,"Use suggestion","Custom"))</x:f>
        <x:v>Keep current</x:v>
      </x:c>
      <x:c r="M1037" s="71" t="str">
        <x:v>Pending review</x:v>
      </x:c>
      <x:c r="N1037" s="71" t="str">
        <x:v>Medium</x:v>
      </x:c>
      <x:c r="O1037" s="71" t="str">
        <x:v>app/journey/stamped/stamped-client.tsx</x:v>
      </x:c>
      <x:c r="P1037" s="71" t="str">
        <x:v>StampedExperience:463</x:v>
      </x:c>
      <x:c r="Q1037" s="71" t="str">
        <x:v>EN (default / shared)</x:v>
      </x:c>
      <x:c r="R1037" s="71" t="str">
        <x:v>Already clear and direct; suggested wording intentionally keeps the current copy. Dynamic traveller or trip value is represented as a token; user-generated values are excluded.</x:v>
      </x:c>
      <x:c r="S1037" s="75" t="str">
        <x:v>Not applied — review required</x:v>
      </x:c>
    </x:row>
    <x:row r="1038">
      <x:c r="A1038" s="71" t="str">
        <x:v>MRV-DFC1286242</x:v>
      </x:c>
      <x:c r="B1038" s="71" t="str">
        <x:v>Travel identity</x:v>
      </x:c>
      <x:c r="C1038" s="71" t="str">
        <x:v>Stamps</x:v>
      </x:c>
      <x:c r="D1038" s="71" t="str">
        <x:v>/journey/stamped/stamped-client</x:v>
      </x:c>
      <x:c r="E1038" s="71" t="str">
        <x:v>StampedExperience</x:v>
      </x:c>
      <x:c r="F1038" s="71" t="str">
        <x:v>Accessibility / input support</x:v>
      </x:c>
      <x:c r="G1038" s="71" t="str">
        <x:v>Image alternative</x:v>
      </x:c>
      <x:c r="H1038" s="71" t="str">
        <x:v>Recuerdo de {selectedCountry.name}</x:v>
      </x:c>
      <x:c r="I1038" s="71" t="str">
        <x:v>Recuerdo de {selectedCountry.name}</x:v>
      </x:c>
      <x:c r="J1038" s="73"/>
      <x:c r="K1038" s="74" t="str">
        <x:f>IF(J1038="",H1038,IF(J1038=I1038,I1038,J1038))</x:f>
        <x:v>Recuerdo de {selectedCountry.name}</x:v>
      </x:c>
      <x:c r="L1038" s="74" t="str">
        <x:f>IF(J1038="","Keep current",IF(J1038=I1038,"Use suggestion","Custom"))</x:f>
        <x:v>Keep current</x:v>
      </x:c>
      <x:c r="M1038" s="71" t="str">
        <x:v>Pending review</x:v>
      </x:c>
      <x:c r="N1038" s="71" t="str">
        <x:v>Normal</x:v>
      </x:c>
      <x:c r="O1038" s="71" t="str">
        <x:v>app/journey/stamped/stamped-client.tsx</x:v>
      </x:c>
      <x:c r="P1038" s="71" t="str">
        <x:v>StampedExperience:521</x:v>
      </x:c>
      <x:c r="Q1038" s="71" t="str">
        <x:v>ES</x:v>
      </x:c>
      <x:c r="R1038" s="71" t="str">
        <x:v>Already clear and direct; suggested wording intentionally keeps the current copy. Duplicate wording: appears 2 times. Dynamic traveller or trip value is represented as a token; user-generated values are excluded.</x:v>
      </x:c>
      <x:c r="S1038" s="75" t="str">
        <x:v>Not applied — review required</x:v>
      </x:c>
    </x:row>
    <x:row r="1039">
      <x:c r="A1039" s="71" t="str">
        <x:v>MRV-C389E94199</x:v>
      </x:c>
      <x:c r="B1039" s="71" t="str">
        <x:v>Travel identity</x:v>
      </x:c>
      <x:c r="C1039" s="71" t="str">
        <x:v>Stamps</x:v>
      </x:c>
      <x:c r="D1039" s="71" t="str">
        <x:v>/journey/stamped/stamped-client</x:v>
      </x:c>
      <x:c r="E1039" s="71" t="str">
        <x:v>StampedExperience</x:v>
      </x:c>
      <x:c r="F1039" s="71" t="str">
        <x:v>Accessibility / input support</x:v>
      </x:c>
      <x:c r="G1039" s="71" t="str">
        <x:v>Image alternative</x:v>
      </x:c>
      <x:c r="H1039" s="71" t="str">
        <x:v>Memory from {selectedCountry.name}</x:v>
      </x:c>
      <x:c r="I1039" s="71" t="str">
        <x:v>Memory from {selectedCountry.name}</x:v>
      </x:c>
      <x:c r="J1039" s="73"/>
      <x:c r="K1039" s="74" t="str">
        <x:f>IF(J1039="",H1039,IF(J1039=I1039,I1039,J1039))</x:f>
        <x:v>Memory from {selectedCountry.name}</x:v>
      </x:c>
      <x:c r="L1039" s="74" t="str">
        <x:f>IF(J1039="","Keep current",IF(J1039=I1039,"Use suggestion","Custom"))</x:f>
        <x:v>Keep current</x:v>
      </x:c>
      <x:c r="M1039" s="71" t="str">
        <x:v>Pending review</x:v>
      </x:c>
      <x:c r="N1039" s="71" t="str">
        <x:v>Normal</x:v>
      </x:c>
      <x:c r="O1039" s="71" t="str">
        <x:v>app/journey/stamped/stamped-client.tsx</x:v>
      </x:c>
      <x:c r="P1039" s="71" t="str">
        <x:v>StampedExperience:521</x:v>
      </x:c>
      <x:c r="Q1039" s="71" t="str">
        <x:v>EN</x:v>
      </x:c>
      <x:c r="R1039" s="71" t="str">
        <x:v>Already clear and direct; suggested wording intentionally keeps the current copy. Duplicate wording: appears 2 times. Dynamic traveller or trip value is represented as a token; user-generated values are excluded.</x:v>
      </x:c>
      <x:c r="S1039" s="75" t="str">
        <x:v>Not applied — review required</x:v>
      </x:c>
    </x:row>
    <x:row r="1040">
      <x:c r="A1040" s="71" t="str">
        <x:v>MRV-F225335A8A</x:v>
      </x:c>
      <x:c r="B1040" s="71" t="str">
        <x:v>Travel identity</x:v>
      </x:c>
      <x:c r="C1040" s="71" t="str">
        <x:v>Stamps</x:v>
      </x:c>
      <x:c r="D1040" s="71" t="str">
        <x:v>/journey/stamped/stamped-client</x:v>
      </x:c>
      <x:c r="E1040" s="71" t="str">
        <x:v>StampedExperience</x:v>
      </x:c>
      <x:c r="F1040" s="71" t="str">
        <x:v>Default</x:v>
      </x:c>
      <x:c r="G1040" s="71" t="str">
        <x:v>CTA / button</x:v>
      </x:c>
      <x:c r="H1040" s="71" t="str">
        <x:v>Editar</x:v>
      </x:c>
      <x:c r="I1040" s="71" t="str">
        <x:v>Editar</x:v>
      </x:c>
      <x:c r="J1040" s="73"/>
      <x:c r="K1040" s="74" t="str">
        <x:f>IF(J1040="",H1040,IF(J1040=I1040,I1040,J1040))</x:f>
        <x:v>Editar</x:v>
      </x:c>
      <x:c r="L1040" s="74" t="str">
        <x:f>IF(J1040="","Keep current",IF(J1040=I1040,"Use suggestion","Custom"))</x:f>
        <x:v>Keep current</x:v>
      </x:c>
      <x:c r="M1040" s="71" t="str">
        <x:v>Pending review</x:v>
      </x:c>
      <x:c r="N1040" s="71" t="str">
        <x:v>Medium</x:v>
      </x:c>
      <x:c r="O1040" s="71" t="str">
        <x:v>app/journey/stamped/stamped-client.tsx</x:v>
      </x:c>
      <x:c r="P1040" s="71" t="str">
        <x:v>StampedExperience:530</x:v>
      </x:c>
      <x:c r="Q1040" s="71" t="str">
        <x:v>ES</x:v>
      </x:c>
      <x:c r="R1040" s="71" t="str">
        <x:v>Already clear and direct; suggested wording intentionally keeps the current copy. Duplicate wording: appears 4 times.</x:v>
      </x:c>
      <x:c r="S1040" s="75" t="str">
        <x:v>Not applied — review required</x:v>
      </x:c>
    </x:row>
    <x:row r="1041">
      <x:c r="A1041" s="71" t="str">
        <x:v>MRV-B2A8E1B473</x:v>
      </x:c>
      <x:c r="B1041" s="71" t="str">
        <x:v>Travel identity</x:v>
      </x:c>
      <x:c r="C1041" s="71" t="str">
        <x:v>Stamps</x:v>
      </x:c>
      <x:c r="D1041" s="71" t="str">
        <x:v>/journey/stamped/stamped-client</x:v>
      </x:c>
      <x:c r="E1041" s="71" t="str">
        <x:v>StampedExperience</x:v>
      </x:c>
      <x:c r="F1041" s="71" t="str">
        <x:v>Default</x:v>
      </x:c>
      <x:c r="G1041" s="71" t="str">
        <x:v>CTA / button</x:v>
      </x:c>
      <x:c r="H1041" s="71" t="str">
        <x:v>Edit</x:v>
      </x:c>
      <x:c r="I1041" s="71" t="str">
        <x:v>Edit</x:v>
      </x:c>
      <x:c r="J1041" s="73"/>
      <x:c r="K1041" s="74" t="str">
        <x:f>IF(J1041="",H1041,IF(J1041=I1041,I1041,J1041))</x:f>
        <x:v>Edit</x:v>
      </x:c>
      <x:c r="L1041" s="74" t="str">
        <x:f>IF(J1041="","Keep current",IF(J1041=I1041,"Use suggestion","Custom"))</x:f>
        <x:v>Keep current</x:v>
      </x:c>
      <x:c r="M1041" s="71" t="str">
        <x:v>Pending review</x:v>
      </x:c>
      <x:c r="N1041" s="71" t="str">
        <x:v>Medium</x:v>
      </x:c>
      <x:c r="O1041" s="71" t="str">
        <x:v>app/journey/stamped/stamped-client.tsx</x:v>
      </x:c>
      <x:c r="P1041" s="71" t="str">
        <x:v>StampedExperience:530</x:v>
      </x:c>
      <x:c r="Q1041" s="71" t="str">
        <x:v>EN</x:v>
      </x:c>
      <x:c r="R1041" s="71" t="str">
        <x:v>Already clear and direct; suggested wording intentionally keeps the current copy. Duplicate wording: appears 4 times.</x:v>
      </x:c>
      <x:c r="S1041" s="75" t="str">
        <x:v>Not applied — review required</x:v>
      </x:c>
    </x:row>
    <x:row r="1042">
      <x:c r="A1042" s="71" t="str">
        <x:v>MRV-A3984EE807</x:v>
      </x:c>
      <x:c r="B1042" s="71" t="str">
        <x:v>Travel identity</x:v>
      </x:c>
      <x:c r="C1042" s="71" t="str">
        <x:v>Stamps</x:v>
      </x:c>
      <x:c r="D1042" s="71" t="str">
        <x:v>/journey/stamped/stamped-client</x:v>
      </x:c>
      <x:c r="E1042" s="71" t="str">
        <x:v>StampedExperience</x:v>
      </x:c>
      <x:c r="F1042" s="71" t="str">
        <x:v>Accessibility / input support</x:v>
      </x:c>
      <x:c r="G1042" s="71" t="str">
        <x:v>Image alternative</x:v>
      </x:c>
      <x:c r="H1042" s="71" t="str">
        <x:v>Recuerdo de {selectedCountry.name}</x:v>
      </x:c>
      <x:c r="I1042" s="71" t="str">
        <x:v>Recuerdo de {selectedCountry.name}</x:v>
      </x:c>
      <x:c r="J1042" s="73"/>
      <x:c r="K1042" s="74" t="str">
        <x:f>IF(J1042="",H1042,IF(J1042=I1042,I1042,J1042))</x:f>
        <x:v>Recuerdo de {selectedCountry.name}</x:v>
      </x:c>
      <x:c r="L1042" s="74" t="str">
        <x:f>IF(J1042="","Keep current",IF(J1042=I1042,"Use suggestion","Custom"))</x:f>
        <x:v>Keep current</x:v>
      </x:c>
      <x:c r="M1042" s="71" t="str">
        <x:v>Pending review</x:v>
      </x:c>
      <x:c r="N1042" s="71" t="str">
        <x:v>Normal</x:v>
      </x:c>
      <x:c r="O1042" s="71" t="str">
        <x:v>app/journey/stamped/stamped-client.tsx</x:v>
      </x:c>
      <x:c r="P1042" s="71" t="str">
        <x:v>StampedExperience:532</x:v>
      </x:c>
      <x:c r="Q1042" s="71" t="str">
        <x:v>ES</x:v>
      </x:c>
      <x:c r="R1042" s="71" t="str">
        <x:v>Already clear and direct; suggested wording intentionally keeps the current copy. Duplicate wording: appears 2 times. Dynamic traveller or trip value is represented as a token; user-generated values are excluded.</x:v>
      </x:c>
      <x:c r="S1042" s="75" t="str">
        <x:v>Not applied — review required</x:v>
      </x:c>
    </x:row>
    <x:row r="1043">
      <x:c r="A1043" s="71" t="str">
        <x:v>MRV-490FC0CB79</x:v>
      </x:c>
      <x:c r="B1043" s="71" t="str">
        <x:v>Travel identity</x:v>
      </x:c>
      <x:c r="C1043" s="71" t="str">
        <x:v>Stamps</x:v>
      </x:c>
      <x:c r="D1043" s="71" t="str">
        <x:v>/journey/stamped/stamped-client</x:v>
      </x:c>
      <x:c r="E1043" s="71" t="str">
        <x:v>StampedExperience</x:v>
      </x:c>
      <x:c r="F1043" s="71" t="str">
        <x:v>Accessibility / input support</x:v>
      </x:c>
      <x:c r="G1043" s="71" t="str">
        <x:v>Image alternative</x:v>
      </x:c>
      <x:c r="H1043" s="71" t="str">
        <x:v>Memory from {selectedCountry.name}</x:v>
      </x:c>
      <x:c r="I1043" s="71" t="str">
        <x:v>Memory from {selectedCountry.name}</x:v>
      </x:c>
      <x:c r="J1043" s="73"/>
      <x:c r="K1043" s="74" t="str">
        <x:f>IF(J1043="",H1043,IF(J1043=I1043,I1043,J1043))</x:f>
        <x:v>Memory from {selectedCountry.name}</x:v>
      </x:c>
      <x:c r="L1043" s="74" t="str">
        <x:f>IF(J1043="","Keep current",IF(J1043=I1043,"Use suggestion","Custom"))</x:f>
        <x:v>Keep current</x:v>
      </x:c>
      <x:c r="M1043" s="71" t="str">
        <x:v>Pending review</x:v>
      </x:c>
      <x:c r="N1043" s="71" t="str">
        <x:v>Normal</x:v>
      </x:c>
      <x:c r="O1043" s="71" t="str">
        <x:v>app/journey/stamped/stamped-client.tsx</x:v>
      </x:c>
      <x:c r="P1043" s="71" t="str">
        <x:v>StampedExperience:532</x:v>
      </x:c>
      <x:c r="Q1043" s="71" t="str">
        <x:v>EN</x:v>
      </x:c>
      <x:c r="R1043" s="71" t="str">
        <x:v>Already clear and direct; suggested wording intentionally keeps the current copy. Duplicate wording: appears 2 times. Dynamic traveller or trip value is represented as a token; user-generated values are excluded.</x:v>
      </x:c>
      <x:c r="S1043" s="75" t="str">
        <x:v>Not applied — review required</x:v>
      </x:c>
    </x:row>
    <x:row r="1044">
      <x:c r="A1044" s="71" t="str">
        <x:v>MRV-A6EE51C405</x:v>
      </x:c>
      <x:c r="B1044" s="71" t="str">
        <x:v>Travel identity</x:v>
      </x:c>
      <x:c r="C1044" s="71" t="str">
        <x:v>Stamps</x:v>
      </x:c>
      <x:c r="D1044" s="71" t="str">
        <x:v>/journey/stamped/stamped-client</x:v>
      </x:c>
      <x:c r="E1044" s="71" t="str">
        <x:v>statusStorageKey</x:v>
      </x:c>
      <x:c r="F1044" s="71" t="str">
        <x:v>Default</x:v>
      </x:c>
      <x:c r="G1044" s="71" t="str">
        <x:v>Body copy</x:v>
      </x:c>
      <x:c r="H1044" s="71" t="str">
        <x:v>easyt-stamped-{userKey ?? "guest"}</x:v>
      </x:c>
      <x:c r="I1044" s="71" t="str">
        <x:v>easyt-stamped-{userKey ?? "guest"}</x:v>
      </x:c>
      <x:c r="J1044" s="73"/>
      <x:c r="K1044" s="74" t="str">
        <x:f>IF(J1044="",H1044,IF(J1044=I1044,I1044,J1044))</x:f>
        <x:v>easyt-stamped-{userKey ?? "guest"}</x:v>
      </x:c>
      <x:c r="L1044" s="74" t="str">
        <x:f>IF(J1044="","Keep current",IF(J1044=I1044,"Use suggestion","Custom"))</x:f>
        <x:v>Keep current</x:v>
      </x:c>
      <x:c r="M1044" s="71" t="str">
        <x:v>Pending review</x:v>
      </x:c>
      <x:c r="N1044" s="71" t="str">
        <x:v>Normal</x:v>
      </x:c>
      <x:c r="O1044" s="71" t="str">
        <x:v>app/journey/stamped/stamped-client.tsx</x:v>
      </x:c>
      <x:c r="P1044" s="71" t="str">
        <x:v>statusStorageKey:627</x:v>
      </x:c>
      <x:c r="Q1044" s="71" t="str">
        <x:v>EN (default / shared)</x:v>
      </x:c>
      <x:c r="R1044" s="71" t="str">
        <x:v>Already clear and direct; suggested wording intentionally keeps the current copy. Dynamic traveller or trip value is represented as a token; user-generated values are excluded.</x:v>
      </x:c>
      <x:c r="S1044" s="75" t="str">
        <x:v>Not applied — review required</x:v>
      </x:c>
    </x:row>
    <x:row r="1045">
      <x:c r="A1045" s="71" t="str">
        <x:v>MRV-E74277A20C</x:v>
      </x:c>
      <x:c r="B1045" s="71" t="str">
        <x:v>Travel identity</x:v>
      </x:c>
      <x:c r="C1045" s="71" t="str">
        <x:v>Stamps</x:v>
      </x:c>
      <x:c r="D1045" s="71" t="str">
        <x:v>/journey/stamped/stamped-client</x:v>
      </x:c>
      <x:c r="E1045" s="71" t="str">
        <x:v>memoryStorageKey</x:v>
      </x:c>
      <x:c r="F1045" s="71" t="str">
        <x:v>Default</x:v>
      </x:c>
      <x:c r="G1045" s="71" t="str">
        <x:v>Body copy</x:v>
      </x:c>
      <x:c r="H1045" s="71" t="str">
        <x:v>easyt-stamp-memories-{userKey ?? "guest"}</x:v>
      </x:c>
      <x:c r="I1045" s="71" t="str">
        <x:v>easyt-stamp-memories-{userKey ?? "guest"}</x:v>
      </x:c>
      <x:c r="J1045" s="73"/>
      <x:c r="K1045" s="74" t="str">
        <x:f>IF(J1045="",H1045,IF(J1045=I1045,I1045,J1045))</x:f>
        <x:v>easyt-stamp-memories-{userKey ?? "guest"}</x:v>
      </x:c>
      <x:c r="L1045" s="74" t="str">
        <x:f>IF(J1045="","Keep current",IF(J1045=I1045,"Use suggestion","Custom"))</x:f>
        <x:v>Keep current</x:v>
      </x:c>
      <x:c r="M1045" s="71" t="str">
        <x:v>Pending review</x:v>
      </x:c>
      <x:c r="N1045" s="71" t="str">
        <x:v>Normal</x:v>
      </x:c>
      <x:c r="O1045" s="71" t="str">
        <x:v>app/journey/stamped/stamped-client.tsx</x:v>
      </x:c>
      <x:c r="P1045" s="71" t="str">
        <x:v>memoryStorageKey:628</x:v>
      </x:c>
      <x:c r="Q1045" s="71" t="str">
        <x:v>EN (default / shared)</x:v>
      </x:c>
      <x:c r="R1045" s="71" t="str">
        <x:v>Already clear and direct; suggested wording intentionally keeps the current copy. Dynamic traveller or trip value is represented as a token; user-generated values are excluded.</x:v>
      </x:c>
      <x:c r="S1045" s="75" t="str">
        <x:v>Not applied — review required</x:v>
      </x:c>
    </x:row>
    <x:row r="1046">
      <x:c r="A1046" s="71" t="str">
        <x:v>MRV-7DF8080CF9</x:v>
      </x:c>
      <x:c r="B1046" s="71" t="str">
        <x:v>Travel identity</x:v>
      </x:c>
      <x:c r="C1046" s="71" t="str">
        <x:v>Stamps</x:v>
      </x:c>
      <x:c r="D1046" s="71" t="str">
        <x:v>/journey/stamped/stamped-client</x:v>
      </x:c>
      <x:c r="E1046" s="71" t="str">
        <x:v>photoStorageKey</x:v>
      </x:c>
      <x:c r="F1046" s="71" t="str">
        <x:v>Default</x:v>
      </x:c>
      <x:c r="G1046" s="71" t="str">
        <x:v>Body copy</x:v>
      </x:c>
      <x:c r="H1046" s="71" t="str">
        <x:v>easyt-stamp-photos-{userKey ?? "guest"}</x:v>
      </x:c>
      <x:c r="I1046" s="71" t="str">
        <x:v>easyt-stamp-photos-{userKey ?? "guest"}</x:v>
      </x:c>
      <x:c r="J1046" s="73"/>
      <x:c r="K1046" s="74" t="str">
        <x:f>IF(J1046="",H1046,IF(J1046=I1046,I1046,J1046))</x:f>
        <x:v>easyt-stamp-photos-{userKey ?? "guest"}</x:v>
      </x:c>
      <x:c r="L1046" s="74" t="str">
        <x:f>IF(J1046="","Keep current",IF(J1046=I1046,"Use suggestion","Custom"))</x:f>
        <x:v>Keep current</x:v>
      </x:c>
      <x:c r="M1046" s="71" t="str">
        <x:v>Pending review</x:v>
      </x:c>
      <x:c r="N1046" s="71" t="str">
        <x:v>Normal</x:v>
      </x:c>
      <x:c r="O1046" s="71" t="str">
        <x:v>app/journey/stamped/stamped-client.tsx</x:v>
      </x:c>
      <x:c r="P1046" s="71" t="str">
        <x:v>photoStorageKey:629</x:v>
      </x:c>
      <x:c r="Q1046" s="71" t="str">
        <x:v>EN (default / shared)</x:v>
      </x:c>
      <x:c r="R1046" s="71" t="str">
        <x:v>Already clear and direct; suggested wording intentionally keeps the current copy. Dynamic traveller or trip value is represented as a token; user-generated values are excluded.</x:v>
      </x:c>
      <x:c r="S1046" s="75" t="str">
        <x:v>Not applied — review required</x:v>
      </x:c>
    </x:row>
    <x:row r="1047">
      <x:c r="A1047" s="71" t="str">
        <x:v>MRV-38E4B316E3</x:v>
      </x:c>
      <x:c r="B1047" s="71" t="str">
        <x:v>Travel identity</x:v>
      </x:c>
      <x:c r="C1047" s="71" t="str">
        <x:v>Stamps</x:v>
      </x:c>
      <x:c r="D1047" s="71" t="str">
        <x:v>/journey/stamped/stamped-client</x:v>
      </x:c>
      <x:c r="E1047" s="71" t="str">
        <x:v>dirtyStorageKey</x:v>
      </x:c>
      <x:c r="F1047" s="71" t="str">
        <x:v>Default</x:v>
      </x:c>
      <x:c r="G1047" s="71" t="str">
        <x:v>Body copy</x:v>
      </x:c>
      <x:c r="H1047" s="71" t="str">
        <x:v>easyt-stamp-pending-{userKey ?? "guest"}</x:v>
      </x:c>
      <x:c r="I1047" s="71" t="str">
        <x:v>easyt-stamp-pending-{userKey ?? "guest"}</x:v>
      </x:c>
      <x:c r="J1047" s="73"/>
      <x:c r="K1047" s="74" t="str">
        <x:f>IF(J1047="",H1047,IF(J1047=I1047,I1047,J1047))</x:f>
        <x:v>easyt-stamp-pending-{userKey ?? "guest"}</x:v>
      </x:c>
      <x:c r="L1047" s="74" t="str">
        <x:f>IF(J1047="","Keep current",IF(J1047=I1047,"Use suggestion","Custom"))</x:f>
        <x:v>Keep current</x:v>
      </x:c>
      <x:c r="M1047" s="71" t="str">
        <x:v>Pending review</x:v>
      </x:c>
      <x:c r="N1047" s="71" t="str">
        <x:v>Normal</x:v>
      </x:c>
      <x:c r="O1047" s="71" t="str">
        <x:v>app/journey/stamped/stamped-client.tsx</x:v>
      </x:c>
      <x:c r="P1047" s="71" t="str">
        <x:v>dirtyStorageKey:630</x:v>
      </x:c>
      <x:c r="Q1047" s="71" t="str">
        <x:v>EN (default / shared)</x:v>
      </x:c>
      <x:c r="R1047" s="71" t="str">
        <x:v>Already clear and direct; suggested wording intentionally keeps the current copy. Dynamic traveller or trip value is represented as a token; user-generated values are excluded.</x:v>
      </x:c>
      <x:c r="S1047" s="75" t="str">
        <x:v>Not applied — review required</x:v>
      </x:c>
    </x:row>
    <x:row r="1048">
      <x:c r="A1048" s="71" t="str">
        <x:v>MRV-67580B63F1</x:v>
      </x:c>
      <x:c r="B1048" s="71" t="str">
        <x:v>Travel identity</x:v>
      </x:c>
      <x:c r="C1048" s="71" t="str">
        <x:v>Stamps</x:v>
      </x:c>
      <x:c r="D1048" s="71" t="str">
        <x:v>/journey/stamped/stamped-client</x:v>
      </x:c>
      <x:c r="E1048" s="71" t="str">
        <x:v>load</x:v>
      </x:c>
      <x:c r="F1048" s="71" t="str">
        <x:v>Failure / recovery</x:v>
      </x:c>
      <x:c r="G1048" s="71" t="str">
        <x:v>Body copy</x:v>
      </x:c>
      <x:c r="H1048" s="71" t="str">
        <x:v>Unable to load your stamps.</x:v>
      </x:c>
      <x:c r="I1048" s="71" t="str">
        <x:v>Couldn't load your stamps.</x:v>
      </x:c>
      <x:c r="J1048" s="73"/>
      <x:c r="K1048" s="74" t="str">
        <x:f>IF(J1048="",H1048,IF(J1048=I1048,I1048,J1048))</x:f>
        <x:v>Unable to load your stamps.</x:v>
      </x:c>
      <x:c r="L1048" s="74" t="str">
        <x:f>IF(J1048="","Keep current",IF(J1048=I1048,"Use suggestion","Custom"))</x:f>
        <x:v>Keep current</x:v>
      </x:c>
      <x:c r="M1048" s="71" t="str">
        <x:v>Pending review</x:v>
      </x:c>
      <x:c r="N1048" s="71" t="str">
        <x:v>High</x:v>
      </x:c>
      <x:c r="O1048" s="71" t="str">
        <x:v>app/journey/stamped/stamped-client.tsx</x:v>
      </x:c>
      <x:c r="P1048" s="71" t="str">
        <x:v>load:684</x:v>
      </x:c>
      <x:c r="Q1048" s="71" t="str">
        <x:v>EN (default / shared)</x:v>
      </x:c>
      <x:c r="R1048" s="71" t="str">
        <x:v>Simplified for a warmer, more direct action or recovery message.</x:v>
      </x:c>
      <x:c r="S1048" s="75" t="str">
        <x:v>Not applied — review required</x:v>
      </x:c>
    </x:row>
    <x:row r="1049">
      <x:c r="A1049" s="71" t="str">
        <x:v>MRV-67447C8FDB</x:v>
      </x:c>
      <x:c r="B1049" s="71" t="str">
        <x:v>Travel identity</x:v>
      </x:c>
      <x:c r="C1049" s="71" t="str">
        <x:v>Stamps</x:v>
      </x:c>
      <x:c r="D1049" s="71" t="str">
        <x:v>/journey/stamped/stamped-client</x:v>
      </x:c>
      <x:c r="E1049" s="71" t="str">
        <x:v>load</x:v>
      </x:c>
      <x:c r="F1049" s="71" t="str">
        <x:v>Default</x:v>
      </x:c>
      <x:c r="G1049" s="71" t="str">
        <x:v>Body copy</x:v>
      </x:c>
      <x:c r="H1049" s="71" t="str">
        <x:v>Algunos sellos de este dispositivo aún no se han sincronizado con tu cuenta.</x:v>
      </x:c>
      <x:c r="I1049" s="71" t="str">
        <x:v>Algunos sellos de este dispositivo aún no se han sincronizado con tu cuenta.</x:v>
      </x:c>
      <x:c r="J1049" s="73"/>
      <x:c r="K1049" s="74" t="str">
        <x:f>IF(J1049="",H1049,IF(J1049=I1049,I1049,J1049))</x:f>
        <x:v>Algunos sellos de este dispositivo aún no se han sincronizado con tu cuenta.</x:v>
      </x:c>
      <x:c r="L1049" s="74" t="str">
        <x:f>IF(J1049="","Keep current",IF(J1049=I1049,"Use suggestion","Custom"))</x:f>
        <x:v>Keep current</x:v>
      </x:c>
      <x:c r="M1049" s="71" t="str">
        <x:v>Pending review</x:v>
      </x:c>
      <x:c r="N1049" s="71" t="str">
        <x:v>Normal</x:v>
      </x:c>
      <x:c r="O1049" s="71" t="str">
        <x:v>app/journey/stamped/stamped-client.tsx</x:v>
      </x:c>
      <x:c r="P1049" s="71" t="str">
        <x:v>load:730</x:v>
      </x:c>
      <x:c r="Q1049" s="71" t="str">
        <x:v>ES</x:v>
      </x:c>
      <x:c r="R1049" s="71" t="str">
        <x:v>Already clear and direct; suggested wording intentionally keeps the current copy.</x:v>
      </x:c>
      <x:c r="S1049" s="75" t="str">
        <x:v>Not applied — review required</x:v>
      </x:c>
    </x:row>
    <x:row r="1050">
      <x:c r="A1050" s="71" t="str">
        <x:v>MRV-79E8F98FCB</x:v>
      </x:c>
      <x:c r="B1050" s="71" t="str">
        <x:v>Travel identity</x:v>
      </x:c>
      <x:c r="C1050" s="71" t="str">
        <x:v>Stamps</x:v>
      </x:c>
      <x:c r="D1050" s="71" t="str">
        <x:v>/journey/stamped/stamped-client</x:v>
      </x:c>
      <x:c r="E1050" s="71" t="str">
        <x:v>load</x:v>
      </x:c>
      <x:c r="F1050" s="71" t="str">
        <x:v>Default</x:v>
      </x:c>
      <x:c r="G1050" s="71" t="str">
        <x:v>Body copy</x:v>
      </x:c>
      <x:c r="H1050" s="71" t="str">
        <x:v>Some stamps from this device have not synced to your account yet.</x:v>
      </x:c>
      <x:c r="I1050" s="71" t="str">
        <x:v>Some stamps from this device have not synced to your account yet.</x:v>
      </x:c>
      <x:c r="J1050" s="73"/>
      <x:c r="K1050" s="74" t="str">
        <x:f>IF(J1050="",H1050,IF(J1050=I1050,I1050,J1050))</x:f>
        <x:v>Some stamps from this device have not synced to your account yet.</x:v>
      </x:c>
      <x:c r="L1050" s="74" t="str">
        <x:f>IF(J1050="","Keep current",IF(J1050=I1050,"Use suggestion","Custom"))</x:f>
        <x:v>Keep current</x:v>
      </x:c>
      <x:c r="M1050" s="71" t="str">
        <x:v>Pending review</x:v>
      </x:c>
      <x:c r="N1050" s="71" t="str">
        <x:v>Normal</x:v>
      </x:c>
      <x:c r="O1050" s="71" t="str">
        <x:v>app/journey/stamped/stamped-client.tsx</x:v>
      </x:c>
      <x:c r="P1050" s="71" t="str">
        <x:v>load:731</x:v>
      </x:c>
      <x:c r="Q1050" s="71" t="str">
        <x:v>EN</x:v>
      </x:c>
      <x:c r="R1050" s="71" t="str">
        <x:v>Already clear and direct; suggested wording intentionally keeps the current copy.</x:v>
      </x:c>
      <x:c r="S1050" s="75" t="str">
        <x:v>Not applied — review required</x:v>
      </x:c>
    </x:row>
    <x:row r="1051">
      <x:c r="A1051" s="71" t="str">
        <x:v>MRV-3848E69A94</x:v>
      </x:c>
      <x:c r="B1051" s="71" t="str">
        <x:v>Travel identity</x:v>
      </x:c>
      <x:c r="C1051" s="71" t="str">
        <x:v>Stamps</x:v>
      </x:c>
      <x:c r="D1051" s="71" t="str">
        <x:v>/journey/stamped/stamped-client</x:v>
      </x:c>
      <x:c r="E1051" s="71" t="str">
        <x:v>load</x:v>
      </x:c>
      <x:c r="F1051" s="71" t="str">
        <x:v>Failure / recovery</x:v>
      </x:c>
      <x:c r="G1051" s="71" t="str">
        <x:v>Body copy</x:v>
      </x:c>
      <x:c r="H1051" s="71" t="str">
        <x:v>No pudimos cargar tus sellos. Inténtalo de nuevo.</x:v>
      </x:c>
      <x:c r="I1051" s="71" t="str">
        <x:v>No pudimos cargar tus sellos. Inténtalo de nuevo.</x:v>
      </x:c>
      <x:c r="J1051" s="73"/>
      <x:c r="K1051" s="74" t="str">
        <x:f>IF(J1051="",H1051,IF(J1051=I1051,I1051,J1051))</x:f>
        <x:v>No pudimos cargar tus sellos. Inténtalo de nuevo.</x:v>
      </x:c>
      <x:c r="L1051" s="74" t="str">
        <x:f>IF(J1051="","Keep current",IF(J1051=I1051,"Use suggestion","Custom"))</x:f>
        <x:v>Keep current</x:v>
      </x:c>
      <x:c r="M1051" s="71" t="str">
        <x:v>Pending review</x:v>
      </x:c>
      <x:c r="N1051" s="71" t="str">
        <x:v>High</x:v>
      </x:c>
      <x:c r="O1051" s="71" t="str">
        <x:v>app/journey/stamped/stamped-client.tsx</x:v>
      </x:c>
      <x:c r="P1051" s="71" t="str">
        <x:v>load:764</x:v>
      </x:c>
      <x:c r="Q1051" s="71" t="str">
        <x:v>ES</x:v>
      </x:c>
      <x:c r="R1051" s="71" t="str">
        <x:v>Already clear and direct; suggested wording intentionally keeps the current copy.</x:v>
      </x:c>
      <x:c r="S1051" s="75" t="str">
        <x:v>Not applied — review required</x:v>
      </x:c>
    </x:row>
    <x:row r="1052">
      <x:c r="A1052" s="71" t="str">
        <x:v>MRV-F80044EA05</x:v>
      </x:c>
      <x:c r="B1052" s="71" t="str">
        <x:v>Travel identity</x:v>
      </x:c>
      <x:c r="C1052" s="71" t="str">
        <x:v>Stamps</x:v>
      </x:c>
      <x:c r="D1052" s="71" t="str">
        <x:v>/journey/stamped/stamped-client</x:v>
      </x:c>
      <x:c r="E1052" s="71" t="str">
        <x:v>load</x:v>
      </x:c>
      <x:c r="F1052" s="71" t="str">
        <x:v>Failure / recovery</x:v>
      </x:c>
      <x:c r="G1052" s="71" t="str">
        <x:v>Body copy</x:v>
      </x:c>
      <x:c r="H1052" s="71" t="str">
        <x:v>We couldn't load your stamps. Please try again.</x:v>
      </x:c>
      <x:c r="I1052" s="71" t="str">
        <x:v>We couldn't load your stamps. Try again.</x:v>
      </x:c>
      <x:c r="J1052" s="73"/>
      <x:c r="K1052" s="74" t="str">
        <x:f>IF(J1052="",H1052,IF(J1052=I1052,I1052,J1052))</x:f>
        <x:v>We couldn't load your stamps. Please try again.</x:v>
      </x:c>
      <x:c r="L1052" s="74" t="str">
        <x:f>IF(J1052="","Keep current",IF(J1052=I1052,"Use suggestion","Custom"))</x:f>
        <x:v>Keep current</x:v>
      </x:c>
      <x:c r="M1052" s="71" t="str">
        <x:v>Pending review</x:v>
      </x:c>
      <x:c r="N1052" s="71" t="str">
        <x:v>High</x:v>
      </x:c>
      <x:c r="O1052" s="71" t="str">
        <x:v>app/journey/stamped/stamped-client.tsx</x:v>
      </x:c>
      <x:c r="P1052" s="71" t="str">
        <x:v>load:764</x:v>
      </x:c>
      <x:c r="Q1052" s="71" t="str">
        <x:v>EN</x:v>
      </x:c>
      <x:c r="R1052" s="71" t="str">
        <x:v>Simplified for a warmer, more direct action or recovery message.</x:v>
      </x:c>
      <x:c r="S1052" s="75" t="str">
        <x:v>Not applied — review required</x:v>
      </x:c>
    </x:row>
    <x:row r="1053">
      <x:c r="A1053" s="71" t="str">
        <x:v>MRV-ED3FDB539E</x:v>
      </x:c>
      <x:c r="B1053" s="71" t="str">
        <x:v>Travel identity</x:v>
      </x:c>
      <x:c r="C1053" s="71" t="str">
        <x:v>Stamps</x:v>
      </x:c>
      <x:c r="D1053" s="71" t="str">
        <x:v>/journey/stamped/stamped-client</x:v>
      </x:c>
      <x:c r="E1053" s="71" t="str">
        <x:v>StampedClient</x:v>
      </x:c>
      <x:c r="F1053" s="71" t="str">
        <x:v>Failure / recovery</x:v>
      </x:c>
      <x:c r="G1053" s="71" t="str">
        <x:v>Body copy</x:v>
      </x:c>
      <x:c r="H1053" s="71" t="str">
        <x:v>Este dispositivo no pudo guardar el último cambio.</x:v>
      </x:c>
      <x:c r="I1053" s="71" t="str">
        <x:v>Este dispositivo no pudo guardar el último cambio.</x:v>
      </x:c>
      <x:c r="J1053" s="73"/>
      <x:c r="K1053" s="74" t="str">
        <x:f>IF(J1053="",H1053,IF(J1053=I1053,I1053,J1053))</x:f>
        <x:v>Este dispositivo no pudo guardar el último cambio.</x:v>
      </x:c>
      <x:c r="L1053" s="74" t="str">
        <x:f>IF(J1053="","Keep current",IF(J1053=I1053,"Use suggestion","Custom"))</x:f>
        <x:v>Keep current</x:v>
      </x:c>
      <x:c r="M1053" s="71" t="str">
        <x:v>Pending review</x:v>
      </x:c>
      <x:c r="N1053" s="71" t="str">
        <x:v>High</x:v>
      </x:c>
      <x:c r="O1053" s="71" t="str">
        <x:v>app/journey/stamped/stamped-client.tsx</x:v>
      </x:c>
      <x:c r="P1053" s="71" t="str">
        <x:v>StampedClient:783</x:v>
      </x:c>
      <x:c r="Q1053" s="71" t="str">
        <x:v>ES</x:v>
      </x:c>
      <x:c r="R1053" s="71" t="str">
        <x:v>Already clear and direct; suggested wording intentionally keeps the current copy.</x:v>
      </x:c>
      <x:c r="S1053" s="75" t="str">
        <x:v>Not applied — review required</x:v>
      </x:c>
    </x:row>
    <x:row r="1054">
      <x:c r="A1054" s="71" t="str">
        <x:v>MRV-D4FDA30F80</x:v>
      </x:c>
      <x:c r="B1054" s="71" t="str">
        <x:v>Travel identity</x:v>
      </x:c>
      <x:c r="C1054" s="71" t="str">
        <x:v>Stamps</x:v>
      </x:c>
      <x:c r="D1054" s="71" t="str">
        <x:v>/journey/stamped/stamped-client</x:v>
      </x:c>
      <x:c r="E1054" s="71" t="str">
        <x:v>StampedClient</x:v>
      </x:c>
      <x:c r="F1054" s="71" t="str">
        <x:v>Failure / recovery</x:v>
      </x:c>
      <x:c r="G1054" s="71" t="str">
        <x:v>Body copy</x:v>
      </x:c>
      <x:c r="H1054" s="71" t="str">
        <x:v>This device could not save the latest change.</x:v>
      </x:c>
      <x:c r="I1054" s="71" t="str">
        <x:v>This device could not save the latest change.</x:v>
      </x:c>
      <x:c r="J1054" s="73"/>
      <x:c r="K1054" s="74" t="str">
        <x:f>IF(J1054="",H1054,IF(J1054=I1054,I1054,J1054))</x:f>
        <x:v>This device could not save the latest change.</x:v>
      </x:c>
      <x:c r="L1054" s="74" t="str">
        <x:f>IF(J1054="","Keep current",IF(J1054=I1054,"Use suggestion","Custom"))</x:f>
        <x:v>Keep current</x:v>
      </x:c>
      <x:c r="M1054" s="71" t="str">
        <x:v>Pending review</x:v>
      </x:c>
      <x:c r="N1054" s="71" t="str">
        <x:v>High</x:v>
      </x:c>
      <x:c r="O1054" s="71" t="str">
        <x:v>app/journey/stamped/stamped-client.tsx</x:v>
      </x:c>
      <x:c r="P1054" s="71" t="str">
        <x:v>StampedClient:783</x:v>
      </x:c>
      <x:c r="Q1054" s="71" t="str">
        <x:v>EN</x:v>
      </x:c>
      <x:c r="R1054" s="71" t="str">
        <x:v>Already clear and direct; suggested wording intentionally keeps the current copy.</x:v>
      </x:c>
      <x:c r="S1054" s="75" t="str">
        <x:v>Not applied — review required</x:v>
      </x:c>
    </x:row>
    <x:row r="1055">
      <x:c r="A1055" s="71" t="str">
        <x:v>MRV-ABAA4C7BEF</x:v>
      </x:c>
      <x:c r="B1055" s="71" t="str">
        <x:v>Travel identity</x:v>
      </x:c>
      <x:c r="C1055" s="71" t="str">
        <x:v>Stamps</x:v>
      </x:c>
      <x:c r="D1055" s="71" t="str">
        <x:v>/journey/stamped/stamped-client</x:v>
      </x:c>
      <x:c r="E1055" s="71" t="str">
        <x:v>changeStatus</x:v>
      </x:c>
      <x:c r="F1055" s="71" t="str">
        <x:v>Failure / recovery</x:v>
      </x:c>
      <x:c r="G1055" s="71" t="str">
        <x:v>Body copy</x:v>
      </x:c>
      <x:c r="H1055" s="71" t="str">
        <x:v>Unable to save this stamp.</x:v>
      </x:c>
      <x:c r="I1055" s="71" t="str">
        <x:v>Couldn't save this stamp.</x:v>
      </x:c>
      <x:c r="J1055" s="73"/>
      <x:c r="K1055" s="74" t="str">
        <x:f>IF(J1055="",H1055,IF(J1055=I1055,I1055,J1055))</x:f>
        <x:v>Unable to save this stamp.</x:v>
      </x:c>
      <x:c r="L1055" s="74" t="str">
        <x:f>IF(J1055="","Keep current",IF(J1055=I1055,"Use suggestion","Custom"))</x:f>
        <x:v>Keep current</x:v>
      </x:c>
      <x:c r="M1055" s="71" t="str">
        <x:v>Pending review</x:v>
      </x:c>
      <x:c r="N1055" s="71" t="str">
        <x:v>High</x:v>
      </x:c>
      <x:c r="O1055" s="71" t="str">
        <x:v>app/journey/stamped/stamped-client.tsx</x:v>
      </x:c>
      <x:c r="P1055" s="71" t="str">
        <x:v>changeStatus:816</x:v>
      </x:c>
      <x:c r="Q1055" s="71" t="str">
        <x:v>EN (default / shared)</x:v>
      </x:c>
      <x:c r="R1055" s="71" t="str">
        <x:v>Simplified for a warmer, more direct action or recovery message.</x:v>
      </x:c>
      <x:c r="S1055" s="75" t="str">
        <x:v>Not applied — review required</x:v>
      </x:c>
    </x:row>
    <x:row r="1056">
      <x:c r="A1056" s="71" t="str">
        <x:v>MRV-B2DDF3BB36</x:v>
      </x:c>
      <x:c r="B1056" s="71" t="str">
        <x:v>Travel identity</x:v>
      </x:c>
      <x:c r="C1056" s="71" t="str">
        <x:v>Stamps</x:v>
      </x:c>
      <x:c r="D1056" s="71" t="str">
        <x:v>/journey/stamped/stamped-client</x:v>
      </x:c>
      <x:c r="E1056" s="71" t="str">
        <x:v>changeStatus</x:v>
      </x:c>
      <x:c r="F1056" s="71" t="str">
        <x:v>Failure / recovery</x:v>
      </x:c>
      <x:c r="G1056" s="71" t="str">
        <x:v>Body copy</x:v>
      </x:c>
      <x:c r="H1056" s="71" t="str">
        <x:v>No pudimos guardar este sello en tu cuenta. El cambio sigue en este dispositivo.</x:v>
      </x:c>
      <x:c r="I1056" s="71" t="str">
        <x:v>No pudimos guardar este sello en tu cuenta. El cambio sigue en este dispositivo.</x:v>
      </x:c>
      <x:c r="J1056" s="73"/>
      <x:c r="K1056" s="74" t="str">
        <x:f>IF(J1056="",H1056,IF(J1056=I1056,I1056,J1056))</x:f>
        <x:v>No pudimos guardar este sello en tu cuenta. El cambio sigue en este dispositivo.</x:v>
      </x:c>
      <x:c r="L1056" s="74" t="str">
        <x:f>IF(J1056="","Keep current",IF(J1056=I1056,"Use suggestion","Custom"))</x:f>
        <x:v>Keep current</x:v>
      </x:c>
      <x:c r="M1056" s="71" t="str">
        <x:v>Pending review</x:v>
      </x:c>
      <x:c r="N1056" s="71" t="str">
        <x:v>High</x:v>
      </x:c>
      <x:c r="O1056" s="71" t="str">
        <x:v>app/journey/stamped/stamped-client.tsx</x:v>
      </x:c>
      <x:c r="P1056" s="71" t="str">
        <x:v>changeStatus:825</x:v>
      </x:c>
      <x:c r="Q1056" s="71" t="str">
        <x:v>ES</x:v>
      </x:c>
      <x:c r="R1056" s="71" t="str">
        <x:v>Already clear and direct; suggested wording intentionally keeps the current copy.</x:v>
      </x:c>
      <x:c r="S1056" s="75" t="str">
        <x:v>Not applied — review required</x:v>
      </x:c>
    </x:row>
    <x:row r="1057">
      <x:c r="A1057" s="71" t="str">
        <x:v>MRV-8BF151E487</x:v>
      </x:c>
      <x:c r="B1057" s="71" t="str">
        <x:v>Travel identity</x:v>
      </x:c>
      <x:c r="C1057" s="71" t="str">
        <x:v>Stamps</x:v>
      </x:c>
      <x:c r="D1057" s="71" t="str">
        <x:v>/journey/stamped/stamped-client</x:v>
      </x:c>
      <x:c r="E1057" s="71" t="str">
        <x:v>changeStatus</x:v>
      </x:c>
      <x:c r="F1057" s="71" t="str">
        <x:v>Failure / recovery</x:v>
      </x:c>
      <x:c r="G1057" s="71" t="str">
        <x:v>Body copy</x:v>
      </x:c>
      <x:c r="H1057" s="71" t="str">
        <x:v>We could not save this stamp to your account. The change is still on this device.</x:v>
      </x:c>
      <x:c r="I1057" s="71" t="str">
        <x:v>We could not save this stamp to your account. The change is still on this device.</x:v>
      </x:c>
      <x:c r="J1057" s="73"/>
      <x:c r="K1057" s="74" t="str">
        <x:f>IF(J1057="",H1057,IF(J1057=I1057,I1057,J1057))</x:f>
        <x:v>We could not save this stamp to your account. The change is still on this device.</x:v>
      </x:c>
      <x:c r="L1057" s="74" t="str">
        <x:f>IF(J1057="","Keep current",IF(J1057=I1057,"Use suggestion","Custom"))</x:f>
        <x:v>Keep current</x:v>
      </x:c>
      <x:c r="M1057" s="71" t="str">
        <x:v>Pending review</x:v>
      </x:c>
      <x:c r="N1057" s="71" t="str">
        <x:v>High</x:v>
      </x:c>
      <x:c r="O1057" s="71" t="str">
        <x:v>app/journey/stamped/stamped-client.tsx</x:v>
      </x:c>
      <x:c r="P1057" s="71" t="str">
        <x:v>changeStatus:825</x:v>
      </x:c>
      <x:c r="Q1057" s="71" t="str">
        <x:v>EN</x:v>
      </x:c>
      <x:c r="R1057" s="71" t="str">
        <x:v>Already clear and direct; suggested wording intentionally keeps the current copy.</x:v>
      </x:c>
      <x:c r="S1057" s="75" t="str">
        <x:v>Not applied — review required</x:v>
      </x:c>
    </x:row>
    <x:row r="1058">
      <x:c r="A1058" s="71" t="str">
        <x:v>MRV-2295E6B14B</x:v>
      </x:c>
      <x:c r="B1058" s="71" t="str">
        <x:v>Travel identity</x:v>
      </x:c>
      <x:c r="C1058" s="71" t="str">
        <x:v>Stamps</x:v>
      </x:c>
      <x:c r="D1058" s="71" t="str">
        <x:v>/journey/stamped/stamped-client</x:v>
      </x:c>
      <x:c r="E1058" s="71" t="str">
        <x:v>saveMemory</x:v>
      </x:c>
      <x:c r="F1058" s="71" t="str">
        <x:v>Failure / recovery</x:v>
      </x:c>
      <x:c r="G1058" s="71" t="str">
        <x:v>Body copy</x:v>
      </x:c>
      <x:c r="H1058" s="71" t="str">
        <x:v>Unable to save this memory.</x:v>
      </x:c>
      <x:c r="I1058" s="71" t="str">
        <x:v>Couldn't save this memory.</x:v>
      </x:c>
      <x:c r="J1058" s="73"/>
      <x:c r="K1058" s="74" t="str">
        <x:f>IF(J1058="",H1058,IF(J1058=I1058,I1058,J1058))</x:f>
        <x:v>Unable to save this memory.</x:v>
      </x:c>
      <x:c r="L1058" s="74" t="str">
        <x:f>IF(J1058="","Keep current",IF(J1058=I1058,"Use suggestion","Custom"))</x:f>
        <x:v>Keep current</x:v>
      </x:c>
      <x:c r="M1058" s="71" t="str">
        <x:v>Pending review</x:v>
      </x:c>
      <x:c r="N1058" s="71" t="str">
        <x:v>High</x:v>
      </x:c>
      <x:c r="O1058" s="71" t="str">
        <x:v>app/journey/stamped/stamped-client.tsx</x:v>
      </x:c>
      <x:c r="P1058" s="71" t="str">
        <x:v>saveMemory:849</x:v>
      </x:c>
      <x:c r="Q1058" s="71" t="str">
        <x:v>EN (default / shared)</x:v>
      </x:c>
      <x:c r="R1058" s="71" t="str">
        <x:v>Simplified for a warmer, more direct action or recovery message.</x:v>
      </x:c>
      <x:c r="S1058" s="75" t="str">
        <x:v>Not applied — review required</x:v>
      </x:c>
    </x:row>
    <x:row r="1059">
      <x:c r="A1059" s="71" t="str">
        <x:v>MRV-CF4180A2E7</x:v>
      </x:c>
      <x:c r="B1059" s="71" t="str">
        <x:v>Travel identity</x:v>
      </x:c>
      <x:c r="C1059" s="71" t="str">
        <x:v>Stamps</x:v>
      </x:c>
      <x:c r="D1059" s="71" t="str">
        <x:v>/journey/stamped/stamped-client</x:v>
      </x:c>
      <x:c r="E1059" s="71" t="str">
        <x:v>saveMemory</x:v>
      </x:c>
      <x:c r="F1059" s="71" t="str">
        <x:v>Failure / recovery</x:v>
      </x:c>
      <x:c r="G1059" s="71" t="str">
        <x:v>Body copy</x:v>
      </x:c>
      <x:c r="H1059" s="71" t="str">
        <x:v>No pudimos guardar este recuerdo en tu cuenta. El cambio sigue en este dispositivo.</x:v>
      </x:c>
      <x:c r="I1059" s="71" t="str">
        <x:v>No pudimos guardar este recuerdo en tu cuenta. El cambio sigue en este dispositivo.</x:v>
      </x:c>
      <x:c r="J1059" s="73"/>
      <x:c r="K1059" s="74" t="str">
        <x:f>IF(J1059="",H1059,IF(J1059=I1059,I1059,J1059))</x:f>
        <x:v>No pudimos guardar este recuerdo en tu cuenta. El cambio sigue en este dispositivo.</x:v>
      </x:c>
      <x:c r="L1059" s="74" t="str">
        <x:f>IF(J1059="","Keep current",IF(J1059=I1059,"Use suggestion","Custom"))</x:f>
        <x:v>Keep current</x:v>
      </x:c>
      <x:c r="M1059" s="71" t="str">
        <x:v>Pending review</x:v>
      </x:c>
      <x:c r="N1059" s="71" t="str">
        <x:v>High</x:v>
      </x:c>
      <x:c r="O1059" s="71" t="str">
        <x:v>app/journey/stamped/stamped-client.tsx</x:v>
      </x:c>
      <x:c r="P1059" s="71" t="str">
        <x:v>saveMemory:854</x:v>
      </x:c>
      <x:c r="Q1059" s="71" t="str">
        <x:v>ES</x:v>
      </x:c>
      <x:c r="R1059" s="71" t="str">
        <x:v>Already clear and direct; suggested wording intentionally keeps the current copy.</x:v>
      </x:c>
      <x:c r="S1059" s="75" t="str">
        <x:v>Not applied — review required</x:v>
      </x:c>
    </x:row>
    <x:row r="1060">
      <x:c r="A1060" s="71" t="str">
        <x:v>MRV-E05FDD9D72</x:v>
      </x:c>
      <x:c r="B1060" s="71" t="str">
        <x:v>Travel identity</x:v>
      </x:c>
      <x:c r="C1060" s="71" t="str">
        <x:v>Stamps</x:v>
      </x:c>
      <x:c r="D1060" s="71" t="str">
        <x:v>/journey/stamped/stamped-client</x:v>
      </x:c>
      <x:c r="E1060" s="71" t="str">
        <x:v>saveMemory</x:v>
      </x:c>
      <x:c r="F1060" s="71" t="str">
        <x:v>Failure / recovery</x:v>
      </x:c>
      <x:c r="G1060" s="71" t="str">
        <x:v>Body copy</x:v>
      </x:c>
      <x:c r="H1060" s="71" t="str">
        <x:v>We could not save this memory to your account. The change is still on this device.</x:v>
      </x:c>
      <x:c r="I1060" s="71" t="str">
        <x:v>We could not save this memory to your account. The change is still on this device.</x:v>
      </x:c>
      <x:c r="J1060" s="73"/>
      <x:c r="K1060" s="74" t="str">
        <x:f>IF(J1060="",H1060,IF(J1060=I1060,I1060,J1060))</x:f>
        <x:v>We could not save this memory to your account. The change is still on this device.</x:v>
      </x:c>
      <x:c r="L1060" s="74" t="str">
        <x:f>IF(J1060="","Keep current",IF(J1060=I1060,"Use suggestion","Custom"))</x:f>
        <x:v>Keep current</x:v>
      </x:c>
      <x:c r="M1060" s="71" t="str">
        <x:v>Pending review</x:v>
      </x:c>
      <x:c r="N1060" s="71" t="str">
        <x:v>High</x:v>
      </x:c>
      <x:c r="O1060" s="71" t="str">
        <x:v>app/journey/stamped/stamped-client.tsx</x:v>
      </x:c>
      <x:c r="P1060" s="71" t="str">
        <x:v>saveMemory:854</x:v>
      </x:c>
      <x:c r="Q1060" s="71" t="str">
        <x:v>EN</x:v>
      </x:c>
      <x:c r="R1060" s="71" t="str">
        <x:v>Already clear and direct; suggested wording intentionally keeps the current copy.</x:v>
      </x:c>
      <x:c r="S1060" s="75" t="str">
        <x:v>Not applied — review required</x:v>
      </x:c>
    </x:row>
    <x:row r="1061">
      <x:c r="A1061" s="71" t="str">
        <x:v>MRV-590136942A</x:v>
      </x:c>
      <x:c r="B1061" s="71" t="str">
        <x:v>Legacy</x:v>
      </x:c>
      <x:c r="C1061" s="71" t="str">
        <x:v>Trip mode</x:v>
      </x:c>
      <x:c r="D1061" s="71" t="str">
        <x:v>/journey/trip</x:v>
      </x:c>
      <x:c r="E1061" s="71" t="str">
        <x:v>metadata</x:v>
      </x:c>
      <x:c r="F1061" s="71" t="str">
        <x:v>Default</x:v>
      </x:c>
      <x:c r="G1061" s="71" t="str">
        <x:v>Tooltip</x:v>
      </x:c>
      <x:c r="H1061" s="71" t="str">
        <x:v>Trip mode · Morrovia</x:v>
      </x:c>
      <x:c r="I1061" s="71" t="str">
        <x:v>Trip mode · Morrovia</x:v>
      </x:c>
      <x:c r="J1061" s="73"/>
      <x:c r="K1061" s="74" t="str">
        <x:f>IF(J1061="",H1061,IF(J1061=I1061,I1061,J1061))</x:f>
        <x:v>Trip mode · Morrovia</x:v>
      </x:c>
      <x:c r="L1061" s="74" t="str">
        <x:f>IF(J1061="","Keep current",IF(J1061=I1061,"Use suggestion","Custom"))</x:f>
        <x:v>Keep current</x:v>
      </x:c>
      <x:c r="M1061" s="71" t="str">
        <x:v>Pending review</x:v>
      </x:c>
      <x:c r="N1061" s="71" t="str">
        <x:v>Normal</x:v>
      </x:c>
      <x:c r="O1061" s="71" t="str">
        <x:v>app/journey/trip/page.tsx</x:v>
      </x:c>
      <x:c r="P1061" s="71" t="str">
        <x:v>metadata:4</x:v>
      </x:c>
      <x:c r="Q1061" s="71" t="str">
        <x:v>EN (default / shared)</x:v>
      </x:c>
      <x:c r="R1061" s="71" t="str">
        <x:v>Already clear and direct; suggested wording intentionally keeps the current copy. Terminology watch: ‘trip’ and ‘journey’ both describe the same plan. Terminology watch: ‘stops’, ‘destinations’ and ‘places’ overlap.</x:v>
      </x:c>
      <x:c r="S1061" s="75" t="str">
        <x:v>Not applied — review required</x:v>
      </x:c>
    </x:row>
    <x:row r="1062">
      <x:c r="A1062" s="71" t="str">
        <x:v>MRV-66D4C853A7</x:v>
      </x:c>
      <x:c r="B1062" s="71" t="str">
        <x:v>Legacy</x:v>
      </x:c>
      <x:c r="C1062" s="71" t="str">
        <x:v>Trip mode</x:v>
      </x:c>
      <x:c r="D1062" s="71" t="str">
        <x:v>/journey/trip/trip-mode-client</x:v>
      </x:c>
      <x:c r="E1062" s="71" t="str">
        <x:v>defaultChecklist</x:v>
      </x:c>
      <x:c r="F1062" s="71" t="str">
        <x:v>Default</x:v>
      </x:c>
      <x:c r="G1062" s="71" t="str">
        <x:v>CTA / button</x:v>
      </x:c>
      <x:c r="H1062" s="71" t="str">
        <x:v>Check passport and entry requirements</x:v>
      </x:c>
      <x:c r="I1062" s="71" t="str">
        <x:v>Check passport and entry requirements</x:v>
      </x:c>
      <x:c r="J1062" s="73"/>
      <x:c r="K1062" s="74" t="str">
        <x:f>IF(J1062="",H1062,IF(J1062=I1062,I1062,J1062))</x:f>
        <x:v>Check passport and entry requirements</x:v>
      </x:c>
      <x:c r="L1062" s="74" t="str">
        <x:f>IF(J1062="","Keep current",IF(J1062=I1062,"Use suggestion","Custom"))</x:f>
        <x:v>Keep current</x:v>
      </x:c>
      <x:c r="M1062" s="71" t="str">
        <x:v>Pending review</x:v>
      </x:c>
      <x:c r="N1062" s="71" t="str">
        <x:v>High</x:v>
      </x:c>
      <x:c r="O1062" s="71" t="str">
        <x:v>app/journey/trip/trip-mode-client.tsx</x:v>
      </x:c>
      <x:c r="P1062" s="71" t="str">
        <x:v>defaultChecklist:33</x:v>
      </x:c>
      <x:c r="Q1062" s="71" t="str">
        <x:v>EN (default / shared)</x:v>
      </x:c>
      <x:c r="R1062" s="71" t="str">
        <x:v>Already clear and direct; suggested wording intentionally keeps the current copy.</x:v>
      </x:c>
      <x:c r="S1062" s="75" t="str">
        <x:v>Not applied — review required</x:v>
      </x:c>
    </x:row>
    <x:row r="1063">
      <x:c r="A1063" s="71" t="str">
        <x:v>MRV-15B672E3CC</x:v>
      </x:c>
      <x:c r="B1063" s="71" t="str">
        <x:v>Legacy</x:v>
      </x:c>
      <x:c r="C1063" s="71" t="str">
        <x:v>Trip mode</x:v>
      </x:c>
      <x:c r="D1063" s="71" t="str">
        <x:v>/journey/trip/trip-mode-client</x:v>
      </x:c>
      <x:c r="E1063" s="71" t="str">
        <x:v>defaultChecklist</x:v>
      </x:c>
      <x:c r="F1063" s="71" t="str">
        <x:v>Default</x:v>
      </x:c>
      <x:c r="G1063" s="71" t="str">
        <x:v>CTA / button</x:v>
      </x:c>
      <x:c r="H1063" s="71" t="str">
        <x:v>Save your arrival address and first-night details</x:v>
      </x:c>
      <x:c r="I1063" s="71" t="str">
        <x:v>Save your arrival address and first-night details</x:v>
      </x:c>
      <x:c r="J1063" s="73"/>
      <x:c r="K1063" s="74" t="str">
        <x:f>IF(J1063="",H1063,IF(J1063=I1063,I1063,J1063))</x:f>
        <x:v>Save your arrival address and first-night details</x:v>
      </x:c>
      <x:c r="L1063" s="74" t="str">
        <x:f>IF(J1063="","Keep current",IF(J1063=I1063,"Use suggestion","Custom"))</x:f>
        <x:v>Keep current</x:v>
      </x:c>
      <x:c r="M1063" s="71" t="str">
        <x:v>Pending review</x:v>
      </x:c>
      <x:c r="N1063" s="71" t="str">
        <x:v>Medium</x:v>
      </x:c>
      <x:c r="O1063" s="71" t="str">
        <x:v>app/journey/trip/trip-mode-client.tsx</x:v>
      </x:c>
      <x:c r="P1063" s="71" t="str">
        <x:v>defaultChecklist:34</x:v>
      </x:c>
      <x:c r="Q1063" s="71" t="str">
        <x:v>EN (default / shared)</x:v>
      </x:c>
      <x:c r="R1063" s="71" t="str">
        <x:v>Already clear and direct; suggested wording intentionally keeps the current copy.</x:v>
      </x:c>
      <x:c r="S1063" s="75" t="str">
        <x:v>Not applied — review required</x:v>
      </x:c>
    </x:row>
    <x:row r="1064">
      <x:c r="A1064" s="71" t="str">
        <x:v>MRV-A09D9BABC2</x:v>
      </x:c>
      <x:c r="B1064" s="71" t="str">
        <x:v>Legacy</x:v>
      </x:c>
      <x:c r="C1064" s="71" t="str">
        <x:v>Trip mode</x:v>
      </x:c>
      <x:c r="D1064" s="71" t="str">
        <x:v>/journey/trip/trip-mode-client</x:v>
      </x:c>
      <x:c r="E1064" s="71" t="str">
        <x:v>defaultChecklist</x:v>
      </x:c>
      <x:c r="F1064" s="71" t="str">
        <x:v>Default</x:v>
      </x:c>
      <x:c r="G1064" s="71" t="str">
        <x:v>Body copy</x:v>
      </x:c>
      <x:c r="H1064" s="71" t="str">
        <x:v>Set up a payment method for the trip</x:v>
      </x:c>
      <x:c r="I1064" s="71" t="str">
        <x:v>Set up a payment method for the trip</x:v>
      </x:c>
      <x:c r="J1064" s="73"/>
      <x:c r="K1064" s="74" t="str">
        <x:f>IF(J1064="",H1064,IF(J1064=I1064,I1064,J1064))</x:f>
        <x:v>Set up a payment method for the trip</x:v>
      </x:c>
      <x:c r="L1064" s="74" t="str">
        <x:f>IF(J1064="","Keep current",IF(J1064=I1064,"Use suggestion","Custom"))</x:f>
        <x:v>Keep current</x:v>
      </x:c>
      <x:c r="M1064" s="71" t="str">
        <x:v>Pending review</x:v>
      </x:c>
      <x:c r="N1064" s="71" t="str">
        <x:v>Normal</x:v>
      </x:c>
      <x:c r="O1064" s="71" t="str">
        <x:v>app/journey/trip/trip-mode-client.tsx</x:v>
      </x:c>
      <x:c r="P1064" s="71" t="str">
        <x:v>defaultChecklist:35</x:v>
      </x:c>
      <x:c r="Q1064" s="71" t="str">
        <x:v>EN (default / shared)</x:v>
      </x:c>
      <x:c r="R1064" s="71" t="str">
        <x:v>Already clear and direct; suggested wording intentionally keeps the current copy. Terminology watch: ‘trip’ and ‘journey’ both describe the same plan. Terminology watch: ‘stops’, ‘destinations’ and ‘places’ overlap.</x:v>
      </x:c>
      <x:c r="S1064" s="75" t="str">
        <x:v>Not applied — review required</x:v>
      </x:c>
    </x:row>
    <x:row r="1065">
      <x:c r="A1065" s="71" t="str">
        <x:v>MRV-7DD3B3DC19</x:v>
      </x:c>
      <x:c r="B1065" s="71" t="str">
        <x:v>Legacy</x:v>
      </x:c>
      <x:c r="C1065" s="71" t="str">
        <x:v>Trip mode</x:v>
      </x:c>
      <x:c r="D1065" s="71" t="str">
        <x:v>/journey/trip/trip-mode-client</x:v>
      </x:c>
      <x:c r="E1065" s="71" t="str">
        <x:v>defaultChecklist</x:v>
      </x:c>
      <x:c r="F1065" s="71" t="str">
        <x:v>Default</x:v>
      </x:c>
      <x:c r="G1065" s="71" t="str">
        <x:v>CTA / button</x:v>
      </x:c>
      <x:c r="H1065" s="71" t="str">
        <x:v>Open this trip once before you leave</x:v>
      </x:c>
      <x:c r="I1065" s="71" t="str">
        <x:v>Open this trip once before you leave</x:v>
      </x:c>
      <x:c r="J1065" s="73"/>
      <x:c r="K1065" s="74" t="str">
        <x:f>IF(J1065="",H1065,IF(J1065=I1065,I1065,J1065))</x:f>
        <x:v>Open this trip once before you leave</x:v>
      </x:c>
      <x:c r="L1065" s="74" t="str">
        <x:f>IF(J1065="","Keep current",IF(J1065=I1065,"Use suggestion","Custom"))</x:f>
        <x:v>Keep current</x:v>
      </x:c>
      <x:c r="M1065" s="71" t="str">
        <x:v>Pending review</x:v>
      </x:c>
      <x:c r="N1065" s="71" t="str">
        <x:v>Medium</x:v>
      </x:c>
      <x:c r="O1065" s="71" t="str">
        <x:v>app/journey/trip/trip-mode-client.tsx</x:v>
      </x:c>
      <x:c r="P1065" s="71" t="str">
        <x:v>defaultChecklist:36</x:v>
      </x:c>
      <x:c r="Q1065" s="71" t="str">
        <x:v>EN (default / shared)</x:v>
      </x:c>
      <x:c r="R1065" s="71" t="str">
        <x:v>Already clear and direct; suggested wording intentionally keeps the current copy. Terminology watch: ‘trip’ and ‘journey’ both describe the same plan. Terminology watch: ‘stops’, ‘destinations’ and ‘places’ overlap.</x:v>
      </x:c>
      <x:c r="S1065" s="75" t="str">
        <x:v>Not applied — review required</x:v>
      </x:c>
    </x:row>
    <x:row r="1066">
      <x:c r="A1066" s="71" t="str">
        <x:v>MRV-029D05E894</x:v>
      </x:c>
      <x:c r="B1066" s="71" t="str">
        <x:v>Legacy</x:v>
      </x:c>
      <x:c r="C1066" s="71" t="str">
        <x:v>Trip mode</x:v>
      </x:c>
      <x:c r="D1066" s="71" t="str">
        <x:v>/journey/trip/trip-mode-client</x:v>
      </x:c>
      <x:c r="E1066" s="71" t="str">
        <x:v>dayLabel</x:v>
      </x:c>
      <x:c r="F1066" s="71" t="str">
        <x:v>Default</x:v>
      </x:c>
      <x:c r="G1066" s="71" t="str">
        <x:v>Label</x:v>
      </x:c>
      <x:c r="H1066" s="71" t="str">
        <x:v>Date to confirm</x:v>
      </x:c>
      <x:c r="I1066" s="71" t="str">
        <x:v>Date to confirm</x:v>
      </x:c>
      <x:c r="J1066" s="73"/>
      <x:c r="K1066" s="74" t="str">
        <x:f>IF(J1066="",H1066,IF(J1066=I1066,I1066,J1066))</x:f>
        <x:v>Date to confirm</x:v>
      </x:c>
      <x:c r="L1066" s="74" t="str">
        <x:f>IF(J1066="","Keep current",IF(J1066=I1066,"Use suggestion","Custom"))</x:f>
        <x:v>Keep current</x:v>
      </x:c>
      <x:c r="M1066" s="71" t="str">
        <x:v>Pending review</x:v>
      </x:c>
      <x:c r="N1066" s="71" t="str">
        <x:v>Normal</x:v>
      </x:c>
      <x:c r="O1066" s="71" t="str">
        <x:v>app/journey/trip/trip-mode-client.tsx</x:v>
      </x:c>
      <x:c r="P1066" s="71" t="str">
        <x:v>dayLabel:40</x:v>
      </x:c>
      <x:c r="Q1066" s="71" t="str">
        <x:v>EN (default / shared)</x:v>
      </x:c>
      <x:c r="R1066" s="71" t="str">
        <x:v>Already clear and direct; suggested wording intentionally keeps the current copy. Duplicate wording: appears 3 times.</x:v>
      </x:c>
      <x:c r="S1066" s="75" t="str">
        <x:v>Not applied — review required</x:v>
      </x:c>
    </x:row>
    <x:row r="1067">
      <x:c r="A1067" s="71" t="str">
        <x:v>MRV-AEF4BC5AB3</x:v>
      </x:c>
      <x:c r="B1067" s="71" t="str">
        <x:v>Legacy</x:v>
      </x:c>
      <x:c r="C1067" s="71" t="str">
        <x:v>Trip mode</x:v>
      </x:c>
      <x:c r="D1067" s="71" t="str">
        <x:v>/journey/trip/trip-mode-client</x:v>
      </x:c>
      <x:c r="E1067" s="71" t="str">
        <x:v>lifecycleLabel</x:v>
      </x:c>
      <x:c r="F1067" s="71" t="str">
        <x:v>Default</x:v>
      </x:c>
      <x:c r="G1067" s="71" t="str">
        <x:v>Body copy</x:v>
      </x:c>
      <x:c r="H1067" s="71" t="str">
        <x:v>{lifecycle.daysUntilStart} days until departure</x:v>
      </x:c>
      <x:c r="I1067" s="71" t="str">
        <x:v>{lifecycle.daysUntilStart} days until departure</x:v>
      </x:c>
      <x:c r="J1067" s="73"/>
      <x:c r="K1067" s="74" t="str">
        <x:f>IF(J1067="",H1067,IF(J1067=I1067,I1067,J1067))</x:f>
        <x:v>{lifecycle.daysUntilStart} days until departure</x:v>
      </x:c>
      <x:c r="L1067" s="74" t="str">
        <x:f>IF(J1067="","Keep current",IF(J1067=I1067,"Use suggestion","Custom"))</x:f>
        <x:v>Keep current</x:v>
      </x:c>
      <x:c r="M1067" s="71" t="str">
        <x:v>Pending review</x:v>
      </x:c>
      <x:c r="N1067" s="71" t="str">
        <x:v>Normal</x:v>
      </x:c>
      <x:c r="O1067" s="71" t="str">
        <x:v>app/journey/trip/trip-mode-client.tsx</x:v>
      </x:c>
      <x:c r="P1067" s="71" t="str">
        <x:v>lifecycleLabel:45</x:v>
      </x:c>
      <x:c r="Q1067" s="71" t="str">
        <x:v>EN (default / shared)</x:v>
      </x:c>
      <x:c r="R1067" s="71" t="str">
        <x:v>Already clear and direct; suggested wording intentionally keeps the current copy. Dynamic traveller or trip value is represented as a token; user-generated values are excluded.</x:v>
      </x:c>
      <x:c r="S1067" s="75" t="str">
        <x:v>Not applied — review required</x:v>
      </x:c>
    </x:row>
    <x:row r="1068">
      <x:c r="A1068" s="71" t="str">
        <x:v>MRV-E2620B0EE9</x:v>
      </x:c>
      <x:c r="B1068" s="71" t="str">
        <x:v>Legacy</x:v>
      </x:c>
      <x:c r="C1068" s="71" t="str">
        <x:v>Trip mode</x:v>
      </x:c>
      <x:c r="D1068" s="71" t="str">
        <x:v>/journey/trip/trip-mode-client</x:v>
      </x:c>
      <x:c r="E1068" s="71" t="str">
        <x:v>lifecycleLabel</x:v>
      </x:c>
      <x:c r="F1068" s="71" t="str">
        <x:v>Default</x:v>
      </x:c>
      <x:c r="G1068" s="71" t="str">
        <x:v>Label</x:v>
      </x:c>
      <x:c r="H1068" s="71" t="str">
        <x:v>Your trip starts today</x:v>
      </x:c>
      <x:c r="I1068" s="71" t="str">
        <x:v>Your trip starts today</x:v>
      </x:c>
      <x:c r="J1068" s="73"/>
      <x:c r="K1068" s="74" t="str">
        <x:f>IF(J1068="",H1068,IF(J1068=I1068,I1068,J1068))</x:f>
        <x:v>Your trip starts today</x:v>
      </x:c>
      <x:c r="L1068" s="74" t="str">
        <x:f>IF(J1068="","Keep current",IF(J1068=I1068,"Use suggestion","Custom"))</x:f>
        <x:v>Keep current</x:v>
      </x:c>
      <x:c r="M1068" s="71" t="str">
        <x:v>Pending review</x:v>
      </x:c>
      <x:c r="N1068" s="71" t="str">
        <x:v>Normal</x:v>
      </x:c>
      <x:c r="O1068" s="71" t="str">
        <x:v>app/journey/trip/trip-mode-client.tsx</x:v>
      </x:c>
      <x:c r="P1068" s="71" t="str">
        <x:v>lifecycleLabel:46</x:v>
      </x:c>
      <x:c r="Q1068" s="71" t="str">
        <x:v>EN (default / shared)</x:v>
      </x:c>
      <x:c r="R1068" s="71" t="str">
        <x:v>Already clear and direct; suggested wording intentionally keeps the current copy. Terminology watch: ‘trip’ and ‘journey’ both describe the same plan. Terminology watch: ‘stops’, ‘destinations’ and ‘places’ overlap.</x:v>
      </x:c>
      <x:c r="S1068" s="75" t="str">
        <x:v>Not applied — review required</x:v>
      </x:c>
    </x:row>
    <x:row r="1069">
      <x:c r="A1069" s="71" t="str">
        <x:v>MRV-A66F95AE3A</x:v>
      </x:c>
      <x:c r="B1069" s="71" t="str">
        <x:v>Legacy</x:v>
      </x:c>
      <x:c r="C1069" s="71" t="str">
        <x:v>Trip mode</x:v>
      </x:c>
      <x:c r="D1069" s="71" t="str">
        <x:v>/journey/trip/trip-mode-client</x:v>
      </x:c>
      <x:c r="E1069" s="71" t="str">
        <x:v>lifecycleLabel</x:v>
      </x:c>
      <x:c r="F1069" s="71" t="str">
        <x:v>Default</x:v>
      </x:c>
      <x:c r="G1069" s="71" t="str">
        <x:v>Label</x:v>
      </x:c>
      <x:c r="H1069" s="71" t="str">
        <x:v>Your trip has started</x:v>
      </x:c>
      <x:c r="I1069" s="71" t="str">
        <x:v>Your trip has started</x:v>
      </x:c>
      <x:c r="J1069" s="73"/>
      <x:c r="K1069" s="74" t="str">
        <x:f>IF(J1069="",H1069,IF(J1069=I1069,I1069,J1069))</x:f>
        <x:v>Your trip has started</x:v>
      </x:c>
      <x:c r="L1069" s="74" t="str">
        <x:f>IF(J1069="","Keep current",IF(J1069=I1069,"Use suggestion","Custom"))</x:f>
        <x:v>Keep current</x:v>
      </x:c>
      <x:c r="M1069" s="71" t="str">
        <x:v>Pending review</x:v>
      </x:c>
      <x:c r="N1069" s="71" t="str">
        <x:v>Normal</x:v>
      </x:c>
      <x:c r="O1069" s="71" t="str">
        <x:v>app/journey/trip/trip-mode-client.tsx</x:v>
      </x:c>
      <x:c r="P1069" s="71" t="str">
        <x:v>lifecycleLabel:47</x:v>
      </x:c>
      <x:c r="Q1069" s="71" t="str">
        <x:v>EN (default / shared)</x:v>
      </x:c>
      <x:c r="R1069" s="71" t="str">
        <x:v>Already clear and direct; suggested wording intentionally keeps the current copy. Terminology watch: ‘trip’ and ‘journey’ both describe the same plan. Terminology watch: ‘stops’, ‘destinations’ and ‘places’ overlap.</x:v>
      </x:c>
      <x:c r="S1069" s="75" t="str">
        <x:v>Not applied — review required</x:v>
      </x:c>
    </x:row>
    <x:row r="1070">
      <x:c r="A1070" s="71" t="str">
        <x:v>MRV-5F750CB45B</x:v>
      </x:c>
      <x:c r="B1070" s="71" t="str">
        <x:v>Legacy</x:v>
      </x:c>
      <x:c r="C1070" s="71" t="str">
        <x:v>Trip mode</x:v>
      </x:c>
      <x:c r="D1070" s="71" t="str">
        <x:v>/journey/trip/trip-mode-client</x:v>
      </x:c>
      <x:c r="E1070" s="71" t="str">
        <x:v>lifecycleLabel</x:v>
      </x:c>
      <x:c r="F1070" s="71" t="str">
        <x:v>Default</x:v>
      </x:c>
      <x:c r="G1070" s="71" t="str">
        <x:v>Label</x:v>
      </x:c>
      <x:c r="H1070" s="71" t="str">
        <x:v>Your trip is underway</x:v>
      </x:c>
      <x:c r="I1070" s="71" t="str">
        <x:v>Your trip is underway</x:v>
      </x:c>
      <x:c r="J1070" s="73"/>
      <x:c r="K1070" s="74" t="str">
        <x:f>IF(J1070="",H1070,IF(J1070=I1070,I1070,J1070))</x:f>
        <x:v>Your trip is underway</x:v>
      </x:c>
      <x:c r="L1070" s="74" t="str">
        <x:f>IF(J1070="","Keep current",IF(J1070=I1070,"Use suggestion","Custom"))</x:f>
        <x:v>Keep current</x:v>
      </x:c>
      <x:c r="M1070" s="71" t="str">
        <x:v>Pending review</x:v>
      </x:c>
      <x:c r="N1070" s="71" t="str">
        <x:v>Normal</x:v>
      </x:c>
      <x:c r="O1070" s="71" t="str">
        <x:v>app/journey/trip/trip-mode-client.tsx</x:v>
      </x:c>
      <x:c r="P1070" s="71" t="str">
        <x:v>lifecycleLabel:48</x:v>
      </x:c>
      <x:c r="Q1070" s="71" t="str">
        <x:v>EN (default / shared)</x:v>
      </x:c>
      <x:c r="R1070" s="71" t="str">
        <x:v>Already clear and direct; suggested wording intentionally keeps the current copy. Terminology watch: ‘trip’ and ‘journey’ both describe the same plan. Terminology watch: ‘stops’, ‘destinations’ and ‘places’ overlap.</x:v>
      </x:c>
      <x:c r="S1070" s="75" t="str">
        <x:v>Not applied — review required</x:v>
      </x:c>
    </x:row>
    <x:row r="1071">
      <x:c r="A1071" s="71" t="str">
        <x:v>MRV-32BB3E23A5</x:v>
      </x:c>
      <x:c r="B1071" s="71" t="str">
        <x:v>Legacy</x:v>
      </x:c>
      <x:c r="C1071" s="71" t="str">
        <x:v>Trip mode</x:v>
      </x:c>
      <x:c r="D1071" s="71" t="str">
        <x:v>/journey/trip/trip-mode-client</x:v>
      </x:c>
      <x:c r="E1071" s="71" t="str">
        <x:v>lifecycleLabel</x:v>
      </x:c>
      <x:c r="F1071" s="71" t="str">
        <x:v>Default</x:v>
      </x:c>
      <x:c r="G1071" s="71" t="str">
        <x:v>Label</x:v>
      </x:c>
      <x:c r="H1071" s="71" t="str">
        <x:v>Your trip ends today</x:v>
      </x:c>
      <x:c r="I1071" s="71" t="str">
        <x:v>Your trip ends today</x:v>
      </x:c>
      <x:c r="J1071" s="73"/>
      <x:c r="K1071" s="74" t="str">
        <x:f>IF(J1071="",H1071,IF(J1071=I1071,I1071,J1071))</x:f>
        <x:v>Your trip ends today</x:v>
      </x:c>
      <x:c r="L1071" s="74" t="str">
        <x:f>IF(J1071="","Keep current",IF(J1071=I1071,"Use suggestion","Custom"))</x:f>
        <x:v>Keep current</x:v>
      </x:c>
      <x:c r="M1071" s="71" t="str">
        <x:v>Pending review</x:v>
      </x:c>
      <x:c r="N1071" s="71" t="str">
        <x:v>Normal</x:v>
      </x:c>
      <x:c r="O1071" s="71" t="str">
        <x:v>app/journey/trip/trip-mode-client.tsx</x:v>
      </x:c>
      <x:c r="P1071" s="71" t="str">
        <x:v>lifecycleLabel:49</x:v>
      </x:c>
      <x:c r="Q1071" s="71" t="str">
        <x:v>EN (default / shared)</x:v>
      </x:c>
      <x:c r="R1071" s="71" t="str">
        <x:v>Already clear and direct; suggested wording intentionally keeps the current copy. Terminology watch: ‘trip’ and ‘journey’ both describe the same plan. Terminology watch: ‘stops’, ‘destinations’ and ‘places’ overlap.</x:v>
      </x:c>
      <x:c r="S1071" s="75" t="str">
        <x:v>Not applied — review required</x:v>
      </x:c>
    </x:row>
    <x:row r="1072">
      <x:c r="A1072" s="71" t="str">
        <x:v>MRV-64DE37057C</x:v>
      </x:c>
      <x:c r="B1072" s="71" t="str">
        <x:v>Legacy</x:v>
      </x:c>
      <x:c r="C1072" s="71" t="str">
        <x:v>Trip mode</x:v>
      </x:c>
      <x:c r="D1072" s="71" t="str">
        <x:v>/journey/trip/trip-mode-client</x:v>
      </x:c>
      <x:c r="E1072" s="71" t="str">
        <x:v>lifecycleLabel</x:v>
      </x:c>
      <x:c r="F1072" s="71" t="str">
        <x:v>Default</x:v>
      </x:c>
      <x:c r="G1072" s="71" t="str">
        <x:v>Label</x:v>
      </x:c>
      <x:c r="H1072" s="71" t="str">
        <x:v>Your trip has ended</x:v>
      </x:c>
      <x:c r="I1072" s="71" t="str">
        <x:v>Your trip has ended</x:v>
      </x:c>
      <x:c r="J1072" s="73"/>
      <x:c r="K1072" s="74" t="str">
        <x:f>IF(J1072="",H1072,IF(J1072=I1072,I1072,J1072))</x:f>
        <x:v>Your trip has ended</x:v>
      </x:c>
      <x:c r="L1072" s="74" t="str">
        <x:f>IF(J1072="","Keep current",IF(J1072=I1072,"Use suggestion","Custom"))</x:f>
        <x:v>Keep current</x:v>
      </x:c>
      <x:c r="M1072" s="71" t="str">
        <x:v>Pending review</x:v>
      </x:c>
      <x:c r="N1072" s="71" t="str">
        <x:v>Normal</x:v>
      </x:c>
      <x:c r="O1072" s="71" t="str">
        <x:v>app/journey/trip/trip-mode-client.tsx</x:v>
      </x:c>
      <x:c r="P1072" s="71" t="str">
        <x:v>lifecycleLabel:50</x:v>
      </x:c>
      <x:c r="Q1072" s="71" t="str">
        <x:v>EN (default / shared)</x:v>
      </x:c>
      <x:c r="R1072" s="71" t="str">
        <x:v>Already clear and direct; suggested wording intentionally keeps the current copy. Terminology watch: ‘trip’ and ‘journey’ both describe the same plan. Terminology watch: ‘stops’, ‘destinations’ and ‘places’ overlap.</x:v>
      </x:c>
      <x:c r="S1072" s="75" t="str">
        <x:v>Not applied — review required</x:v>
      </x:c>
    </x:row>
    <x:row r="1073">
      <x:c r="A1073" s="71" t="str">
        <x:v>MRV-380606D3DF</x:v>
      </x:c>
      <x:c r="B1073" s="71" t="str">
        <x:v>Legacy</x:v>
      </x:c>
      <x:c r="C1073" s="71" t="str">
        <x:v>Trip mode</x:v>
      </x:c>
      <x:c r="D1073" s="71" t="str">
        <x:v>/journey/trip/trip-mode-client</x:v>
      </x:c>
      <x:c r="E1073" s="71" t="str">
        <x:v>lifecycleLabel</x:v>
      </x:c>
      <x:c r="F1073" s="71" t="str">
        <x:v>Default</x:v>
      </x:c>
      <x:c r="G1073" s="71" t="str">
        <x:v>CTA / button</x:v>
      </x:c>
      <x:c r="H1073" s="71" t="str">
        <x:v>Add valid trip dates to see where you are in the journey</x:v>
      </x:c>
      <x:c r="I1073" s="71" t="str">
        <x:v>Add valid trip dates to see where you are in the journey</x:v>
      </x:c>
      <x:c r="J1073" s="73"/>
      <x:c r="K1073" s="74" t="str">
        <x:f>IF(J1073="",H1073,IF(J1073=I1073,I1073,J1073))</x:f>
        <x:v>Add valid trip dates to see where you are in the journey</x:v>
      </x:c>
      <x:c r="L1073" s="74" t="str">
        <x:f>IF(J1073="","Keep current",IF(J1073=I1073,"Use suggestion","Custom"))</x:f>
        <x:v>Keep current</x:v>
      </x:c>
      <x:c r="M1073" s="71" t="str">
        <x:v>Pending review</x:v>
      </x:c>
      <x:c r="N1073" s="71" t="str">
        <x:v>Medium</x:v>
      </x:c>
      <x:c r="O1073" s="71" t="str">
        <x:v>app/journey/trip/trip-mode-client.tsx</x:v>
      </x:c>
      <x:c r="P1073" s="71" t="str">
        <x:v>lifecycleLabel:51</x:v>
      </x:c>
      <x:c r="Q1073" s="71" t="str">
        <x:v>EN (default / shared)</x:v>
      </x:c>
      <x:c r="R1073" s="71" t="str">
        <x:v>Already clear and direct; suggested wording intentionally keeps the current copy. Terminology watch: ‘trip’ and ‘journey’ both describe the same plan. Terminology watch: ‘stops’, ‘destinations’ and ‘places’ overlap.</x:v>
      </x:c>
      <x:c r="S1073" s="75" t="str">
        <x:v>Not applied — review required</x:v>
      </x:c>
    </x:row>
    <x:row r="1074">
      <x:c r="A1074" s="71" t="str">
        <x:v>MRV-87A8514615</x:v>
      </x:c>
      <x:c r="B1074" s="71" t="str">
        <x:v>Legacy</x:v>
      </x:c>
      <x:c r="C1074" s="71" t="str">
        <x:v>Trip mode</x:v>
      </x:c>
      <x:c r="D1074" s="71" t="str">
        <x:v>/journey/trip/trip-mode-client</x:v>
      </x:c>
      <x:c r="E1074" s="71" t="str">
        <x:v>TripModeClient</x:v>
      </x:c>
      <x:c r="F1074" s="71" t="str">
        <x:v>Default</x:v>
      </x:c>
      <x:c r="G1074" s="71" t="str">
        <x:v>Label</x:v>
      </x:c>
      <x:c r="H1074" s="71" t="str">
        <x:v>TRIP MODE</x:v>
      </x:c>
      <x:c r="I1074" s="71" t="str">
        <x:v>TRIP MODE</x:v>
      </x:c>
      <x:c r="J1074" s="73"/>
      <x:c r="K1074" s="74" t="str">
        <x:f>IF(J1074="",H1074,IF(J1074=I1074,I1074,J1074))</x:f>
        <x:v>TRIP MODE</x:v>
      </x:c>
      <x:c r="L1074" s="74" t="str">
        <x:f>IF(J1074="","Keep current",IF(J1074=I1074,"Use suggestion","Custom"))</x:f>
        <x:v>Keep current</x:v>
      </x:c>
      <x:c r="M1074" s="71" t="str">
        <x:v>Pending review</x:v>
      </x:c>
      <x:c r="N1074" s="71" t="str">
        <x:v>Normal</x:v>
      </x:c>
      <x:c r="O1074" s="71" t="str">
        <x:v>app/journey/trip/trip-mode-client.tsx</x:v>
      </x:c>
      <x:c r="P1074" s="71" t="str">
        <x:v>TripModeClient:296</x:v>
      </x:c>
      <x:c r="Q1074" s="71" t="str">
        <x:v>EN (default / shared)</x:v>
      </x:c>
      <x:c r="R1074" s="71" t="str">
        <x:v>Already clear and direct; suggested wording intentionally keeps the current copy. Duplicate wording: appears 5 times. Terminology watch: ‘trip’ and ‘journey’ both describe the same plan. Terminology watch: ‘stops’, ‘destinations’ and ‘places’ overlap.</x:v>
      </x:c>
      <x:c r="S1074" s="75" t="str">
        <x:v>Not applied — review required</x:v>
      </x:c>
    </x:row>
    <x:row r="1075">
      <x:c r="A1075" s="71" t="str">
        <x:v>MRV-FDDA8E06BD</x:v>
      </x:c>
      <x:c r="B1075" s="71" t="str">
        <x:v>Legacy</x:v>
      </x:c>
      <x:c r="C1075" s="71" t="str">
        <x:v>Trip mode</x:v>
      </x:c>
      <x:c r="D1075" s="71" t="str">
        <x:v>/journey/trip/trip-mode-client</x:v>
      </x:c>
      <x:c r="E1075" s="71" t="str">
        <x:v>TripModeClient</x:v>
      </x:c>
      <x:c r="F1075" s="71" t="str">
        <x:v>Default</x:v>
      </x:c>
      <x:c r="G1075" s="71" t="str">
        <x:v>CTA / button</x:v>
      </x:c>
      <x:c r="H1075" s="71" t="str">
        <x:v>Opening your trip…</x:v>
      </x:c>
      <x:c r="I1075" s="71" t="str">
        <x:v>Opening your trip…</x:v>
      </x:c>
      <x:c r="J1075" s="73"/>
      <x:c r="K1075" s="74" t="str">
        <x:f>IF(J1075="",H1075,IF(J1075=I1075,I1075,J1075))</x:f>
        <x:v>Opening your trip…</x:v>
      </x:c>
      <x:c r="L1075" s="74" t="str">
        <x:f>IF(J1075="","Keep current",IF(J1075=I1075,"Use suggestion","Custom"))</x:f>
        <x:v>Keep current</x:v>
      </x:c>
      <x:c r="M1075" s="71" t="str">
        <x:v>Pending review</x:v>
      </x:c>
      <x:c r="N1075" s="71" t="str">
        <x:v>Medium</x:v>
      </x:c>
      <x:c r="O1075" s="71" t="str">
        <x:v>app/journey/trip/trip-mode-client.tsx</x:v>
      </x:c>
      <x:c r="P1075" s="71" t="str">
        <x:v>TripModeClient:296</x:v>
      </x:c>
      <x:c r="Q1075" s="71" t="str">
        <x:v>EN (default / shared)</x:v>
      </x:c>
      <x:c r="R1075" s="71" t="str">
        <x:v>Already clear and direct; suggested wording intentionally keeps the current copy. Duplicate wording: appears 2 times. Terminology watch: ‘trip’ and ‘journey’ both describe the same plan. Terminology watch: ‘stops’, ‘destinations’ and ‘places’ overlap.</x:v>
      </x:c>
      <x:c r="S1075" s="75" t="str">
        <x:v>Not applied — review required</x:v>
      </x:c>
    </x:row>
    <x:row r="1076">
      <x:c r="A1076" s="71" t="str">
        <x:v>MRV-466A729B3E</x:v>
      </x:c>
      <x:c r="B1076" s="71" t="str">
        <x:v>Legacy</x:v>
      </x:c>
      <x:c r="C1076" s="71" t="str">
        <x:v>Trip mode</x:v>
      </x:c>
      <x:c r="D1076" s="71" t="str">
        <x:v>/journey/trip/trip-mode-client</x:v>
      </x:c>
      <x:c r="E1076" s="71" t="str">
        <x:v>TripModeClient</x:v>
      </x:c>
      <x:c r="F1076" s="71" t="str">
        <x:v>Loading / in progress</x:v>
      </x:c>
      <x:c r="G1076" s="71" t="str">
        <x:v>CTA / button</x:v>
      </x:c>
      <x:c r="H1076" s="71" t="str">
        <x:v>Checking the current account before showing device-saved details.</x:v>
      </x:c>
      <x:c r="I1076" s="71" t="str">
        <x:v>Checking the current account before showing device-saved details.</x:v>
      </x:c>
      <x:c r="J1076" s="73"/>
      <x:c r="K1076" s="74" t="str">
        <x:f>IF(J1076="",H1076,IF(J1076=I1076,I1076,J1076))</x:f>
        <x:v>Checking the current account before showing device-saved details.</x:v>
      </x:c>
      <x:c r="L1076" s="74" t="str">
        <x:f>IF(J1076="","Keep current",IF(J1076=I1076,"Use suggestion","Custom"))</x:f>
        <x:v>Keep current</x:v>
      </x:c>
      <x:c r="M1076" s="71" t="str">
        <x:v>Pending review</x:v>
      </x:c>
      <x:c r="N1076" s="71" t="str">
        <x:v>Medium</x:v>
      </x:c>
      <x:c r="O1076" s="71" t="str">
        <x:v>app/journey/trip/trip-mode-client.tsx</x:v>
      </x:c>
      <x:c r="P1076" s="71" t="str">
        <x:v>TripModeClient:296</x:v>
      </x:c>
      <x:c r="Q1076" s="71" t="str">
        <x:v>EN (default / shared)</x:v>
      </x:c>
      <x:c r="R1076" s="71" t="str">
        <x:v>Already clear and direct; suggested wording intentionally keeps the current copy.</x:v>
      </x:c>
      <x:c r="S1076" s="75" t="str">
        <x:v>Not applied — review required</x:v>
      </x:c>
    </x:row>
    <x:row r="1077">
      <x:c r="A1077" s="71" t="str">
        <x:v>MRV-2E7A3DC2E7</x:v>
      </x:c>
      <x:c r="B1077" s="71" t="str">
        <x:v>Legacy</x:v>
      </x:c>
      <x:c r="C1077" s="71" t="str">
        <x:v>Trip mode</x:v>
      </x:c>
      <x:c r="D1077" s="71" t="str">
        <x:v>/journey/trip/trip-mode-client</x:v>
      </x:c>
      <x:c r="E1077" s="71" t="str">
        <x:v>TripModeClient</x:v>
      </x:c>
      <x:c r="F1077" s="71" t="str">
        <x:v>Default</x:v>
      </x:c>
      <x:c r="G1077" s="71" t="str">
        <x:v>Label</x:v>
      </x:c>
      <x:c r="H1077" s="71" t="str">
        <x:v>TRIP MODE</x:v>
      </x:c>
      <x:c r="I1077" s="71" t="str">
        <x:v>TRIP MODE</x:v>
      </x:c>
      <x:c r="J1077" s="73"/>
      <x:c r="K1077" s="74" t="str">
        <x:f>IF(J1077="",H1077,IF(J1077=I1077,I1077,J1077))</x:f>
        <x:v>TRIP MODE</x:v>
      </x:c>
      <x:c r="L1077" s="74" t="str">
        <x:f>IF(J1077="","Keep current",IF(J1077=I1077,"Use suggestion","Custom"))</x:f>
        <x:v>Keep current</x:v>
      </x:c>
      <x:c r="M1077" s="71" t="str">
        <x:v>Pending review</x:v>
      </x:c>
      <x:c r="N1077" s="71" t="str">
        <x:v>Normal</x:v>
      </x:c>
      <x:c r="O1077" s="71" t="str">
        <x:v>app/journey/trip/trip-mode-client.tsx</x:v>
      </x:c>
      <x:c r="P1077" s="71" t="str">
        <x:v>TripModeClient:297</x:v>
      </x:c>
      <x:c r="Q1077" s="71" t="str">
        <x:v>EN (default / shared)</x:v>
      </x:c>
      <x:c r="R1077" s="71" t="str">
        <x:v>Already clear and direct; suggested wording intentionally keeps the current copy. Duplicate wording: appears 5 times. Terminology watch: ‘trip’ and ‘journey’ both describe the same plan. Terminology watch: ‘stops’, ‘destinations’ and ‘places’ overlap.</x:v>
      </x:c>
      <x:c r="S1077" s="75" t="str">
        <x:v>Not applied — review required</x:v>
      </x:c>
    </x:row>
    <x:row r="1078">
      <x:c r="A1078" s="71" t="str">
        <x:v>MRV-F9DC2219A1</x:v>
      </x:c>
      <x:c r="B1078" s="71" t="str">
        <x:v>Legacy</x:v>
      </x:c>
      <x:c r="C1078" s="71" t="str">
        <x:v>Trip mode</x:v>
      </x:c>
      <x:c r="D1078" s="71" t="str">
        <x:v>/journey/trip/trip-mode-client</x:v>
      </x:c>
      <x:c r="E1078" s="71" t="str">
        <x:v>TripModeClient</x:v>
      </x:c>
      <x:c r="F1078" s="71" t="str">
        <x:v>Session expired</x:v>
      </x:c>
      <x:c r="G1078" s="71" t="str">
        <x:v>Body copy</x:v>
      </x:c>
      <x:c r="H1078" s="71" t="str">
        <x:v>Your session ended.</x:v>
      </x:c>
      <x:c r="I1078" s="71" t="str">
        <x:v>Your session ended.</x:v>
      </x:c>
      <x:c r="J1078" s="73"/>
      <x:c r="K1078" s="74" t="str">
        <x:f>IF(J1078="",H1078,IF(J1078=I1078,I1078,J1078))</x:f>
        <x:v>Your session ended.</x:v>
      </x:c>
      <x:c r="L1078" s="74" t="str">
        <x:f>IF(J1078="","Keep current",IF(J1078=I1078,"Use suggestion","Custom"))</x:f>
        <x:v>Keep current</x:v>
      </x:c>
      <x:c r="M1078" s="71" t="str">
        <x:v>Pending review</x:v>
      </x:c>
      <x:c r="N1078" s="71" t="str">
        <x:v>High</x:v>
      </x:c>
      <x:c r="O1078" s="71" t="str">
        <x:v>app/journey/trip/trip-mode-client.tsx</x:v>
      </x:c>
      <x:c r="P1078" s="71" t="str">
        <x:v>TripModeClient:297</x:v>
      </x:c>
      <x:c r="Q1078" s="71" t="str">
        <x:v>EN (default / shared)</x:v>
      </x:c>
      <x:c r="R1078" s="71" t="str">
        <x:v>Already clear and direct; suggested wording intentionally keeps the current copy. Duplicate wording: appears 4 times.</x:v>
      </x:c>
      <x:c r="S1078" s="75" t="str">
        <x:v>Not applied — review required</x:v>
      </x:c>
    </x:row>
    <x:row r="1079">
      <x:c r="A1079" s="71" t="str">
        <x:v>MRV-3ADB4B93D5</x:v>
      </x:c>
      <x:c r="B1079" s="71" t="str">
        <x:v>Legacy</x:v>
      </x:c>
      <x:c r="C1079" s="71" t="str">
        <x:v>Trip mode</x:v>
      </x:c>
      <x:c r="D1079" s="71" t="str">
        <x:v>/journey/trip/trip-mode-client</x:v>
      </x:c>
      <x:c r="E1079" s="71" t="str">
        <x:v>TripModeClient</x:v>
      </x:c>
      <x:c r="F1079" s="71" t="str">
        <x:v>Session expired</x:v>
      </x:c>
      <x:c r="G1079" s="71" t="str">
        <x:v>Body copy</x:v>
      </x:c>
      <x:c r="H1079" s="71" t="str">
        <x:v>Your trip changes are still saved on this device. Sign in again to sync them without creating another trip.</x:v>
      </x:c>
      <x:c r="I1079" s="71" t="str">
        <x:v>Your trip changes are still saved on this device. Sign in again to sync them without creating another trip.</x:v>
      </x:c>
      <x:c r="J1079" s="73"/>
      <x:c r="K1079" s="74" t="str">
        <x:f>IF(J1079="",H1079,IF(J1079=I1079,I1079,J1079))</x:f>
        <x:v>Your trip changes are still saved on this device. Sign in again to sync them without creating another trip.</x:v>
      </x:c>
      <x:c r="L1079" s="74" t="str">
        <x:f>IF(J1079="","Keep current",IF(J1079=I1079,"Use suggestion","Custom"))</x:f>
        <x:v>Keep current</x:v>
      </x:c>
      <x:c r="M1079" s="71" t="str">
        <x:v>Pending review</x:v>
      </x:c>
      <x:c r="N1079" s="71" t="str">
        <x:v>High</x:v>
      </x:c>
      <x:c r="O1079" s="71" t="str">
        <x:v>app/journey/trip/trip-mode-client.tsx</x:v>
      </x:c>
      <x:c r="P1079" s="71" t="str">
        <x:v>TripModeClient:297</x:v>
      </x:c>
      <x:c r="Q1079" s="71" t="str">
        <x:v>EN (default / shared)</x:v>
      </x:c>
      <x:c r="R1079" s="71" t="str">
        <x:v>Already clear and direct; suggested wording intentionally keeps the current copy. Terminology watch: ‘trip’ and ‘journey’ both describe the same plan. Terminology watch: ‘stops’, ‘destinations’ and ‘places’ overlap.</x:v>
      </x:c>
      <x:c r="S1079" s="75" t="str">
        <x:v>Not applied — review required</x:v>
      </x:c>
    </x:row>
    <x:row r="1080">
      <x:c r="A1080" s="71" t="str">
        <x:v>MRV-5A41D8C73F</x:v>
      </x:c>
      <x:c r="B1080" s="71" t="str">
        <x:v>Legacy</x:v>
      </x:c>
      <x:c r="C1080" s="71" t="str">
        <x:v>Trip mode</x:v>
      </x:c>
      <x:c r="D1080" s="71" t="str">
        <x:v>/journey/trip/trip-mode-client</x:v>
      </x:c>
      <x:c r="E1080" s="71" t="str">
        <x:v>TripModeClient</x:v>
      </x:c>
      <x:c r="F1080" s="71" t="str">
        <x:v>Session expired</x:v>
      </x:c>
      <x:c r="G1080" s="71" t="str">
        <x:v>CTA / button</x:v>
      </x:c>
      <x:c r="H1080" s="71" t="str">
        <x:v>Sign in again</x:v>
      </x:c>
      <x:c r="I1080" s="71" t="str">
        <x:v>Sign in again</x:v>
      </x:c>
      <x:c r="J1080" s="73"/>
      <x:c r="K1080" s="74" t="str">
        <x:f>IF(J1080="",H1080,IF(J1080=I1080,I1080,J1080))</x:f>
        <x:v>Sign in again</x:v>
      </x:c>
      <x:c r="L1080" s="74" t="str">
        <x:f>IF(J1080="","Keep current",IF(J1080=I1080,"Use suggestion","Custom"))</x:f>
        <x:v>Keep current</x:v>
      </x:c>
      <x:c r="M1080" s="71" t="str">
        <x:v>Pending review</x:v>
      </x:c>
      <x:c r="N1080" s="71" t="str">
        <x:v>High</x:v>
      </x:c>
      <x:c r="O1080" s="71" t="str">
        <x:v>app/journey/trip/trip-mode-client.tsx</x:v>
      </x:c>
      <x:c r="P1080" s="71" t="str">
        <x:v>TripModeClient:297</x:v>
      </x:c>
      <x:c r="Q1080" s="71" t="str">
        <x:v>EN (default / shared)</x:v>
      </x:c>
      <x:c r="R1080" s="71" t="str">
        <x:v>Already clear and direct; suggested wording intentionally keeps the current copy. Duplicate wording: appears 8 times.</x:v>
      </x:c>
      <x:c r="S1080" s="75" t="str">
        <x:v>Not applied — review required</x:v>
      </x:c>
    </x:row>
    <x:row r="1081">
      <x:c r="A1081" s="71" t="str">
        <x:v>MRV-C1B044DD60</x:v>
      </x:c>
      <x:c r="B1081" s="71" t="str">
        <x:v>Legacy</x:v>
      </x:c>
      <x:c r="C1081" s="71" t="str">
        <x:v>Trip mode</x:v>
      </x:c>
      <x:c r="D1081" s="71" t="str">
        <x:v>/journey/trip/trip-mode-client</x:v>
      </x:c>
      <x:c r="E1081" s="71" t="str">
        <x:v>TripModeClient</x:v>
      </x:c>
      <x:c r="F1081" s="71" t="str">
        <x:v>Default</x:v>
      </x:c>
      <x:c r="G1081" s="71" t="str">
        <x:v>Label</x:v>
      </x:c>
      <x:c r="H1081" s="71" t="str">
        <x:v>TRIP MODE</x:v>
      </x:c>
      <x:c r="I1081" s="71" t="str">
        <x:v>TRIP MODE</x:v>
      </x:c>
      <x:c r="J1081" s="73"/>
      <x:c r="K1081" s="74" t="str">
        <x:f>IF(J1081="",H1081,IF(J1081=I1081,I1081,J1081))</x:f>
        <x:v>TRIP MODE</x:v>
      </x:c>
      <x:c r="L1081" s="74" t="str">
        <x:f>IF(J1081="","Keep current",IF(J1081=I1081,"Use suggestion","Custom"))</x:f>
        <x:v>Keep current</x:v>
      </x:c>
      <x:c r="M1081" s="71" t="str">
        <x:v>Pending review</x:v>
      </x:c>
      <x:c r="N1081" s="71" t="str">
        <x:v>Normal</x:v>
      </x:c>
      <x:c r="O1081" s="71" t="str">
        <x:v>app/journey/trip/trip-mode-client.tsx</x:v>
      </x:c>
      <x:c r="P1081" s="71" t="str">
        <x:v>TripModeClient:298</x:v>
      </x:c>
      <x:c r="Q1081" s="71" t="str">
        <x:v>EN (default / shared)</x:v>
      </x:c>
      <x:c r="R1081" s="71" t="str">
        <x:v>Already clear and direct; suggested wording intentionally keeps the current copy. Duplicate wording: appears 5 times. Terminology watch: ‘trip’ and ‘journey’ both describe the same plan. Terminology watch: ‘stops’, ‘destinations’ and ‘places’ overlap.</x:v>
      </x:c>
      <x:c r="S1081" s="75" t="str">
        <x:v>Not applied — review required</x:v>
      </x:c>
    </x:row>
    <x:row r="1082">
      <x:c r="A1082" s="71" t="str">
        <x:v>MRV-1FF164F83A</x:v>
      </x:c>
      <x:c r="B1082" s="71" t="str">
        <x:v>Legacy</x:v>
      </x:c>
      <x:c r="C1082" s="71" t="str">
        <x:v>Trip mode</x:v>
      </x:c>
      <x:c r="D1082" s="71" t="str">
        <x:v>/journey/trip/trip-mode-client</x:v>
      </x:c>
      <x:c r="E1082" s="71" t="str">
        <x:v>TripModeClient</x:v>
      </x:c>
      <x:c r="F1082" s="71" t="str">
        <x:v>Default</x:v>
      </x:c>
      <x:c r="G1082" s="71" t="str">
        <x:v>Body copy</x:v>
      </x:c>
      <x:c r="H1082" s="71" t="str">
        <x:v>Your trip will live here.</x:v>
      </x:c>
      <x:c r="I1082" s="71" t="str">
        <x:v>Your trip will live here.</x:v>
      </x:c>
      <x:c r="J1082" s="73"/>
      <x:c r="K1082" s="74" t="str">
        <x:f>IF(J1082="",H1082,IF(J1082=I1082,I1082,J1082))</x:f>
        <x:v>Your trip will live here.</x:v>
      </x:c>
      <x:c r="L1082" s="74" t="str">
        <x:f>IF(J1082="","Keep current",IF(J1082=I1082,"Use suggestion","Custom"))</x:f>
        <x:v>Keep current</x:v>
      </x:c>
      <x:c r="M1082" s="71" t="str">
        <x:v>Pending review</x:v>
      </x:c>
      <x:c r="N1082" s="71" t="str">
        <x:v>Normal</x:v>
      </x:c>
      <x:c r="O1082" s="71" t="str">
        <x:v>app/journey/trip/trip-mode-client.tsx</x:v>
      </x:c>
      <x:c r="P1082" s="71" t="str">
        <x:v>TripModeClient:298</x:v>
      </x:c>
      <x:c r="Q1082" s="71" t="str">
        <x:v>EN (default / shared)</x:v>
      </x:c>
      <x:c r="R1082" s="71" t="str">
        <x:v>Already clear and direct; suggested wording intentionally keeps the current copy. Terminology watch: ‘trip’ and ‘journey’ both describe the same plan. Terminology watch: ‘stops’, ‘destinations’ and ‘places’ overlap.</x:v>
      </x:c>
      <x:c r="S1082" s="75" t="str">
        <x:v>Not applied — review required</x:v>
      </x:c>
    </x:row>
    <x:row r="1083">
      <x:c r="A1083" s="71" t="str">
        <x:v>MRV-F7D40F0EE3</x:v>
      </x:c>
      <x:c r="B1083" s="71" t="str">
        <x:v>Legacy</x:v>
      </x:c>
      <x:c r="C1083" s="71" t="str">
        <x:v>Trip mode</x:v>
      </x:c>
      <x:c r="D1083" s="71" t="str">
        <x:v>/journey/trip/trip-mode-client</x:v>
      </x:c>
      <x:c r="E1083" s="71" t="str">
        <x:v>TripModeClient</x:v>
      </x:c>
      <x:c r="F1083" s="71" t="str">
        <x:v>Default</x:v>
      </x:c>
      <x:c r="G1083" s="71" t="str">
        <x:v>CTA / button</x:v>
      </x:c>
      <x:c r="H1083" s="71" t="str">
        <x:v>Build a route first, then EasyT will keep the useful details close while you travel.</x:v>
      </x:c>
      <x:c r="I1083" s="71" t="str">
        <x:v>Build a route first, then EasyT will keep the useful details close while you travel.</x:v>
      </x:c>
      <x:c r="J1083" s="73"/>
      <x:c r="K1083" s="74" t="str">
        <x:f>IF(J1083="",H1083,IF(J1083=I1083,I1083,J1083))</x:f>
        <x:v>Build a route first, then EasyT will keep the useful details close while you travel.</x:v>
      </x:c>
      <x:c r="L1083" s="74" t="str">
        <x:f>IF(J1083="","Keep current",IF(J1083=I1083,"Use suggestion","Custom"))</x:f>
        <x:v>Keep current</x:v>
      </x:c>
      <x:c r="M1083" s="71" t="str">
        <x:v>Pending review</x:v>
      </x:c>
      <x:c r="N1083" s="71" t="str">
        <x:v>Medium</x:v>
      </x:c>
      <x:c r="O1083" s="71" t="str">
        <x:v>app/journey/trip/trip-mode-client.tsx</x:v>
      </x:c>
      <x:c r="P1083" s="71" t="str">
        <x:v>TripModeClient:298</x:v>
      </x:c>
      <x:c r="Q1083" s="71" t="str">
        <x:v>EN (default / shared)</x:v>
      </x:c>
      <x:c r="R1083" s="71" t="str">
        <x:v>Already clear and direct; suggested wording intentionally keeps the current copy.</x:v>
      </x:c>
      <x:c r="S1083" s="75" t="str">
        <x:v>Not applied — review required</x:v>
      </x:c>
    </x:row>
    <x:row r="1084">
      <x:c r="A1084" s="71" t="str">
        <x:v>MRV-28C5F1E8F5</x:v>
      </x:c>
      <x:c r="B1084" s="71" t="str">
        <x:v>Legacy</x:v>
      </x:c>
      <x:c r="C1084" s="71" t="str">
        <x:v>Trip mode</x:v>
      </x:c>
      <x:c r="D1084" s="71" t="str">
        <x:v>/journey/trip/trip-mode-client</x:v>
      </x:c>
      <x:c r="E1084" s="71" t="str">
        <x:v>TripModeClient</x:v>
      </x:c>
      <x:c r="F1084" s="71" t="str">
        <x:v>Default</x:v>
      </x:c>
      <x:c r="G1084" s="71" t="str">
        <x:v>CTA / button</x:v>
      </x:c>
      <x:c r="H1084" s="71" t="str">
        <x:v>Start a trip</x:v>
      </x:c>
      <x:c r="I1084" s="71" t="str">
        <x:v>Start a trip</x:v>
      </x:c>
      <x:c r="J1084" s="73"/>
      <x:c r="K1084" s="74" t="str">
        <x:f>IF(J1084="",H1084,IF(J1084=I1084,I1084,J1084))</x:f>
        <x:v>Start a trip</x:v>
      </x:c>
      <x:c r="L1084" s="74" t="str">
        <x:f>IF(J1084="","Keep current",IF(J1084=I1084,"Use suggestion","Custom"))</x:f>
        <x:v>Keep current</x:v>
      </x:c>
      <x:c r="M1084" s="71" t="str">
        <x:v>Pending review</x:v>
      </x:c>
      <x:c r="N1084" s="71" t="str">
        <x:v>Medium</x:v>
      </x:c>
      <x:c r="O1084" s="71" t="str">
        <x:v>app/journey/trip/trip-mode-client.tsx</x:v>
      </x:c>
      <x:c r="P1084" s="71" t="str">
        <x:v>TripModeClient:298</x:v>
      </x:c>
      <x:c r="Q1084" s="71" t="str">
        <x:v>EN (default / shared)</x:v>
      </x:c>
      <x:c r="R1084" s="71" t="str">
        <x:v>Already clear and direct; suggested wording intentionally keeps the current copy. Duplicate wording: appears 3 times. Terminology watch: ‘trip’ and ‘journey’ both describe the same plan. Terminology watch: ‘stops’, ‘destinations’ and ‘places’ overlap.</x:v>
      </x:c>
      <x:c r="S1084" s="75" t="str">
        <x:v>Not applied — review required</x:v>
      </x:c>
    </x:row>
    <x:row r="1085">
      <x:c r="A1085" s="71" t="str">
        <x:v>MRV-2C6DC8C97A</x:v>
      </x:c>
      <x:c r="B1085" s="71" t="str">
        <x:v>Legacy</x:v>
      </x:c>
      <x:c r="C1085" s="71" t="str">
        <x:v>Trip mode</x:v>
      </x:c>
      <x:c r="D1085" s="71" t="str">
        <x:v>/journey/trip/trip-mode-client</x:v>
      </x:c>
      <x:c r="E1085" s="71" t="str">
        <x:v>TripModeClient</x:v>
      </x:c>
      <x:c r="F1085" s="71" t="str">
        <x:v>Session expired</x:v>
      </x:c>
      <x:c r="G1085" s="71" t="str">
        <x:v>Body copy</x:v>
      </x:c>
      <x:c r="H1085" s="71" t="str">
        <x:v>This trip changed on another device. Your edit remains on this device until you reload the cloud copy.</x:v>
      </x:c>
      <x:c r="I1085" s="71" t="str">
        <x:v>This trip changed on another device. Your edit remains on this device until you reload the cloud copy.</x:v>
      </x:c>
      <x:c r="J1085" s="73"/>
      <x:c r="K1085" s="74" t="str">
        <x:f>IF(J1085="",H1085,IF(J1085=I1085,I1085,J1085))</x:f>
        <x:v>This trip changed on another device. Your edit remains on this device until you reload the cloud copy.</x:v>
      </x:c>
      <x:c r="L1085" s="74" t="str">
        <x:f>IF(J1085="","Keep current",IF(J1085=I1085,"Use suggestion","Custom"))</x:f>
        <x:v>Keep current</x:v>
      </x:c>
      <x:c r="M1085" s="71" t="str">
        <x:v>Pending review</x:v>
      </x:c>
      <x:c r="N1085" s="71" t="str">
        <x:v>High</x:v>
      </x:c>
      <x:c r="O1085" s="71" t="str">
        <x:v>app/journey/trip/trip-mode-client.tsx</x:v>
      </x:c>
      <x:c r="P1085" s="71" t="str">
        <x:v>TripModeClient:301</x:v>
      </x:c>
      <x:c r="Q1085" s="71" t="str">
        <x:v>EN (default / shared)</x:v>
      </x:c>
      <x:c r="R1085" s="71" t="str">
        <x:v>Already clear and direct; suggested wording intentionally keeps the current copy. Terminology watch: ‘trip’ and ‘journey’ both describe the same plan. Terminology watch: ‘stops’, ‘destinations’ and ‘places’ overlap.</x:v>
      </x:c>
      <x:c r="S1085" s="75" t="str">
        <x:v>Not applied — review required</x:v>
      </x:c>
    </x:row>
    <x:row r="1086">
      <x:c r="A1086" s="71" t="str">
        <x:v>MRV-1AE5A754D5</x:v>
      </x:c>
      <x:c r="B1086" s="71" t="str">
        <x:v>Legacy</x:v>
      </x:c>
      <x:c r="C1086" s="71" t="str">
        <x:v>Trip mode</x:v>
      </x:c>
      <x:c r="D1086" s="71" t="str">
        <x:v>/journey/trip/trip-mode-client</x:v>
      </x:c>
      <x:c r="E1086" s="71" t="str">
        <x:v>TripModeClient</x:v>
      </x:c>
      <x:c r="F1086" s="71" t="str">
        <x:v>Session expired</x:v>
      </x:c>
      <x:c r="G1086" s="71" t="str">
        <x:v>Body copy</x:v>
      </x:c>
      <x:c r="H1086" s="71" t="str">
        <x:v>A different device recovery already exists for this trip. This change was not saved or synced; open the device copy to resolve it first.</x:v>
      </x:c>
      <x:c r="I1086" s="71" t="str">
        <x:v>A different device recovery already exists for this trip. This change was not saved or synced; open the device copy to resolve it first.</x:v>
      </x:c>
      <x:c r="J1086" s="73"/>
      <x:c r="K1086" s="74" t="str">
        <x:f>IF(J1086="",H1086,IF(J1086=I1086,I1086,J1086))</x:f>
        <x:v>A different device recovery already exists for this trip. This change was not saved or synced; open the device copy to resolve it first.</x:v>
      </x:c>
      <x:c r="L1086" s="74" t="str">
        <x:f>IF(J1086="","Keep current",IF(J1086=I1086,"Use suggestion","Custom"))</x:f>
        <x:v>Keep current</x:v>
      </x:c>
      <x:c r="M1086" s="71" t="str">
        <x:v>Pending review</x:v>
      </x:c>
      <x:c r="N1086" s="71" t="str">
        <x:v>High</x:v>
      </x:c>
      <x:c r="O1086" s="71" t="str">
        <x:v>app/journey/trip/trip-mode-client.tsx</x:v>
      </x:c>
      <x:c r="P1086" s="71" t="str">
        <x:v>TripModeClient:301</x:v>
      </x:c>
      <x:c r="Q1086" s="71" t="str">
        <x:v>EN (default / shared)</x:v>
      </x:c>
      <x:c r="R1086" s="71" t="str">
        <x:v>Already clear and direct; suggested wording intentionally keeps the current copy. Terminology watch: ‘trip’ and ‘journey’ both describe the same plan. Terminology watch: ‘stops’, ‘destinations’ and ‘places’ overlap.</x:v>
      </x:c>
      <x:c r="S1086" s="75" t="str">
        <x:v>Not applied — review required</x:v>
      </x:c>
    </x:row>
    <x:row r="1087">
      <x:c r="A1087" s="71" t="str">
        <x:v>MRV-ABBEA3C174</x:v>
      </x:c>
      <x:c r="B1087" s="71" t="str">
        <x:v>Legacy</x:v>
      </x:c>
      <x:c r="C1087" s="71" t="str">
        <x:v>Trip mode</x:v>
      </x:c>
      <x:c r="D1087" s="71" t="str">
        <x:v>/journey/trip/trip-mode-client</x:v>
      </x:c>
      <x:c r="E1087" s="71" t="str">
        <x:v>TripModeClient</x:v>
      </x:c>
      <x:c r="F1087" s="71" t="str">
        <x:v>Session expired</x:v>
      </x:c>
      <x:c r="G1087" s="71" t="str">
        <x:v>Body copy</x:v>
      </x:c>
      <x:c r="H1087" s="71" t="str">
        <x:v>The cloud copy is open. Your different device copy is still preserved until you explicitly resolve or discard it.</x:v>
      </x:c>
      <x:c r="I1087" s="71" t="str">
        <x:v>The cloud copy is open. Your different device copy is still preserved until you explicitly resolve or discard it.</x:v>
      </x:c>
      <x:c r="J1087" s="73"/>
      <x:c r="K1087" s="74" t="str">
        <x:f>IF(J1087="",H1087,IF(J1087=I1087,I1087,J1087))</x:f>
        <x:v>The cloud copy is open. Your different device copy is still preserved until you explicitly resolve or discard it.</x:v>
      </x:c>
      <x:c r="L1087" s="74" t="str">
        <x:f>IF(J1087="","Keep current",IF(J1087=I1087,"Use suggestion","Custom"))</x:f>
        <x:v>Keep current</x:v>
      </x:c>
      <x:c r="M1087" s="71" t="str">
        <x:v>Pending review</x:v>
      </x:c>
      <x:c r="N1087" s="71" t="str">
        <x:v>High</x:v>
      </x:c>
      <x:c r="O1087" s="71" t="str">
        <x:v>app/journey/trip/trip-mode-client.tsx</x:v>
      </x:c>
      <x:c r="P1087" s="71" t="str">
        <x:v>TripModeClient:301</x:v>
      </x:c>
      <x:c r="Q1087" s="71" t="str">
        <x:v>EN (default / shared)</x:v>
      </x:c>
      <x:c r="R1087" s="71" t="str">
        <x:v>Already clear and direct; suggested wording intentionally keeps the current copy.</x:v>
      </x:c>
      <x:c r="S1087" s="75" t="str">
        <x:v>Not applied — review required</x:v>
      </x:c>
    </x:row>
    <x:row r="1088">
      <x:c r="A1088" s="71" t="str">
        <x:v>MRV-4C707BC474</x:v>
      </x:c>
      <x:c r="B1088" s="71" t="str">
        <x:v>Legacy</x:v>
      </x:c>
      <x:c r="C1088" s="71" t="str">
        <x:v>Trip mode</x:v>
      </x:c>
      <x:c r="D1088" s="71" t="str">
        <x:v>/journey/trip/trip-mode-client</x:v>
      </x:c>
      <x:c r="E1088" s="71" t="str">
        <x:v>TripModeClient</x:v>
      </x:c>
      <x:c r="F1088" s="71" t="str">
        <x:v>Session expired</x:v>
      </x:c>
      <x:c r="G1088" s="71" t="str">
        <x:v>Body copy</x:v>
      </x:c>
      <x:c r="H1088" s="71" t="str">
        <x:v>This change is only in this open tab. Browser storage could not save it, so it was not synced.</x:v>
      </x:c>
      <x:c r="I1088" s="71" t="str">
        <x:v>This change is only in this open tab. Browser storage could not save it, so it was not synced.</x:v>
      </x:c>
      <x:c r="J1088" s="73"/>
      <x:c r="K1088" s="74" t="str">
        <x:f>IF(J1088="",H1088,IF(J1088=I1088,I1088,J1088))</x:f>
        <x:v>This change is only in this open tab. Browser storage could not save it, so it was not synced.</x:v>
      </x:c>
      <x:c r="L1088" s="74" t="str">
        <x:f>IF(J1088="","Keep current",IF(J1088=I1088,"Use suggestion","Custom"))</x:f>
        <x:v>Keep current</x:v>
      </x:c>
      <x:c r="M1088" s="71" t="str">
        <x:v>Pending review</x:v>
      </x:c>
      <x:c r="N1088" s="71" t="str">
        <x:v>High</x:v>
      </x:c>
      <x:c r="O1088" s="71" t="str">
        <x:v>app/journey/trip/trip-mode-client.tsx</x:v>
      </x:c>
      <x:c r="P1088" s="71" t="str">
        <x:v>TripModeClient:301</x:v>
      </x:c>
      <x:c r="Q1088" s="71" t="str">
        <x:v>EN (default / shared)</x:v>
      </x:c>
      <x:c r="R1088" s="71" t="str">
        <x:v>Already clear and direct; suggested wording intentionally keeps the current copy.</x:v>
      </x:c>
      <x:c r="S1088" s="75" t="str">
        <x:v>Not applied — review required</x:v>
      </x:c>
    </x:row>
    <x:row r="1089">
      <x:c r="A1089" s="71" t="str">
        <x:v>MRV-FF84EBBD33</x:v>
      </x:c>
      <x:c r="B1089" s="71" t="str">
        <x:v>Legacy</x:v>
      </x:c>
      <x:c r="C1089" s="71" t="str">
        <x:v>Trip mode</x:v>
      </x:c>
      <x:c r="D1089" s="71" t="str">
        <x:v>/journey/trip/trip-mode-client</x:v>
      </x:c>
      <x:c r="E1089" s="71" t="str">
        <x:v>TripModeClient</x:v>
      </x:c>
      <x:c r="F1089" s="71" t="str">
        <x:v>Session expired</x:v>
      </x:c>
      <x:c r="G1089" s="71" t="str">
        <x:v>Body copy</x:v>
      </x:c>
      <x:c r="H1089" s="71" t="str">
        <x:v>Your session expired. This change is still safe on this device.</x:v>
      </x:c>
      <x:c r="I1089" s="71" t="str">
        <x:v>Your session expired. This change is still safe on this device.</x:v>
      </x:c>
      <x:c r="J1089" s="73"/>
      <x:c r="K1089" s="74" t="str">
        <x:f>IF(J1089="",H1089,IF(J1089=I1089,I1089,J1089))</x:f>
        <x:v>Your session expired. This change is still safe on this device.</x:v>
      </x:c>
      <x:c r="L1089" s="74" t="str">
        <x:f>IF(J1089="","Keep current",IF(J1089=I1089,"Use suggestion","Custom"))</x:f>
        <x:v>Keep current</x:v>
      </x:c>
      <x:c r="M1089" s="71" t="str">
        <x:v>Pending review</x:v>
      </x:c>
      <x:c r="N1089" s="71" t="str">
        <x:v>High</x:v>
      </x:c>
      <x:c r="O1089" s="71" t="str">
        <x:v>app/journey/trip/trip-mode-client.tsx</x:v>
      </x:c>
      <x:c r="P1089" s="71" t="str">
        <x:v>TripModeClient:301</x:v>
      </x:c>
      <x:c r="Q1089" s="71" t="str">
        <x:v>EN (default / shared)</x:v>
      </x:c>
      <x:c r="R1089" s="71" t="str">
        <x:v>Already clear and direct; suggested wording intentionally keeps the current copy.</x:v>
      </x:c>
      <x:c r="S1089" s="75" t="str">
        <x:v>Not applied — review required</x:v>
      </x:c>
    </x:row>
    <x:row r="1090">
      <x:c r="A1090" s="71" t="str">
        <x:v>MRV-F800DA489F</x:v>
      </x:c>
      <x:c r="B1090" s="71" t="str">
        <x:v>Legacy</x:v>
      </x:c>
      <x:c r="C1090" s="71" t="str">
        <x:v>Trip mode</x:v>
      </x:c>
      <x:c r="D1090" s="71" t="str">
        <x:v>/journey/trip/trip-mode-client</x:v>
      </x:c>
      <x:c r="E1090" s="71" t="str">
        <x:v>TripModeClient</x:v>
      </x:c>
      <x:c r="F1090" s="71" t="str">
        <x:v>Session expired</x:v>
      </x:c>
      <x:c r="G1090" s="71" t="str">
        <x:v>Body copy</x:v>
      </x:c>
      <x:c r="H1090" s="71" t="str">
        <x:v>This change is still safe on this device, but it has not synced to your account.</x:v>
      </x:c>
      <x:c r="I1090" s="71" t="str">
        <x:v>This change is still safe on this device, but it has not synced to your account.</x:v>
      </x:c>
      <x:c r="J1090" s="73"/>
      <x:c r="K1090" s="74" t="str">
        <x:f>IF(J1090="",H1090,IF(J1090=I1090,I1090,J1090))</x:f>
        <x:v>This change is still safe on this device, but it has not synced to your account.</x:v>
      </x:c>
      <x:c r="L1090" s="74" t="str">
        <x:f>IF(J1090="","Keep current",IF(J1090=I1090,"Use suggestion","Custom"))</x:f>
        <x:v>Keep current</x:v>
      </x:c>
      <x:c r="M1090" s="71" t="str">
        <x:v>Pending review</x:v>
      </x:c>
      <x:c r="N1090" s="71" t="str">
        <x:v>High</x:v>
      </x:c>
      <x:c r="O1090" s="71" t="str">
        <x:v>app/journey/trip/trip-mode-client.tsx</x:v>
      </x:c>
      <x:c r="P1090" s="71" t="str">
        <x:v>TripModeClient:301</x:v>
      </x:c>
      <x:c r="Q1090" s="71" t="str">
        <x:v>EN (default / shared)</x:v>
      </x:c>
      <x:c r="R1090" s="71" t="str">
        <x:v>Already clear and direct; suggested wording intentionally keeps the current copy.</x:v>
      </x:c>
      <x:c r="S1090" s="75" t="str">
        <x:v>Not applied — review required</x:v>
      </x:c>
    </x:row>
    <x:row r="1091">
      <x:c r="A1091" s="71" t="str">
        <x:v>MRV-DBA1FDD6D1</x:v>
      </x:c>
      <x:c r="B1091" s="71" t="str">
        <x:v>Legacy</x:v>
      </x:c>
      <x:c r="C1091" s="71" t="str">
        <x:v>Trip mode</x:v>
      </x:c>
      <x:c r="D1091" s="71" t="str">
        <x:v>/journey/trip/trip-mode-client</x:v>
      </x:c>
      <x:c r="E1091" s="71" t="str">
        <x:v>TripModeClient</x:v>
      </x:c>
      <x:c r="F1091" s="71" t="str">
        <x:v>Session expired</x:v>
      </x:c>
      <x:c r="G1091" s="71" t="str">
        <x:v>Label</x:v>
      </x:c>
      <x:c r="H1091" s="71" t="str">
        <x:v>Reload cloud copy</x:v>
      </x:c>
      <x:c r="I1091" s="71" t="str">
        <x:v>Reload cloud copy</x:v>
      </x:c>
      <x:c r="J1091" s="73"/>
      <x:c r="K1091" s="74" t="str">
        <x:f>IF(J1091="",H1091,IF(J1091=I1091,I1091,J1091))</x:f>
        <x:v>Reload cloud copy</x:v>
      </x:c>
      <x:c r="L1091" s="74" t="str">
        <x:f>IF(J1091="","Keep current",IF(J1091=I1091,"Use suggestion","Custom"))</x:f>
        <x:v>Keep current</x:v>
      </x:c>
      <x:c r="M1091" s="71" t="str">
        <x:v>Pending review</x:v>
      </x:c>
      <x:c r="N1091" s="71" t="str">
        <x:v>High</x:v>
      </x:c>
      <x:c r="O1091" s="71" t="str">
        <x:v>app/journey/trip/trip-mode-client.tsx</x:v>
      </x:c>
      <x:c r="P1091" s="71" t="str">
        <x:v>TripModeClient:301</x:v>
      </x:c>
      <x:c r="Q1091" s="71" t="str">
        <x:v>EN (default / shared)</x:v>
      </x:c>
      <x:c r="R1091" s="71" t="str">
        <x:v>Already clear and direct; suggested wording intentionally keeps the current copy. Duplicate wording: appears 2 times.</x:v>
      </x:c>
      <x:c r="S1091" s="75" t="str">
        <x:v>Not applied — review required</x:v>
      </x:c>
    </x:row>
    <x:row r="1092">
      <x:c r="A1092" s="71" t="str">
        <x:v>MRV-39E5EB68AA</x:v>
      </x:c>
      <x:c r="B1092" s="71" t="str">
        <x:v>Legacy</x:v>
      </x:c>
      <x:c r="C1092" s="71" t="str">
        <x:v>Trip mode</x:v>
      </x:c>
      <x:c r="D1092" s="71" t="str">
        <x:v>/journey/trip/trip-mode-client</x:v>
      </x:c>
      <x:c r="E1092" s="71" t="str">
        <x:v>TripModeClient</x:v>
      </x:c>
      <x:c r="F1092" s="71" t="str">
        <x:v>Session expired</x:v>
      </x:c>
      <x:c r="G1092" s="71" t="str">
        <x:v>CTA / button</x:v>
      </x:c>
      <x:c r="H1092" s="71" t="str">
        <x:v>Open device copy</x:v>
      </x:c>
      <x:c r="I1092" s="71" t="str">
        <x:v>Open device copy</x:v>
      </x:c>
      <x:c r="J1092" s="73"/>
      <x:c r="K1092" s="74" t="str">
        <x:f>IF(J1092="",H1092,IF(J1092=I1092,I1092,J1092))</x:f>
        <x:v>Open device copy</x:v>
      </x:c>
      <x:c r="L1092" s="74" t="str">
        <x:f>IF(J1092="","Keep current",IF(J1092=I1092,"Use suggestion","Custom"))</x:f>
        <x:v>Keep current</x:v>
      </x:c>
      <x:c r="M1092" s="71" t="str">
        <x:v>Pending review</x:v>
      </x:c>
      <x:c r="N1092" s="71" t="str">
        <x:v>High</x:v>
      </x:c>
      <x:c r="O1092" s="71" t="str">
        <x:v>app/journey/trip/trip-mode-client.tsx</x:v>
      </x:c>
      <x:c r="P1092" s="71" t="str">
        <x:v>TripModeClient:301</x:v>
      </x:c>
      <x:c r="Q1092" s="71" t="str">
        <x:v>EN (default / shared)</x:v>
      </x:c>
      <x:c r="R1092" s="71" t="str">
        <x:v>Already clear and direct; suggested wording intentionally keeps the current copy. Duplicate wording: appears 4 times.</x:v>
      </x:c>
      <x:c r="S1092" s="75" t="str">
        <x:v>Not applied — review required</x:v>
      </x:c>
    </x:row>
    <x:row r="1093">
      <x:c r="A1093" s="71" t="str">
        <x:v>MRV-CFC51C571B</x:v>
      </x:c>
      <x:c r="B1093" s="71" t="str">
        <x:v>Legacy</x:v>
      </x:c>
      <x:c r="C1093" s="71" t="str">
        <x:v>Trip mode</x:v>
      </x:c>
      <x:c r="D1093" s="71" t="str">
        <x:v>/journey/trip/trip-mode-client</x:v>
      </x:c>
      <x:c r="E1093" s="71" t="str">
        <x:v>TripModeClient</x:v>
      </x:c>
      <x:c r="F1093" s="71" t="str">
        <x:v>Session expired</x:v>
      </x:c>
      <x:c r="G1093" s="71" t="str">
        <x:v>CTA / button</x:v>
      </x:c>
      <x:c r="H1093" s="71" t="str">
        <x:v>Sign in again</x:v>
      </x:c>
      <x:c r="I1093" s="71" t="str">
        <x:v>Sign in again</x:v>
      </x:c>
      <x:c r="J1093" s="73"/>
      <x:c r="K1093" s="74" t="str">
        <x:f>IF(J1093="",H1093,IF(J1093=I1093,I1093,J1093))</x:f>
        <x:v>Sign in again</x:v>
      </x:c>
      <x:c r="L1093" s="74" t="str">
        <x:f>IF(J1093="","Keep current",IF(J1093=I1093,"Use suggestion","Custom"))</x:f>
        <x:v>Keep current</x:v>
      </x:c>
      <x:c r="M1093" s="71" t="str">
        <x:v>Pending review</x:v>
      </x:c>
      <x:c r="N1093" s="71" t="str">
        <x:v>High</x:v>
      </x:c>
      <x:c r="O1093" s="71" t="str">
        <x:v>app/journey/trip/trip-mode-client.tsx</x:v>
      </x:c>
      <x:c r="P1093" s="71" t="str">
        <x:v>TripModeClient:301</x:v>
      </x:c>
      <x:c r="Q1093" s="71" t="str">
        <x:v>EN (default / shared)</x:v>
      </x:c>
      <x:c r="R1093" s="71" t="str">
        <x:v>Already clear and direct; suggested wording intentionally keeps the current copy. Duplicate wording: appears 8 times.</x:v>
      </x:c>
      <x:c r="S1093" s="75" t="str">
        <x:v>Not applied — review required</x:v>
      </x:c>
    </x:row>
    <x:row r="1094">
      <x:c r="A1094" s="71" t="str">
        <x:v>MRV-38298656DA</x:v>
      </x:c>
      <x:c r="B1094" s="71" t="str">
        <x:v>Legacy</x:v>
      </x:c>
      <x:c r="C1094" s="71" t="str">
        <x:v>Trip mode</x:v>
      </x:c>
      <x:c r="D1094" s="71" t="str">
        <x:v>/journey/trip/trip-mode-client</x:v>
      </x:c>
      <x:c r="E1094" s="71" t="str">
        <x:v>TripModeClient</x:v>
      </x:c>
      <x:c r="F1094" s="71" t="str">
        <x:v>Session expired</x:v>
      </x:c>
      <x:c r="G1094" s="71" t="str">
        <x:v>CTA / button</x:v>
      </x:c>
      <x:c r="H1094" s="71" t="str">
        <x:v>Try again</x:v>
      </x:c>
      <x:c r="I1094" s="71" t="str">
        <x:v>Try again</x:v>
      </x:c>
      <x:c r="J1094" s="73"/>
      <x:c r="K1094" s="74" t="str">
        <x:f>IF(J1094="",H1094,IF(J1094=I1094,I1094,J1094))</x:f>
        <x:v>Try again</x:v>
      </x:c>
      <x:c r="L1094" s="74" t="str">
        <x:f>IF(J1094="","Keep current",IF(J1094=I1094,"Use suggestion","Custom"))</x:f>
        <x:v>Keep current</x:v>
      </x:c>
      <x:c r="M1094" s="71" t="str">
        <x:v>Pending review</x:v>
      </x:c>
      <x:c r="N1094" s="71" t="str">
        <x:v>High</x:v>
      </x:c>
      <x:c r="O1094" s="71" t="str">
        <x:v>app/journey/trip/trip-mode-client.tsx</x:v>
      </x:c>
      <x:c r="P1094" s="71" t="str">
        <x:v>TripModeClient:301</x:v>
      </x:c>
      <x:c r="Q1094" s="71" t="str">
        <x:v>EN (default / shared)</x:v>
      </x:c>
      <x:c r="R1094" s="71" t="str">
        <x:v>Already clear and direct; suggested wording intentionally keeps the current copy. Duplicate wording: appears 7 times.</x:v>
      </x:c>
      <x:c r="S1094" s="75" t="str">
        <x:v>Not applied — review required</x:v>
      </x:c>
    </x:row>
    <x:row r="1095">
      <x:c r="A1095" s="71" t="str">
        <x:v>MRV-41D11F51F3</x:v>
      </x:c>
      <x:c r="B1095" s="71" t="str">
        <x:v>Legacy</x:v>
      </x:c>
      <x:c r="C1095" s="71" t="str">
        <x:v>Trip mode</x:v>
      </x:c>
      <x:c r="D1095" s="71" t="str">
        <x:v>/journey/trip/trip-mode-client</x:v>
      </x:c>
      <x:c r="E1095" s="71" t="str">
        <x:v>TripModeClient</x:v>
      </x:c>
      <x:c r="F1095" s="71" t="str">
        <x:v>Default</x:v>
      </x:c>
      <x:c r="G1095" s="71" t="str">
        <x:v>Label</x:v>
      </x:c>
      <x:c r="H1095" s="71" t="str">
        <x:v>TRIP MODE</x:v>
      </x:c>
      <x:c r="I1095" s="71" t="str">
        <x:v>TRIP MODE</x:v>
      </x:c>
      <x:c r="J1095" s="73"/>
      <x:c r="K1095" s="74" t="str">
        <x:f>IF(J1095="",H1095,IF(J1095=I1095,I1095,J1095))</x:f>
        <x:v>TRIP MODE</x:v>
      </x:c>
      <x:c r="L1095" s="74" t="str">
        <x:f>IF(J1095="","Keep current",IF(J1095=I1095,"Use suggestion","Custom"))</x:f>
        <x:v>Keep current</x:v>
      </x:c>
      <x:c r="M1095" s="71" t="str">
        <x:v>Pending review</x:v>
      </x:c>
      <x:c r="N1095" s="71" t="str">
        <x:v>Normal</x:v>
      </x:c>
      <x:c r="O1095" s="71" t="str">
        <x:v>app/journey/trip/trip-mode-client.tsx</x:v>
      </x:c>
      <x:c r="P1095" s="71" t="str">
        <x:v>TripModeClient:302</x:v>
      </x:c>
      <x:c r="Q1095" s="71" t="str">
        <x:v>EN (default / shared)</x:v>
      </x:c>
      <x:c r="R1095" s="71" t="str">
        <x:v>Already clear and direct; suggested wording intentionally keeps the current copy. Duplicate wording: appears 5 times. Terminology watch: ‘trip’ and ‘journey’ both describe the same plan. Terminology watch: ‘stops’, ‘destinations’ and ‘places’ overlap.</x:v>
      </x:c>
      <x:c r="S1095" s="75" t="str">
        <x:v>Not applied — review required</x:v>
      </x:c>
    </x:row>
    <x:row r="1096">
      <x:c r="A1096" s="71" t="str">
        <x:v>MRV-1736E7073F</x:v>
      </x:c>
      <x:c r="B1096" s="71" t="str">
        <x:v>Legacy</x:v>
      </x:c>
      <x:c r="C1096" s="71" t="str">
        <x:v>Trip mode</x:v>
      </x:c>
      <x:c r="D1096" s="71" t="str">
        <x:v>/journey/trip/trip-mode-client</x:v>
      </x:c>
      <x:c r="E1096" s="71" t="str">
        <x:v>TripModeClient</x:v>
      </x:c>
      <x:c r="F1096" s="71" t="str">
        <x:v>Default</x:v>
      </x:c>
      <x:c r="G1096" s="71" t="str">
        <x:v>CTA / button</x:v>
      </x:c>
      <x:c r="H1096" s="71" t="str">
        <x:v>Open map</x:v>
      </x:c>
      <x:c r="I1096" s="71" t="str">
        <x:v>Open map</x:v>
      </x:c>
      <x:c r="J1096" s="73"/>
      <x:c r="K1096" s="74" t="str">
        <x:f>IF(J1096="",H1096,IF(J1096=I1096,I1096,J1096))</x:f>
        <x:v>Open map</x:v>
      </x:c>
      <x:c r="L1096" s="74" t="str">
        <x:f>IF(J1096="","Keep current",IF(J1096=I1096,"Use suggestion","Custom"))</x:f>
        <x:v>Keep current</x:v>
      </x:c>
      <x:c r="M1096" s="71" t="str">
        <x:v>Pending review</x:v>
      </x:c>
      <x:c r="N1096" s="71" t="str">
        <x:v>Medium</x:v>
      </x:c>
      <x:c r="O1096" s="71" t="str">
        <x:v>app/journey/trip/trip-mode-client.tsx</x:v>
      </x:c>
      <x:c r="P1096" s="71" t="str">
        <x:v>TripModeClient:302</x:v>
      </x:c>
      <x:c r="Q1096" s="71" t="str">
        <x:v>EN (default / shared)</x:v>
      </x:c>
      <x:c r="R1096" s="71" t="str">
        <x:v>Already clear and direct; suggested wording intentionally keeps the current copy. Duplicate wording: appears 2 times.</x:v>
      </x:c>
      <x:c r="S1096" s="75" t="str">
        <x:v>Not applied — review required</x:v>
      </x:c>
    </x:row>
    <x:row r="1097">
      <x:c r="A1097" s="71" t="str">
        <x:v>MRV-4A253C68CC</x:v>
      </x:c>
      <x:c r="B1097" s="71" t="str">
        <x:v>Legacy</x:v>
      </x:c>
      <x:c r="C1097" s="71" t="str">
        <x:v>Trip mode</x:v>
      </x:c>
      <x:c r="D1097" s="71" t="str">
        <x:v>/journey/trip/trip-mode-client</x:v>
      </x:c>
      <x:c r="E1097" s="71" t="str">
        <x:v>TripModeClient</x:v>
      </x:c>
      <x:c r="F1097" s="71" t="str">
        <x:v>Accessibility / input support</x:v>
      </x:c>
      <x:c r="G1097" s="71" t="str">
        <x:v>Accessibility label</x:v>
      </x:c>
      <x:c r="H1097" s="71" t="str">
        <x:v>Trip mode sections</x:v>
      </x:c>
      <x:c r="I1097" s="71" t="str">
        <x:v>Trip mode sections</x:v>
      </x:c>
      <x:c r="J1097" s="73"/>
      <x:c r="K1097" s="74" t="str">
        <x:f>IF(J1097="",H1097,IF(J1097=I1097,I1097,J1097))</x:f>
        <x:v>Trip mode sections</x:v>
      </x:c>
      <x:c r="L1097" s="74" t="str">
        <x:f>IF(J1097="","Keep current",IF(J1097=I1097,"Use suggestion","Custom"))</x:f>
        <x:v>Keep current</x:v>
      </x:c>
      <x:c r="M1097" s="71" t="str">
        <x:v>Pending review</x:v>
      </x:c>
      <x:c r="N1097" s="71" t="str">
        <x:v>Medium</x:v>
      </x:c>
      <x:c r="O1097" s="71" t="str">
        <x:v>app/journey/trip/trip-mode-client.tsx</x:v>
      </x:c>
      <x:c r="P1097" s="71" t="str">
        <x:v>TripModeClient:303</x:v>
      </x:c>
      <x:c r="Q1097" s="71" t="str">
        <x:v>EN (default / shared)</x:v>
      </x:c>
      <x:c r="R1097" s="71" t="str">
        <x:v>Already clear and direct; suggested wording intentionally keeps the current copy. Terminology watch: ‘trip’ and ‘journey’ both describe the same plan. Terminology watch: ‘stops’, ‘destinations’ and ‘places’ overlap.</x:v>
      </x:c>
      <x:c r="S1097" s="75" t="str">
        <x:v>Not applied — review required</x:v>
      </x:c>
    </x:row>
    <x:row r="1098">
      <x:c r="A1098" s="71" t="str">
        <x:v>MRV-34C448FA54</x:v>
      </x:c>
      <x:c r="B1098" s="71" t="str">
        <x:v>Legacy</x:v>
      </x:c>
      <x:c r="C1098" s="71" t="str">
        <x:v>Trip mode</x:v>
      </x:c>
      <x:c r="D1098" s="71" t="str">
        <x:v>/journey/trip/trip-mode-client</x:v>
      </x:c>
      <x:c r="E1098" s="71" t="str">
        <x:v>TripModeClient</x:v>
      </x:c>
      <x:c r="F1098" s="71" t="str">
        <x:v>Default</x:v>
      </x:c>
      <x:c r="G1098" s="71" t="str">
        <x:v>Label</x:v>
      </x:c>
      <x:c r="H1098" s="71" t="str">
        <x:v>· Day</x:v>
      </x:c>
      <x:c r="I1098" s="71" t="str">
        <x:v>· Day</x:v>
      </x:c>
      <x:c r="J1098" s="73"/>
      <x:c r="K1098" s="74" t="str">
        <x:f>IF(J1098="",H1098,IF(J1098=I1098,I1098,J1098))</x:f>
        <x:v>· Day</x:v>
      </x:c>
      <x:c r="L1098" s="74" t="str">
        <x:f>IF(J1098="","Keep current",IF(J1098=I1098,"Use suggestion","Custom"))</x:f>
        <x:v>Keep current</x:v>
      </x:c>
      <x:c r="M1098" s="71" t="str">
        <x:v>Pending review</x:v>
      </x:c>
      <x:c r="N1098" s="71" t="str">
        <x:v>Normal</x:v>
      </x:c>
      <x:c r="O1098" s="71" t="str">
        <x:v>app/journey/trip/trip-mode-client.tsx</x:v>
      </x:c>
      <x:c r="P1098" s="71" t="str">
        <x:v>TripModeClient:304</x:v>
      </x:c>
      <x:c r="Q1098" s="71" t="str">
        <x:v>EN (default / shared)</x:v>
      </x:c>
      <x:c r="R1098" s="71" t="str">
        <x:v>Already clear and direct; suggested wording intentionally keeps the current copy. Duplicate wording: appears 3 times.</x:v>
      </x:c>
      <x:c r="S1098" s="75" t="str">
        <x:v>Not applied — review required</x:v>
      </x:c>
    </x:row>
    <x:row r="1099">
      <x:c r="A1099" s="71" t="str">
        <x:v>MRV-C08B2D6083</x:v>
      </x:c>
      <x:c r="B1099" s="71" t="str">
        <x:v>Legacy</x:v>
      </x:c>
      <x:c r="C1099" s="71" t="str">
        <x:v>Trip mode</x:v>
      </x:c>
      <x:c r="D1099" s="71" t="str">
        <x:v>/journey/trip/trip-mode-client</x:v>
      </x:c>
      <x:c r="E1099" s="71" t="str">
        <x:v>TripModeClient</x:v>
      </x:c>
      <x:c r="F1099" s="71" t="str">
        <x:v>Default</x:v>
      </x:c>
      <x:c r="G1099" s="71" t="str">
        <x:v>CTA / button</x:v>
      </x:c>
      <x:c r="H1099" s="71" t="str">
        <x:v>Find food nearby</x:v>
      </x:c>
      <x:c r="I1099" s="71" t="str">
        <x:v>Find food nearby</x:v>
      </x:c>
      <x:c r="J1099" s="73"/>
      <x:c r="K1099" s="74" t="str">
        <x:f>IF(J1099="",H1099,IF(J1099=I1099,I1099,J1099))</x:f>
        <x:v>Find food nearby</x:v>
      </x:c>
      <x:c r="L1099" s="74" t="str">
        <x:f>IF(J1099="","Keep current",IF(J1099=I1099,"Use suggestion","Custom"))</x:f>
        <x:v>Keep current</x:v>
      </x:c>
      <x:c r="M1099" s="71" t="str">
        <x:v>Pending review</x:v>
      </x:c>
      <x:c r="N1099" s="71" t="str">
        <x:v>Medium</x:v>
      </x:c>
      <x:c r="O1099" s="71" t="str">
        <x:v>app/journey/trip/trip-mode-client.tsx</x:v>
      </x:c>
      <x:c r="P1099" s="71" t="str">
        <x:v>TripModeClient:304</x:v>
      </x:c>
      <x:c r="Q1099" s="71" t="str">
        <x:v>EN (default / shared)</x:v>
      </x:c>
      <x:c r="R1099" s="71" t="str">
        <x:v>Already clear and direct; suggested wording intentionally keeps the current copy.</x:v>
      </x:c>
      <x:c r="S1099" s="75" t="str">
        <x:v>Not applied — review required</x:v>
      </x:c>
    </x:row>
    <x:row r="1100">
      <x:c r="A1100" s="71" t="str">
        <x:v>MRV-6652BB854C</x:v>
      </x:c>
      <x:c r="B1100" s="71" t="str">
        <x:v>Legacy</x:v>
      </x:c>
      <x:c r="C1100" s="71" t="str">
        <x:v>Trip mode</x:v>
      </x:c>
      <x:c r="D1100" s="71" t="str">
        <x:v>/journey/trip/trip-mode-client</x:v>
      </x:c>
      <x:c r="E1100" s="71" t="str">
        <x:v>TripModeClient</x:v>
      </x:c>
      <x:c r="F1100" s="71" t="str">
        <x:v>Default</x:v>
      </x:c>
      <x:c r="G1100" s="71" t="str">
        <x:v>CTA / button</x:v>
      </x:c>
      <x:c r="H1100" s="71" t="str">
        <x:v>Find a stay</x:v>
      </x:c>
      <x:c r="I1100" s="71" t="str">
        <x:v>Find a stay</x:v>
      </x:c>
      <x:c r="J1100" s="73"/>
      <x:c r="K1100" s="74" t="str">
        <x:f>IF(J1100="",H1100,IF(J1100=I1100,I1100,J1100))</x:f>
        <x:v>Find a stay</x:v>
      </x:c>
      <x:c r="L1100" s="74" t="str">
        <x:f>IF(J1100="","Keep current",IF(J1100=I1100,"Use suggestion","Custom"))</x:f>
        <x:v>Keep current</x:v>
      </x:c>
      <x:c r="M1100" s="71" t="str">
        <x:v>Pending review</x:v>
      </x:c>
      <x:c r="N1100" s="71" t="str">
        <x:v>Medium</x:v>
      </x:c>
      <x:c r="O1100" s="71" t="str">
        <x:v>app/journey/trip/trip-mode-client.tsx</x:v>
      </x:c>
      <x:c r="P1100" s="71" t="str">
        <x:v>TripModeClient:304</x:v>
      </x:c>
      <x:c r="Q1100" s="71" t="str">
        <x:v>EN (default / shared)</x:v>
      </x:c>
      <x:c r="R1100" s="71" t="str">
        <x:v>Already clear and direct; suggested wording intentionally keeps the current copy. Duplicate wording: appears 3 times.</x:v>
      </x:c>
      <x:c r="S1100" s="75" t="str">
        <x:v>Not applied — review required</x:v>
      </x:c>
    </x:row>
    <x:row r="1101">
      <x:c r="A1101" s="71" t="str">
        <x:v>MRV-C04BE2D0BB</x:v>
      </x:c>
      <x:c r="B1101" s="71" t="str">
        <x:v>Legacy</x:v>
      </x:c>
      <x:c r="C1101" s="71" t="str">
        <x:v>Trip mode</x:v>
      </x:c>
      <x:c r="D1101" s="71" t="str">
        <x:v>/journey/trip/trip-mode-client</x:v>
      </x:c>
      <x:c r="E1101" s="71" t="str">
        <x:v>TripModeClient</x:v>
      </x:c>
      <x:c r="F1101" s="71" t="str">
        <x:v>Default</x:v>
      </x:c>
      <x:c r="G1101" s="71" t="str">
        <x:v>Label</x:v>
      </x:c>
      <x:c r="H1101" s="71" t="str">
        <x:v>FOR TODAY</x:v>
      </x:c>
      <x:c r="I1101" s="71" t="str">
        <x:v>FOR TODAY</x:v>
      </x:c>
      <x:c r="J1101" s="73"/>
      <x:c r="K1101" s="74" t="str">
        <x:f>IF(J1101="",H1101,IF(J1101=I1101,I1101,J1101))</x:f>
        <x:v>FOR TODAY</x:v>
      </x:c>
      <x:c r="L1101" s="74" t="str">
        <x:f>IF(J1101="","Keep current",IF(J1101=I1101,"Use suggestion","Custom"))</x:f>
        <x:v>Keep current</x:v>
      </x:c>
      <x:c r="M1101" s="71" t="str">
        <x:v>Pending review</x:v>
      </x:c>
      <x:c r="N1101" s="71" t="str">
        <x:v>Normal</x:v>
      </x:c>
      <x:c r="O1101" s="71" t="str">
        <x:v>app/journey/trip/trip-mode-client.tsx</x:v>
      </x:c>
      <x:c r="P1101" s="71" t="str">
        <x:v>TripModeClient:304</x:v>
      </x:c>
      <x:c r="Q1101" s="71" t="str">
        <x:v>EN (default / shared)</x:v>
      </x:c>
      <x:c r="R1101" s="71" t="str">
        <x:v>Already clear and direct; suggested wording intentionally keeps the current copy.</x:v>
      </x:c>
      <x:c r="S1101" s="75" t="str">
        <x:v>Not applied — review required</x:v>
      </x:c>
    </x:row>
    <x:row r="1102">
      <x:c r="A1102" s="71" t="str">
        <x:v>MRV-A5064DFED5</x:v>
      </x:c>
      <x:c r="B1102" s="71" t="str">
        <x:v>Legacy</x:v>
      </x:c>
      <x:c r="C1102" s="71" t="str">
        <x:v>Trip mode</x:v>
      </x:c>
      <x:c r="D1102" s="71" t="str">
        <x:v>/journey/trip/trip-mode-client</x:v>
      </x:c>
      <x:c r="E1102" s="71" t="str">
        <x:v>TripModeClient</x:v>
      </x:c>
      <x:c r="F1102" s="71" t="str">
        <x:v>Default</x:v>
      </x:c>
      <x:c r="G1102" s="71" t="str">
        <x:v>Body copy</x:v>
      </x:c>
      <x:c r="H1102" s="71" t="str">
        <x:v>No itinerary item is scheduled for today.</x:v>
      </x:c>
      <x:c r="I1102" s="71" t="str">
        <x:v>No itinerary item is scheduled for today.</x:v>
      </x:c>
      <x:c r="J1102" s="73"/>
      <x:c r="K1102" s="74" t="str">
        <x:f>IF(J1102="",H1102,IF(J1102=I1102,I1102,J1102))</x:f>
        <x:v>No itinerary item is scheduled for today.</x:v>
      </x:c>
      <x:c r="L1102" s="74" t="str">
        <x:f>IF(J1102="","Keep current",IF(J1102=I1102,"Use suggestion","Custom"))</x:f>
        <x:v>Keep current</x:v>
      </x:c>
      <x:c r="M1102" s="71" t="str">
        <x:v>Pending review</x:v>
      </x:c>
      <x:c r="N1102" s="71" t="str">
        <x:v>Normal</x:v>
      </x:c>
      <x:c r="O1102" s="71" t="str">
        <x:v>app/journey/trip/trip-mode-client.tsx</x:v>
      </x:c>
      <x:c r="P1102" s="71" t="str">
        <x:v>TripModeClient:304</x:v>
      </x:c>
      <x:c r="Q1102" s="71" t="str">
        <x:v>EN (default / shared)</x:v>
      </x:c>
      <x:c r="R1102" s="71" t="str">
        <x:v>Already clear and direct; suggested wording intentionally keeps the current copy.</x:v>
      </x:c>
      <x:c r="S1102" s="75" t="str">
        <x:v>Not applied — review required</x:v>
      </x:c>
    </x:row>
    <x:row r="1103">
      <x:c r="A1103" s="71" t="str">
        <x:v>MRV-DE15D915B6</x:v>
      </x:c>
      <x:c r="B1103" s="71" t="str">
        <x:v>Legacy</x:v>
      </x:c>
      <x:c r="C1103" s="71" t="str">
        <x:v>Trip mode</x:v>
      </x:c>
      <x:c r="D1103" s="71" t="str">
        <x:v>/journey/trip/trip-mode-client</x:v>
      </x:c>
      <x:c r="E1103" s="71" t="str">
        <x:v>TripModeClient</x:v>
      </x:c>
      <x:c r="F1103" s="71" t="str">
        <x:v>Default</x:v>
      </x:c>
      <x:c r="G1103" s="71" t="str">
        <x:v>CTA / button</x:v>
      </x:c>
      <x:c r="H1103" s="71" t="str">
        <x:v>Open the map or itinerary to review the plan without treating another day as today.</x:v>
      </x:c>
      <x:c r="I1103" s="71" t="str">
        <x:v>Open the map or itinerary to review the plan without treating another day as today.</x:v>
      </x:c>
      <x:c r="J1103" s="73"/>
      <x:c r="K1103" s="74" t="str">
        <x:f>IF(J1103="",H1103,IF(J1103=I1103,I1103,J1103))</x:f>
        <x:v>Open the map or itinerary to review the plan without treating another day as today.</x:v>
      </x:c>
      <x:c r="L1103" s="74" t="str">
        <x:f>IF(J1103="","Keep current",IF(J1103=I1103,"Use suggestion","Custom"))</x:f>
        <x:v>Keep current</x:v>
      </x:c>
      <x:c r="M1103" s="71" t="str">
        <x:v>Pending review</x:v>
      </x:c>
      <x:c r="N1103" s="71" t="str">
        <x:v>Medium</x:v>
      </x:c>
      <x:c r="O1103" s="71" t="str">
        <x:v>app/journey/trip/trip-mode-client.tsx</x:v>
      </x:c>
      <x:c r="P1103" s="71" t="str">
        <x:v>TripModeClient:304</x:v>
      </x:c>
      <x:c r="Q1103" s="71" t="str">
        <x:v>EN (default / shared)</x:v>
      </x:c>
      <x:c r="R1103" s="71" t="str">
        <x:v>Already clear and direct; suggested wording intentionally keeps the current copy.</x:v>
      </x:c>
      <x:c r="S1103" s="75" t="str">
        <x:v>Not applied — review required</x:v>
      </x:c>
    </x:row>
    <x:row r="1104">
      <x:c r="A1104" s="71" t="str">
        <x:v>MRV-04EFE7A0D8</x:v>
      </x:c>
      <x:c r="B1104" s="71" t="str">
        <x:v>Legacy</x:v>
      </x:c>
      <x:c r="C1104" s="71" t="str">
        <x:v>Trip mode</x:v>
      </x:c>
      <x:c r="D1104" s="71" t="str">
        <x:v>/journey/trip/trip-mode-client</x:v>
      </x:c>
      <x:c r="E1104" s="71" t="str">
        <x:v>TripModeClient</x:v>
      </x:c>
      <x:c r="F1104" s="71" t="str">
        <x:v>Default</x:v>
      </x:c>
      <x:c r="G1104" s="71" t="str">
        <x:v>Label</x:v>
      </x:c>
      <x:c r="H1104" s="71" t="str">
        <x:v>KEEP THE IMPORTANT DETAILS</x:v>
      </x:c>
      <x:c r="I1104" s="71" t="str">
        <x:v>KEEP THE IMPORTANT DETAILS</x:v>
      </x:c>
      <x:c r="J1104" s="73"/>
      <x:c r="K1104" s="74" t="str">
        <x:f>IF(J1104="",H1104,IF(J1104=I1104,I1104,J1104))</x:f>
        <x:v>KEEP THE IMPORTANT DETAILS</x:v>
      </x:c>
      <x:c r="L1104" s="74" t="str">
        <x:f>IF(J1104="","Keep current",IF(J1104=I1104,"Use suggestion","Custom"))</x:f>
        <x:v>Keep current</x:v>
      </x:c>
      <x:c r="M1104" s="71" t="str">
        <x:v>Pending review</x:v>
      </x:c>
      <x:c r="N1104" s="71" t="str">
        <x:v>Normal</x:v>
      </x:c>
      <x:c r="O1104" s="71" t="str">
        <x:v>app/journey/trip/trip-mode-client.tsx</x:v>
      </x:c>
      <x:c r="P1104" s="71" t="str">
        <x:v>TripModeClient:305</x:v>
      </x:c>
      <x:c r="Q1104" s="71" t="str">
        <x:v>EN (default / shared)</x:v>
      </x:c>
      <x:c r="R1104" s="71" t="str">
        <x:v>Already clear and direct; suggested wording intentionally keeps the current copy.</x:v>
      </x:c>
      <x:c r="S1104" s="75" t="str">
        <x:v>Not applied — review required</x:v>
      </x:c>
    </x:row>
    <x:row r="1105">
      <x:c r="A1105" s="71" t="str">
        <x:v>MRV-E7B2E83A50</x:v>
      </x:c>
      <x:c r="B1105" s="71" t="str">
        <x:v>Legacy</x:v>
      </x:c>
      <x:c r="C1105" s="71" t="str">
        <x:v>Trip mode</x:v>
      </x:c>
      <x:c r="D1105" s="71" t="str">
        <x:v>/journey/trip/trip-mode-client</x:v>
      </x:c>
      <x:c r="E1105" s="71" t="str">
        <x:v>TripModeClient</x:v>
      </x:c>
      <x:c r="F1105" s="71" t="str">
        <x:v>Default</x:v>
      </x:c>
      <x:c r="G1105" s="71" t="str">
        <x:v>Label</x:v>
      </x:c>
      <x:c r="H1105" s="71" t="str">
        <x:v>Bookings and confirmations</x:v>
      </x:c>
      <x:c r="I1105" s="71" t="str">
        <x:v>Bookings and confirmations</x:v>
      </x:c>
      <x:c r="J1105" s="73"/>
      <x:c r="K1105" s="74" t="str">
        <x:f>IF(J1105="",H1105,IF(J1105=I1105,I1105,J1105))</x:f>
        <x:v>Bookings and confirmations</x:v>
      </x:c>
      <x:c r="L1105" s="74" t="str">
        <x:f>IF(J1105="","Keep current",IF(J1105=I1105,"Use suggestion","Custom"))</x:f>
        <x:v>Keep current</x:v>
      </x:c>
      <x:c r="M1105" s="71" t="str">
        <x:v>Pending review</x:v>
      </x:c>
      <x:c r="N1105" s="71" t="str">
        <x:v>Normal</x:v>
      </x:c>
      <x:c r="O1105" s="71" t="str">
        <x:v>app/journey/trip/trip-mode-client.tsx</x:v>
      </x:c>
      <x:c r="P1105" s="71" t="str">
        <x:v>TripModeClient:305</x:v>
      </x:c>
      <x:c r="Q1105" s="71" t="str">
        <x:v>EN (default / shared)</x:v>
      </x:c>
      <x:c r="R1105" s="71" t="str">
        <x:v>Already clear and direct; suggested wording intentionally keeps the current copy.</x:v>
      </x:c>
      <x:c r="S1105" s="75" t="str">
        <x:v>Not applied — review required</x:v>
      </x:c>
    </x:row>
    <x:row r="1106">
      <x:c r="A1106" s="71" t="str">
        <x:v>MRV-49910FBD6E</x:v>
      </x:c>
      <x:c r="B1106" s="71" t="str">
        <x:v>Legacy</x:v>
      </x:c>
      <x:c r="C1106" s="71" t="str">
        <x:v>Trip mode</x:v>
      </x:c>
      <x:c r="D1106" s="71" t="str">
        <x:v>/journey/trip/trip-mode-client</x:v>
      </x:c>
      <x:c r="E1106" s="71" t="str">
        <x:v>TripModeClient</x:v>
      </x:c>
      <x:c r="F1106" s="71" t="str">
        <x:v>Default</x:v>
      </x:c>
      <x:c r="G1106" s="71" t="str">
        <x:v>Label</x:v>
      </x:c>
      <x:c r="H1106" s="71" t="str">
        <x:v>Stored with this trip</x:v>
      </x:c>
      <x:c r="I1106" s="71" t="str">
        <x:v>Stored with this trip</x:v>
      </x:c>
      <x:c r="J1106" s="73"/>
      <x:c r="K1106" s="74" t="str">
        <x:f>IF(J1106="",H1106,IF(J1106=I1106,I1106,J1106))</x:f>
        <x:v>Stored with this trip</x:v>
      </x:c>
      <x:c r="L1106" s="74" t="str">
        <x:f>IF(J1106="","Keep current",IF(J1106=I1106,"Use suggestion","Custom"))</x:f>
        <x:v>Keep current</x:v>
      </x:c>
      <x:c r="M1106" s="71" t="str">
        <x:v>Pending review</x:v>
      </x:c>
      <x:c r="N1106" s="71" t="str">
        <x:v>Normal</x:v>
      </x:c>
      <x:c r="O1106" s="71" t="str">
        <x:v>app/journey/trip/trip-mode-client.tsx</x:v>
      </x:c>
      <x:c r="P1106" s="71" t="str">
        <x:v>TripModeClient:305</x:v>
      </x:c>
      <x:c r="Q1106" s="71" t="str">
        <x:v>EN (default / shared)</x:v>
      </x:c>
      <x:c r="R1106" s="71" t="str">
        <x:v>Already clear and direct; suggested wording intentionally keeps the current copy. Terminology watch: ‘trip’ and ‘journey’ both describe the same plan. Terminology watch: ‘stops’, ‘destinations’ and ‘places’ overlap.</x:v>
      </x:c>
      <x:c r="S1106" s="75" t="str">
        <x:v>Not applied — review required</x:v>
      </x:c>
    </x:row>
    <x:row r="1107">
      <x:c r="A1107" s="71" t="str">
        <x:v>MRV-4F62DB77BF</x:v>
      </x:c>
      <x:c r="B1107" s="71" t="str">
        <x:v>Legacy</x:v>
      </x:c>
      <x:c r="C1107" s="71" t="str">
        <x:v>Trip mode</x:v>
      </x:c>
      <x:c r="D1107" s="71" t="str">
        <x:v>/journey/trip/trip-mode-client</x:v>
      </x:c>
      <x:c r="E1107" s="71" t="str">
        <x:v>TripModeClient</x:v>
      </x:c>
      <x:c r="F1107" s="71" t="str">
        <x:v>Accessibility / input support</x:v>
      </x:c>
      <x:c r="G1107" s="71" t="str">
        <x:v>Accessibility label</x:v>
      </x:c>
      <x:c r="H1107" s="71" t="str">
        <x:v>Open {booking.title}</x:v>
      </x:c>
      <x:c r="I1107" s="71" t="str">
        <x:v>Open {booking.title}</x:v>
      </x:c>
      <x:c r="J1107" s="73"/>
      <x:c r="K1107" s="74" t="str">
        <x:f>IF(J1107="",H1107,IF(J1107=I1107,I1107,J1107))</x:f>
        <x:v>Open {booking.title}</x:v>
      </x:c>
      <x:c r="L1107" s="74" t="str">
        <x:f>IF(J1107="","Keep current",IF(J1107=I1107,"Use suggestion","Custom"))</x:f>
        <x:v>Keep current</x:v>
      </x:c>
      <x:c r="M1107" s="71" t="str">
        <x:v>Pending review</x:v>
      </x:c>
      <x:c r="N1107" s="71" t="str">
        <x:v>Medium</x:v>
      </x:c>
      <x:c r="O1107" s="71" t="str">
        <x:v>app/journey/trip/trip-mode-client.tsx</x:v>
      </x:c>
      <x:c r="P1107" s="71" t="str">
        <x:v>TripModeClient:305</x:v>
      </x:c>
      <x:c r="Q1107" s="71" t="str">
        <x:v>EN (default / shared)</x:v>
      </x:c>
      <x:c r="R1107" s="71" t="str">
        <x:v>Already clear and direct; suggested wording intentionally keeps the current copy. Dynamic traveller or trip value is represented as a token; user-generated values are excluded.</x:v>
      </x:c>
      <x:c r="S1107" s="75" t="str">
        <x:v>Not applied — review required</x:v>
      </x:c>
    </x:row>
    <x:row r="1108">
      <x:c r="A1108" s="71" t="str">
        <x:v>MRV-ED8BB2DE63</x:v>
      </x:c>
      <x:c r="B1108" s="71" t="str">
        <x:v>Legacy</x:v>
      </x:c>
      <x:c r="C1108" s="71" t="str">
        <x:v>Trip mode</x:v>
      </x:c>
      <x:c r="D1108" s="71" t="str">
        <x:v>/journey/trip/trip-mode-client</x:v>
      </x:c>
      <x:c r="E1108" s="71" t="str">
        <x:v>TripModeClient</x:v>
      </x:c>
      <x:c r="F1108" s="71" t="str">
        <x:v>Accessibility / input support</x:v>
      </x:c>
      <x:c r="G1108" s="71" t="str">
        <x:v>Accessibility label</x:v>
      </x:c>
      <x:c r="H1108" s="71" t="str">
        <x:v>Booking type</x:v>
      </x:c>
      <x:c r="I1108" s="71" t="str">
        <x:v>Booking type</x:v>
      </x:c>
      <x:c r="J1108" s="73"/>
      <x:c r="K1108" s="74" t="str">
        <x:f>IF(J1108="",H1108,IF(J1108=I1108,I1108,J1108))</x:f>
        <x:v>Booking type</x:v>
      </x:c>
      <x:c r="L1108" s="74" t="str">
        <x:f>IF(J1108="","Keep current",IF(J1108=I1108,"Use suggestion","Custom"))</x:f>
        <x:v>Keep current</x:v>
      </x:c>
      <x:c r="M1108" s="71" t="str">
        <x:v>Pending review</x:v>
      </x:c>
      <x:c r="N1108" s="71" t="str">
        <x:v>Medium</x:v>
      </x:c>
      <x:c r="O1108" s="71" t="str">
        <x:v>app/journey/trip/trip-mode-client.tsx</x:v>
      </x:c>
      <x:c r="P1108" s="71" t="str">
        <x:v>TripModeClient:305</x:v>
      </x:c>
      <x:c r="Q1108" s="71" t="str">
        <x:v>EN (default / shared)</x:v>
      </x:c>
      <x:c r="R1108" s="71" t="str">
        <x:v>Already clear and direct; suggested wording intentionally keeps the current copy.</x:v>
      </x:c>
      <x:c r="S1108" s="75" t="str">
        <x:v>Not applied — review required</x:v>
      </x:c>
    </x:row>
    <x:row r="1109">
      <x:c r="A1109" s="71" t="str">
        <x:v>MRV-8F2F9CB021</x:v>
      </x:c>
      <x:c r="B1109" s="71" t="str">
        <x:v>Legacy</x:v>
      </x:c>
      <x:c r="C1109" s="71" t="str">
        <x:v>Trip mode</x:v>
      </x:c>
      <x:c r="D1109" s="71" t="str">
        <x:v>/journey/trip/trip-mode-client</x:v>
      </x:c>
      <x:c r="E1109" s="71" t="str">
        <x:v>TripModeClient</x:v>
      </x:c>
      <x:c r="F1109" s="71" t="str">
        <x:v>Default</x:v>
      </x:c>
      <x:c r="G1109" s="71" t="str">
        <x:v>Label</x:v>
      </x:c>
      <x:c r="H1109" s="71" t="str">
        <x:v>Stay</x:v>
      </x:c>
      <x:c r="I1109" s="71" t="str">
        <x:v>Stay</x:v>
      </x:c>
      <x:c r="J1109" s="73"/>
      <x:c r="K1109" s="74" t="str">
        <x:f>IF(J1109="",H1109,IF(J1109=I1109,I1109,J1109))</x:f>
        <x:v>Stay</x:v>
      </x:c>
      <x:c r="L1109" s="74" t="str">
        <x:f>IF(J1109="","Keep current",IF(J1109=I1109,"Use suggestion","Custom"))</x:f>
        <x:v>Keep current</x:v>
      </x:c>
      <x:c r="M1109" s="71" t="str">
        <x:v>Pending review</x:v>
      </x:c>
      <x:c r="N1109" s="71" t="str">
        <x:v>Normal</x:v>
      </x:c>
      <x:c r="O1109" s="71" t="str">
        <x:v>app/journey/trip/trip-mode-client.tsx</x:v>
      </x:c>
      <x:c r="P1109" s="71" t="str">
        <x:v>TripModeClient:305</x:v>
      </x:c>
      <x:c r="Q1109" s="71" t="str">
        <x:v>EN (default / shared)</x:v>
      </x:c>
      <x:c r="R1109" s="71" t="str">
        <x:v>Already clear and direct; suggested wording intentionally keeps the current copy. Duplicate wording: appears 6 times.</x:v>
      </x:c>
      <x:c r="S1109" s="75" t="str">
        <x:v>Not applied — review required</x:v>
      </x:c>
    </x:row>
    <x:row r="1110">
      <x:c r="A1110" s="71" t="str">
        <x:v>MRV-8F0CA8D68C</x:v>
      </x:c>
      <x:c r="B1110" s="71" t="str">
        <x:v>Legacy</x:v>
      </x:c>
      <x:c r="C1110" s="71" t="str">
        <x:v>Trip mode</x:v>
      </x:c>
      <x:c r="D1110" s="71" t="str">
        <x:v>/journey/trip/trip-mode-client</x:v>
      </x:c>
      <x:c r="E1110" s="71" t="str">
        <x:v>TripModeClient</x:v>
      </x:c>
      <x:c r="F1110" s="71" t="str">
        <x:v>Default</x:v>
      </x:c>
      <x:c r="G1110" s="71" t="str">
        <x:v>Label</x:v>
      </x:c>
      <x:c r="H1110" s="71" t="str">
        <x:v>Transport</x:v>
      </x:c>
      <x:c r="I1110" s="71" t="str">
        <x:v>Transport</x:v>
      </x:c>
      <x:c r="J1110" s="73"/>
      <x:c r="K1110" s="74" t="str">
        <x:f>IF(J1110="",H1110,IF(J1110=I1110,I1110,J1110))</x:f>
        <x:v>Transport</x:v>
      </x:c>
      <x:c r="L1110" s="74" t="str">
        <x:f>IF(J1110="","Keep current",IF(J1110=I1110,"Use suggestion","Custom"))</x:f>
        <x:v>Keep current</x:v>
      </x:c>
      <x:c r="M1110" s="71" t="str">
        <x:v>Pending review</x:v>
      </x:c>
      <x:c r="N1110" s="71" t="str">
        <x:v>Normal</x:v>
      </x:c>
      <x:c r="O1110" s="71" t="str">
        <x:v>app/journey/trip/trip-mode-client.tsx</x:v>
      </x:c>
      <x:c r="P1110" s="71" t="str">
        <x:v>TripModeClient:305</x:v>
      </x:c>
      <x:c r="Q1110" s="71" t="str">
        <x:v>EN (default / shared)</x:v>
      </x:c>
      <x:c r="R1110" s="71" t="str">
        <x:v>Already clear and direct; suggested wording intentionally keeps the current copy.</x:v>
      </x:c>
      <x:c r="S1110" s="75" t="str">
        <x:v>Not applied — review required</x:v>
      </x:c>
    </x:row>
    <x:row r="1111">
      <x:c r="A1111" s="71" t="str">
        <x:v>MRV-7F9B235828</x:v>
      </x:c>
      <x:c r="B1111" s="71" t="str">
        <x:v>Legacy</x:v>
      </x:c>
      <x:c r="C1111" s="71" t="str">
        <x:v>Trip mode</x:v>
      </x:c>
      <x:c r="D1111" s="71" t="str">
        <x:v>/journey/trip/trip-mode-client</x:v>
      </x:c>
      <x:c r="E1111" s="71" t="str">
        <x:v>TripModeClient</x:v>
      </x:c>
      <x:c r="F1111" s="71" t="str">
        <x:v>Default</x:v>
      </x:c>
      <x:c r="G1111" s="71" t="str">
        <x:v>Label</x:v>
      </x:c>
      <x:c r="H1111" s="71" t="str">
        <x:v>Reservation</x:v>
      </x:c>
      <x:c r="I1111" s="71" t="str">
        <x:v>Reservation</x:v>
      </x:c>
      <x:c r="J1111" s="73"/>
      <x:c r="K1111" s="74" t="str">
        <x:f>IF(J1111="",H1111,IF(J1111=I1111,I1111,J1111))</x:f>
        <x:v>Reservation</x:v>
      </x:c>
      <x:c r="L1111" s="74" t="str">
        <x:f>IF(J1111="","Keep current",IF(J1111=I1111,"Use suggestion","Custom"))</x:f>
        <x:v>Keep current</x:v>
      </x:c>
      <x:c r="M1111" s="71" t="str">
        <x:v>Pending review</x:v>
      </x:c>
      <x:c r="N1111" s="71" t="str">
        <x:v>Normal</x:v>
      </x:c>
      <x:c r="O1111" s="71" t="str">
        <x:v>app/journey/trip/trip-mode-client.tsx</x:v>
      </x:c>
      <x:c r="P1111" s="71" t="str">
        <x:v>TripModeClient:305</x:v>
      </x:c>
      <x:c r="Q1111" s="71" t="str">
        <x:v>EN (default / shared)</x:v>
      </x:c>
      <x:c r="R1111" s="71" t="str">
        <x:v>Already clear and direct; suggested wording intentionally keeps the current copy.</x:v>
      </x:c>
      <x:c r="S1111" s="75" t="str">
        <x:v>Not applied — review required</x:v>
      </x:c>
    </x:row>
    <x:row r="1112">
      <x:c r="A1112" s="71" t="str">
        <x:v>MRV-8C4AAEB91D</x:v>
      </x:c>
      <x:c r="B1112" s="71" t="str">
        <x:v>Legacy</x:v>
      </x:c>
      <x:c r="C1112" s="71" t="str">
        <x:v>Trip mode</x:v>
      </x:c>
      <x:c r="D1112" s="71" t="str">
        <x:v>/journey/trip/trip-mode-client</x:v>
      </x:c>
      <x:c r="E1112" s="71" t="str">
        <x:v>TripModeClient</x:v>
      </x:c>
      <x:c r="F1112" s="71" t="str">
        <x:v>Default</x:v>
      </x:c>
      <x:c r="G1112" s="71" t="str">
        <x:v>Label</x:v>
      </x:c>
      <x:c r="H1112" s="71" t="str">
        <x:v>Other</x:v>
      </x:c>
      <x:c r="I1112" s="71" t="str">
        <x:v>Other</x:v>
      </x:c>
      <x:c r="J1112" s="73"/>
      <x:c r="K1112" s="74" t="str">
        <x:f>IF(J1112="",H1112,IF(J1112=I1112,I1112,J1112))</x:f>
        <x:v>Other</x:v>
      </x:c>
      <x:c r="L1112" s="74" t="str">
        <x:f>IF(J1112="","Keep current",IF(J1112=I1112,"Use suggestion","Custom"))</x:f>
        <x:v>Keep current</x:v>
      </x:c>
      <x:c r="M1112" s="71" t="str">
        <x:v>Pending review</x:v>
      </x:c>
      <x:c r="N1112" s="71" t="str">
        <x:v>Normal</x:v>
      </x:c>
      <x:c r="O1112" s="71" t="str">
        <x:v>app/journey/trip/trip-mode-client.tsx</x:v>
      </x:c>
      <x:c r="P1112" s="71" t="str">
        <x:v>TripModeClient:305</x:v>
      </x:c>
      <x:c r="Q1112" s="71" t="str">
        <x:v>EN (default / shared)</x:v>
      </x:c>
      <x:c r="R1112" s="71" t="str">
        <x:v>Already clear and direct; suggested wording intentionally keeps the current copy.</x:v>
      </x:c>
      <x:c r="S1112" s="75" t="str">
        <x:v>Not applied — review required</x:v>
      </x:c>
    </x:row>
    <x:row r="1113">
      <x:c r="A1113" s="71" t="str">
        <x:v>MRV-6A72952440</x:v>
      </x:c>
      <x:c r="B1113" s="71" t="str">
        <x:v>Legacy</x:v>
      </x:c>
      <x:c r="C1113" s="71" t="str">
        <x:v>Trip mode</x:v>
      </x:c>
      <x:c r="D1113" s="71" t="str">
        <x:v>/journey/trip/trip-mode-client</x:v>
      </x:c>
      <x:c r="E1113" s="71" t="str">
        <x:v>TripModeClient</x:v>
      </x:c>
      <x:c r="F1113" s="71" t="str">
        <x:v>Accessibility / input support</x:v>
      </x:c>
      <x:c r="G1113" s="71" t="str">
        <x:v>Placeholder</x:v>
      </x:c>
      <x:c r="H1113" s="71" t="str">
        <x:v>Hotel, flight, restaurant…</x:v>
      </x:c>
      <x:c r="I1113" s="71" t="str">
        <x:v>Hotel, flight, restaurant…</x:v>
      </x:c>
      <x:c r="J1113" s="73"/>
      <x:c r="K1113" s="74" t="str">
        <x:f>IF(J1113="",H1113,IF(J1113=I1113,I1113,J1113))</x:f>
        <x:v>Hotel, flight, restaurant…</x:v>
      </x:c>
      <x:c r="L1113" s="74" t="str">
        <x:f>IF(J1113="","Keep current",IF(J1113=I1113,"Use suggestion","Custom"))</x:f>
        <x:v>Keep current</x:v>
      </x:c>
      <x:c r="M1113" s="71" t="str">
        <x:v>Pending review</x:v>
      </x:c>
      <x:c r="N1113" s="71" t="str">
        <x:v>Medium</x:v>
      </x:c>
      <x:c r="O1113" s="71" t="str">
        <x:v>app/journey/trip/trip-mode-client.tsx</x:v>
      </x:c>
      <x:c r="P1113" s="71" t="str">
        <x:v>TripModeClient:305</x:v>
      </x:c>
      <x:c r="Q1113" s="71" t="str">
        <x:v>EN (default / shared)</x:v>
      </x:c>
      <x:c r="R1113" s="71" t="str">
        <x:v>Already clear and direct; suggested wording intentionally keeps the current copy.</x:v>
      </x:c>
      <x:c r="S1113" s="75" t="str">
        <x:v>Not applied — review required</x:v>
      </x:c>
    </x:row>
    <x:row r="1114">
      <x:c r="A1114" s="71" t="str">
        <x:v>MRV-813F5DA539</x:v>
      </x:c>
      <x:c r="B1114" s="71" t="str">
        <x:v>Legacy</x:v>
      </x:c>
      <x:c r="C1114" s="71" t="str">
        <x:v>Trip mode</x:v>
      </x:c>
      <x:c r="D1114" s="71" t="str">
        <x:v>/journey/trip/trip-mode-client</x:v>
      </x:c>
      <x:c r="E1114" s="71" t="str">
        <x:v>TripModeClient</x:v>
      </x:c>
      <x:c r="F1114" s="71" t="str">
        <x:v>Accessibility / input support</x:v>
      </x:c>
      <x:c r="G1114" s="71" t="str">
        <x:v>Accessibility label</x:v>
      </x:c>
      <x:c r="H1114" s="71" t="str">
        <x:v>Booking name</x:v>
      </x:c>
      <x:c r="I1114" s="71" t="str">
        <x:v>Booking name</x:v>
      </x:c>
      <x:c r="J1114" s="73"/>
      <x:c r="K1114" s="74" t="str">
        <x:f>IF(J1114="",H1114,IF(J1114=I1114,I1114,J1114))</x:f>
        <x:v>Booking name</x:v>
      </x:c>
      <x:c r="L1114" s="74" t="str">
        <x:f>IF(J1114="","Keep current",IF(J1114=I1114,"Use suggestion","Custom"))</x:f>
        <x:v>Keep current</x:v>
      </x:c>
      <x:c r="M1114" s="71" t="str">
        <x:v>Pending review</x:v>
      </x:c>
      <x:c r="N1114" s="71" t="str">
        <x:v>Medium</x:v>
      </x:c>
      <x:c r="O1114" s="71" t="str">
        <x:v>app/journey/trip/trip-mode-client.tsx</x:v>
      </x:c>
      <x:c r="P1114" s="71" t="str">
        <x:v>TripModeClient:305</x:v>
      </x:c>
      <x:c r="Q1114" s="71" t="str">
        <x:v>EN (default / shared)</x:v>
      </x:c>
      <x:c r="R1114" s="71" t="str">
        <x:v>Already clear and direct; suggested wording intentionally keeps the current copy.</x:v>
      </x:c>
      <x:c r="S1114" s="75" t="str">
        <x:v>Not applied — review required</x:v>
      </x:c>
    </x:row>
    <x:row r="1115">
      <x:c r="A1115" s="71" t="str">
        <x:v>MRV-4344AC8F40</x:v>
      </x:c>
      <x:c r="B1115" s="71" t="str">
        <x:v>Legacy</x:v>
      </x:c>
      <x:c r="C1115" s="71" t="str">
        <x:v>Trip mode</x:v>
      </x:c>
      <x:c r="D1115" s="71" t="str">
        <x:v>/journey/trip/trip-mode-client</x:v>
      </x:c>
      <x:c r="E1115" s="71" t="str">
        <x:v>TripModeClient</x:v>
      </x:c>
      <x:c r="F1115" s="71" t="str">
        <x:v>Accessibility / input support</x:v>
      </x:c>
      <x:c r="G1115" s="71" t="str">
        <x:v>Accessibility label</x:v>
      </x:c>
      <x:c r="H1115" s="71" t="str">
        <x:v>Booking date</x:v>
      </x:c>
      <x:c r="I1115" s="71" t="str">
        <x:v>Booking date</x:v>
      </x:c>
      <x:c r="J1115" s="73"/>
      <x:c r="K1115" s="74" t="str">
        <x:f>IF(J1115="",H1115,IF(J1115=I1115,I1115,J1115))</x:f>
        <x:v>Booking date</x:v>
      </x:c>
      <x:c r="L1115" s="74" t="str">
        <x:f>IF(J1115="","Keep current",IF(J1115=I1115,"Use suggestion","Custom"))</x:f>
        <x:v>Keep current</x:v>
      </x:c>
      <x:c r="M1115" s="71" t="str">
        <x:v>Pending review</x:v>
      </x:c>
      <x:c r="N1115" s="71" t="str">
        <x:v>Medium</x:v>
      </x:c>
      <x:c r="O1115" s="71" t="str">
        <x:v>app/journey/trip/trip-mode-client.tsx</x:v>
      </x:c>
      <x:c r="P1115" s="71" t="str">
        <x:v>TripModeClient:305</x:v>
      </x:c>
      <x:c r="Q1115" s="71" t="str">
        <x:v>EN (default / shared)</x:v>
      </x:c>
      <x:c r="R1115" s="71" t="str">
        <x:v>Already clear and direct; suggested wording intentionally keeps the current copy.</x:v>
      </x:c>
      <x:c r="S1115" s="75" t="str">
        <x:v>Not applied — review required</x:v>
      </x:c>
    </x:row>
    <x:row r="1116">
      <x:c r="A1116" s="71" t="str">
        <x:v>MRV-7D902506F0</x:v>
      </x:c>
      <x:c r="B1116" s="71" t="str">
        <x:v>Legacy</x:v>
      </x:c>
      <x:c r="C1116" s="71" t="str">
        <x:v>Trip mode</x:v>
      </x:c>
      <x:c r="D1116" s="71" t="str">
        <x:v>/journey/trip/trip-mode-client</x:v>
      </x:c>
      <x:c r="E1116" s="71" t="str">
        <x:v>TripModeClient</x:v>
      </x:c>
      <x:c r="F1116" s="71" t="str">
        <x:v>Accessibility / input support</x:v>
      </x:c>
      <x:c r="G1116" s="71" t="str">
        <x:v>Placeholder</x:v>
      </x:c>
      <x:c r="H1116" s="71" t="str">
        <x:v>Confirmation link (optional)</x:v>
      </x:c>
      <x:c r="I1116" s="71" t="str">
        <x:v>Confirmation link (optional)</x:v>
      </x:c>
      <x:c r="J1116" s="73"/>
      <x:c r="K1116" s="74" t="str">
        <x:f>IF(J1116="",H1116,IF(J1116=I1116,I1116,J1116))</x:f>
        <x:v>Confirmation link (optional)</x:v>
      </x:c>
      <x:c r="L1116" s="74" t="str">
        <x:f>IF(J1116="","Keep current",IF(J1116=I1116,"Use suggestion","Custom"))</x:f>
        <x:v>Keep current</x:v>
      </x:c>
      <x:c r="M1116" s="71" t="str">
        <x:v>Pending review</x:v>
      </x:c>
      <x:c r="N1116" s="71" t="str">
        <x:v>Medium</x:v>
      </x:c>
      <x:c r="O1116" s="71" t="str">
        <x:v>app/journey/trip/trip-mode-client.tsx</x:v>
      </x:c>
      <x:c r="P1116" s="71" t="str">
        <x:v>TripModeClient:305</x:v>
      </x:c>
      <x:c r="Q1116" s="71" t="str">
        <x:v>EN (default / shared)</x:v>
      </x:c>
      <x:c r="R1116" s="71" t="str">
        <x:v>Already clear and direct; suggested wording intentionally keeps the current copy.</x:v>
      </x:c>
      <x:c r="S1116" s="75" t="str">
        <x:v>Not applied — review required</x:v>
      </x:c>
    </x:row>
    <x:row r="1117">
      <x:c r="A1117" s="71" t="str">
        <x:v>MRV-596A8385DE</x:v>
      </x:c>
      <x:c r="B1117" s="71" t="str">
        <x:v>Legacy</x:v>
      </x:c>
      <x:c r="C1117" s="71" t="str">
        <x:v>Trip mode</x:v>
      </x:c>
      <x:c r="D1117" s="71" t="str">
        <x:v>/journey/trip/trip-mode-client</x:v>
      </x:c>
      <x:c r="E1117" s="71" t="str">
        <x:v>TripModeClient</x:v>
      </x:c>
      <x:c r="F1117" s="71" t="str">
        <x:v>Accessibility / input support</x:v>
      </x:c>
      <x:c r="G1117" s="71" t="str">
        <x:v>Accessibility label</x:v>
      </x:c>
      <x:c r="H1117" s="71" t="str">
        <x:v>Confirmation link</x:v>
      </x:c>
      <x:c r="I1117" s="71" t="str">
        <x:v>Confirmation link</x:v>
      </x:c>
      <x:c r="J1117" s="73"/>
      <x:c r="K1117" s="74" t="str">
        <x:f>IF(J1117="",H1117,IF(J1117=I1117,I1117,J1117))</x:f>
        <x:v>Confirmation link</x:v>
      </x:c>
      <x:c r="L1117" s="74" t="str">
        <x:f>IF(J1117="","Keep current",IF(J1117=I1117,"Use suggestion","Custom"))</x:f>
        <x:v>Keep current</x:v>
      </x:c>
      <x:c r="M1117" s="71" t="str">
        <x:v>Pending review</x:v>
      </x:c>
      <x:c r="N1117" s="71" t="str">
        <x:v>Medium</x:v>
      </x:c>
      <x:c r="O1117" s="71" t="str">
        <x:v>app/journey/trip/trip-mode-client.tsx</x:v>
      </x:c>
      <x:c r="P1117" s="71" t="str">
        <x:v>TripModeClient:305</x:v>
      </x:c>
      <x:c r="Q1117" s="71" t="str">
        <x:v>EN (default / shared)</x:v>
      </x:c>
      <x:c r="R1117" s="71" t="str">
        <x:v>Already clear and direct; suggested wording intentionally keeps the current copy.</x:v>
      </x:c>
      <x:c r="S1117" s="75" t="str">
        <x:v>Not applied — review required</x:v>
      </x:c>
    </x:row>
    <x:row r="1118">
      <x:c r="A1118" s="71" t="str">
        <x:v>MRV-C654FFD094</x:v>
      </x:c>
      <x:c r="B1118" s="71" t="str">
        <x:v>Legacy</x:v>
      </x:c>
      <x:c r="C1118" s="71" t="str">
        <x:v>Trip mode</x:v>
      </x:c>
      <x:c r="D1118" s="71" t="str">
        <x:v>/journey/trip/trip-mode-client</x:v>
      </x:c>
      <x:c r="E1118" s="71" t="str">
        <x:v>TripModeClient</x:v>
      </x:c>
      <x:c r="F1118" s="71" t="str">
        <x:v>Default</x:v>
      </x:c>
      <x:c r="G1118" s="71" t="str">
        <x:v>CTA / button</x:v>
      </x:c>
      <x:c r="H1118" s="71" t="str">
        <x:v>Add booking</x:v>
      </x:c>
      <x:c r="I1118" s="71" t="str">
        <x:v>Add booking</x:v>
      </x:c>
      <x:c r="J1118" s="73"/>
      <x:c r="K1118" s="74" t="str">
        <x:f>IF(J1118="",H1118,IF(J1118=I1118,I1118,J1118))</x:f>
        <x:v>Add booking</x:v>
      </x:c>
      <x:c r="L1118" s="74" t="str">
        <x:f>IF(J1118="","Keep current",IF(J1118=I1118,"Use suggestion","Custom"))</x:f>
        <x:v>Keep current</x:v>
      </x:c>
      <x:c r="M1118" s="71" t="str">
        <x:v>Pending review</x:v>
      </x:c>
      <x:c r="N1118" s="71" t="str">
        <x:v>Medium</x:v>
      </x:c>
      <x:c r="O1118" s="71" t="str">
        <x:v>app/journey/trip/trip-mode-client.tsx</x:v>
      </x:c>
      <x:c r="P1118" s="71" t="str">
        <x:v>TripModeClient:305</x:v>
      </x:c>
      <x:c r="Q1118" s="71" t="str">
        <x:v>EN (default / shared)</x:v>
      </x:c>
      <x:c r="R1118" s="71" t="str">
        <x:v>Already clear and direct; suggested wording intentionally keeps the current copy.</x:v>
      </x:c>
      <x:c r="S1118" s="75" t="str">
        <x:v>Not applied — review required</x:v>
      </x:c>
    </x:row>
    <x:row r="1119">
      <x:c r="A1119" s="71" t="str">
        <x:v>MRV-3A3EAF3330</x:v>
      </x:c>
      <x:c r="B1119" s="71" t="str">
        <x:v>Legacy</x:v>
      </x:c>
      <x:c r="C1119" s="71" t="str">
        <x:v>Trip mode</x:v>
      </x:c>
      <x:c r="D1119" s="71" t="str">
        <x:v>/journey/trip/trip-mode-client</x:v>
      </x:c>
      <x:c r="E1119" s="71" t="str">
        <x:v>TripModeClient</x:v>
      </x:c>
      <x:c r="F1119" s="71" t="str">
        <x:v>Default</x:v>
      </x:c>
      <x:c r="G1119" s="71" t="str">
        <x:v>Label</x:v>
      </x:c>
      <x:c r="H1119" s="71" t="str">
        <x:v>TRAVEL CHECKS</x:v>
      </x:c>
      <x:c r="I1119" s="71" t="str">
        <x:v>TRAVEL CHECKS</x:v>
      </x:c>
      <x:c r="J1119" s="73"/>
      <x:c r="K1119" s="74" t="str">
        <x:f>IF(J1119="",H1119,IF(J1119=I1119,I1119,J1119))</x:f>
        <x:v>TRAVEL CHECKS</x:v>
      </x:c>
      <x:c r="L1119" s="74" t="str">
        <x:f>IF(J1119="","Keep current",IF(J1119=I1119,"Use suggestion","Custom"))</x:f>
        <x:v>Keep current</x:v>
      </x:c>
      <x:c r="M1119" s="71" t="str">
        <x:v>Pending review</x:v>
      </x:c>
      <x:c r="N1119" s="71" t="str">
        <x:v>Normal</x:v>
      </x:c>
      <x:c r="O1119" s="71" t="str">
        <x:v>app/journey/trip/trip-mode-client.tsx</x:v>
      </x:c>
      <x:c r="P1119" s="71" t="str">
        <x:v>TripModeClient:306</x:v>
      </x:c>
      <x:c r="Q1119" s="71" t="str">
        <x:v>EN (default / shared)</x:v>
      </x:c>
      <x:c r="R1119" s="71" t="str">
        <x:v>Already clear and direct; suggested wording intentionally keeps the current copy.</x:v>
      </x:c>
      <x:c r="S1119" s="75" t="str">
        <x:v>Not applied — review required</x:v>
      </x:c>
    </x:row>
    <x:row r="1120">
      <x:c r="A1120" s="71" t="str">
        <x:v>MRV-884423B244</x:v>
      </x:c>
      <x:c r="B1120" s="71" t="str">
        <x:v>Legacy</x:v>
      </x:c>
      <x:c r="C1120" s="71" t="str">
        <x:v>Trip mode</x:v>
      </x:c>
      <x:c r="D1120" s="71" t="str">
        <x:v>/journey/trip/trip-mode-client</x:v>
      </x:c>
      <x:c r="E1120" s="71" t="str">
        <x:v>TripModeClient</x:v>
      </x:c>
      <x:c r="F1120" s="71" t="str">
        <x:v>Default</x:v>
      </x:c>
      <x:c r="G1120" s="71" t="str">
        <x:v>Body copy</x:v>
      </x:c>
      <x:c r="H1120" s="71" t="str">
        <x:v>Keep the essentials covered.</x:v>
      </x:c>
      <x:c r="I1120" s="71" t="str">
        <x:v>Keep the essentials covered.</x:v>
      </x:c>
      <x:c r="J1120" s="73"/>
      <x:c r="K1120" s="74" t="str">
        <x:f>IF(J1120="",H1120,IF(J1120=I1120,I1120,J1120))</x:f>
        <x:v>Keep the essentials covered.</x:v>
      </x:c>
      <x:c r="L1120" s="74" t="str">
        <x:f>IF(J1120="","Keep current",IF(J1120=I1120,"Use suggestion","Custom"))</x:f>
        <x:v>Keep current</x:v>
      </x:c>
      <x:c r="M1120" s="71" t="str">
        <x:v>Pending review</x:v>
      </x:c>
      <x:c r="N1120" s="71" t="str">
        <x:v>Normal</x:v>
      </x:c>
      <x:c r="O1120" s="71" t="str">
        <x:v>app/journey/trip/trip-mode-client.tsx</x:v>
      </x:c>
      <x:c r="P1120" s="71" t="str">
        <x:v>TripModeClient:306</x:v>
      </x:c>
      <x:c r="Q1120" s="71" t="str">
        <x:v>EN (default / shared)</x:v>
      </x:c>
      <x:c r="R1120" s="71" t="str">
        <x:v>Already clear and direct; suggested wording intentionally keeps the current copy.</x:v>
      </x:c>
      <x:c r="S1120" s="75" t="str">
        <x:v>Not applied — review required</x:v>
      </x:c>
    </x:row>
    <x:row r="1121">
      <x:c r="A1121" s="71" t="str">
        <x:v>MRV-62AF771CA1</x:v>
      </x:c>
      <x:c r="B1121" s="71" t="str">
        <x:v>Legacy</x:v>
      </x:c>
      <x:c r="C1121" s="71" t="str">
        <x:v>Trip mode</x:v>
      </x:c>
      <x:c r="D1121" s="71" t="str">
        <x:v>/journey/trip/trip-mode-client</x:v>
      </x:c>
      <x:c r="E1121" s="71" t="str">
        <x:v>TripModeClient</x:v>
      </x:c>
      <x:c r="F1121" s="71" t="str">
        <x:v>Default</x:v>
      </x:c>
      <x:c r="G1121" s="71" t="str">
        <x:v>Body copy</x:v>
      </x:c>
      <x:c r="H1121" s="71" t="str">
        <x:v>Keep this trip available before and during travel.</x:v>
      </x:c>
      <x:c r="I1121" s="71" t="str">
        <x:v>Keep this trip available before and during travel.</x:v>
      </x:c>
      <x:c r="J1121" s="73"/>
      <x:c r="K1121" s="74" t="str">
        <x:f>IF(J1121="",H1121,IF(J1121=I1121,I1121,J1121))</x:f>
        <x:v>Keep this trip available before and during travel.</x:v>
      </x:c>
      <x:c r="L1121" s="74" t="str">
        <x:f>IF(J1121="","Keep current",IF(J1121=I1121,"Use suggestion","Custom"))</x:f>
        <x:v>Keep current</x:v>
      </x:c>
      <x:c r="M1121" s="71" t="str">
        <x:v>Pending review</x:v>
      </x:c>
      <x:c r="N1121" s="71" t="str">
        <x:v>Normal</x:v>
      </x:c>
      <x:c r="O1121" s="71" t="str">
        <x:v>app/journey/trip/trip-mode-client.tsx</x:v>
      </x:c>
      <x:c r="P1121" s="71" t="str">
        <x:v>TripModeClient:306</x:v>
      </x:c>
      <x:c r="Q1121" s="71" t="str">
        <x:v>EN (default / shared)</x:v>
      </x:c>
      <x:c r="R1121" s="71" t="str">
        <x:v>Already clear and direct; suggested wording intentionally keeps the current copy. Terminology watch: ‘trip’ and ‘journey’ both describe the same plan. Terminology watch: ‘stops’, ‘destinations’ and ‘places’ overlap.</x:v>
      </x:c>
      <x:c r="S1121" s="75" t="str">
        <x:v>Not applied — review required</x:v>
      </x:c>
    </x:row>
    <x:row r="1122">
      <x:c r="A1122" s="71" t="str">
        <x:v>MRV-37015BA656</x:v>
      </x:c>
      <x:c r="B1122" s="71" t="str">
        <x:v>Legacy</x:v>
      </x:c>
      <x:c r="C1122" s="71" t="str">
        <x:v>Trip mode</x:v>
      </x:c>
      <x:c r="D1122" s="71" t="str">
        <x:v>/journey/trip/trip-mode-client</x:v>
      </x:c>
      <x:c r="E1122" s="71" t="str">
        <x:v>TripModeClient</x:v>
      </x:c>
      <x:c r="F1122" s="71" t="str">
        <x:v>Default</x:v>
      </x:c>
      <x:c r="G1122" s="71" t="str">
        <x:v>Body copy</x:v>
      </x:c>
      <x:c r="H1122" s="71" t="str">
        <x:v>Your current itinerary remains available from this device, even if you lose signal.</x:v>
      </x:c>
      <x:c r="I1122" s="71" t="str">
        <x:v>Your current itinerary remains available from this device, even if you lose signal.</x:v>
      </x:c>
      <x:c r="J1122" s="73"/>
      <x:c r="K1122" s="74" t="str">
        <x:f>IF(J1122="",H1122,IF(J1122=I1122,I1122,J1122))</x:f>
        <x:v>Your current itinerary remains available from this device, even if you lose signal.</x:v>
      </x:c>
      <x:c r="L1122" s="74" t="str">
        <x:f>IF(J1122="","Keep current",IF(J1122=I1122,"Use suggestion","Custom"))</x:f>
        <x:v>Keep current</x:v>
      </x:c>
      <x:c r="M1122" s="71" t="str">
        <x:v>Pending review</x:v>
      </x:c>
      <x:c r="N1122" s="71" t="str">
        <x:v>Normal</x:v>
      </x:c>
      <x:c r="O1122" s="71" t="str">
        <x:v>app/journey/trip/trip-mode-client.tsx</x:v>
      </x:c>
      <x:c r="P1122" s="71" t="str">
        <x:v>TripModeClient:306</x:v>
      </x:c>
      <x:c r="Q1122" s="71" t="str">
        <x:v>EN (default / shared)</x:v>
      </x:c>
      <x:c r="R1122" s="71" t="str">
        <x:v>Already clear and direct; suggested wording intentionally keeps the current copy.</x:v>
      </x:c>
      <x:c r="S1122" s="75" t="str">
        <x:v>Not applied — review required</x:v>
      </x:c>
    </x:row>
    <x:row r="1123">
      <x:c r="A1123" s="71" t="str">
        <x:v>MRV-D0A775B8DD</x:v>
      </x:c>
      <x:c r="B1123" s="71" t="str">
        <x:v>System</x:v>
      </x:c>
      <x:c r="C1123" s="71" t="str">
        <x:v>Shared recovery / system</x:v>
      </x:c>
      <x:c r="D1123" s="71" t="str">
        <x:v>Shared</x:v>
      </x:c>
      <x:c r="E1123" s="71" t="str">
        <x:v>descriptionId</x:v>
      </x:c>
      <x:c r="F1123" s="71" t="str">
        <x:v>Failure / recovery</x:v>
      </x:c>
      <x:c r="G1123" s="71" t="str">
        <x:v>Label</x:v>
      </x:c>
      <x:c r="H1123" s="71" t="str">
        <x:v>{id}-description</x:v>
      </x:c>
      <x:c r="I1123" s="71" t="str">
        <x:v>{id}-description</x:v>
      </x:c>
      <x:c r="J1123" s="73"/>
      <x:c r="K1123" s="74" t="str">
        <x:f>IF(J1123="",H1123,IF(J1123=I1123,I1123,J1123))</x:f>
        <x:v>{id}-description</x:v>
      </x:c>
      <x:c r="L1123" s="74" t="str">
        <x:f>IF(J1123="","Keep current",IF(J1123=I1123,"Use suggestion","Custom"))</x:f>
        <x:v>Keep current</x:v>
      </x:c>
      <x:c r="M1123" s="71" t="str">
        <x:v>Pending review</x:v>
      </x:c>
      <x:c r="N1123" s="71" t="str">
        <x:v>High</x:v>
      </x:c>
      <x:c r="O1123" s="71" t="str">
        <x:v>components/easyt/easyt-controls.tsx</x:v>
      </x:c>
      <x:c r="P1123" s="71" t="str">
        <x:v>descriptionId:113</x:v>
      </x:c>
      <x:c r="Q1123" s="71" t="str">
        <x:v>EN (default / shared)</x:v>
      </x:c>
      <x:c r="R1123" s="71" t="str">
        <x:v>Already clear and direct; suggested wording intentionally keeps the current copy. Dynamic traveller or trip value is represented as a token; user-generated values are excluded.</x:v>
      </x:c>
      <x:c r="S1123" s="75" t="str">
        <x:v>Not applied — review required</x:v>
      </x:c>
    </x:row>
    <x:row r="1124">
      <x:c r="A1124" s="71" t="str">
        <x:v>MRV-1B0DEE79C5</x:v>
      </x:c>
      <x:c r="B1124" s="71" t="str">
        <x:v>System</x:v>
      </x:c>
      <x:c r="C1124" s="71" t="str">
        <x:v>Shared recovery / system</x:v>
      </x:c>
      <x:c r="D1124" s="71" t="str">
        <x:v>Shared</x:v>
      </x:c>
      <x:c r="E1124" s="71" t="str">
        <x:v>faces</x:v>
      </x:c>
      <x:c r="F1124" s="71" t="str">
        <x:v>Default</x:v>
      </x:c>
      <x:c r="G1124" s="71" t="str">
        <x:v>Label</x:v>
      </x:c>
      <x:c r="H1124" s="71" t="str">
        <x:v>😞</x:v>
      </x:c>
      <x:c r="I1124" s="71" t="str">
        <x:v>😞</x:v>
      </x:c>
      <x:c r="J1124" s="73"/>
      <x:c r="K1124" s="74" t="str">
        <x:f>IF(J1124="",H1124,IF(J1124=I1124,I1124,J1124))</x:f>
        <x:v>😞</x:v>
      </x:c>
      <x:c r="L1124" s="74" t="str">
        <x:f>IF(J1124="","Keep current",IF(J1124=I1124,"Use suggestion","Custom"))</x:f>
        <x:v>Keep current</x:v>
      </x:c>
      <x:c r="M1124" s="71" t="str">
        <x:v>Pending review</x:v>
      </x:c>
      <x:c r="N1124" s="71" t="str">
        <x:v>Normal</x:v>
      </x:c>
      <x:c r="O1124" s="71" t="str">
        <x:v>components/easyt/easyt-feedback.tsx</x:v>
      </x:c>
      <x:c r="P1124" s="71" t="str">
        <x:v>faces:8</x:v>
      </x:c>
      <x:c r="Q1124" s="71" t="str">
        <x:v>EN (default / shared)</x:v>
      </x:c>
      <x:c r="R1124" s="71" t="str">
        <x:v>Already clear and direct; suggested wording intentionally keeps the current copy.</x:v>
      </x:c>
      <x:c r="S1124" s="75" t="str">
        <x:v>Not applied — review required</x:v>
      </x:c>
    </x:row>
    <x:row r="1125">
      <x:c r="A1125" s="71" t="str">
        <x:v>MRV-6E50583BF4</x:v>
      </x:c>
      <x:c r="B1125" s="71" t="str">
        <x:v>System</x:v>
      </x:c>
      <x:c r="C1125" s="71" t="str">
        <x:v>Shared recovery / system</x:v>
      </x:c>
      <x:c r="D1125" s="71" t="str">
        <x:v>Shared</x:v>
      </x:c>
      <x:c r="E1125" s="71" t="str">
        <x:v>faces</x:v>
      </x:c>
      <x:c r="F1125" s="71" t="str">
        <x:v>Default</x:v>
      </x:c>
      <x:c r="G1125" s="71" t="str">
        <x:v>Label</x:v>
      </x:c>
      <x:c r="H1125" s="71" t="str">
        <x:v>🙁</x:v>
      </x:c>
      <x:c r="I1125" s="71" t="str">
        <x:v>🙁</x:v>
      </x:c>
      <x:c r="J1125" s="73"/>
      <x:c r="K1125" s="74" t="str">
        <x:f>IF(J1125="",H1125,IF(J1125=I1125,I1125,J1125))</x:f>
        <x:v>🙁</x:v>
      </x:c>
      <x:c r="L1125" s="74" t="str">
        <x:f>IF(J1125="","Keep current",IF(J1125=I1125,"Use suggestion","Custom"))</x:f>
        <x:v>Keep current</x:v>
      </x:c>
      <x:c r="M1125" s="71" t="str">
        <x:v>Pending review</x:v>
      </x:c>
      <x:c r="N1125" s="71" t="str">
        <x:v>Normal</x:v>
      </x:c>
      <x:c r="O1125" s="71" t="str">
        <x:v>components/easyt/easyt-feedback.tsx</x:v>
      </x:c>
      <x:c r="P1125" s="71" t="str">
        <x:v>faces:8</x:v>
      </x:c>
      <x:c r="Q1125" s="71" t="str">
        <x:v>EN (default / shared)</x:v>
      </x:c>
      <x:c r="R1125" s="71" t="str">
        <x:v>Already clear and direct; suggested wording intentionally keeps the current copy.</x:v>
      </x:c>
      <x:c r="S1125" s="75" t="str">
        <x:v>Not applied — review required</x:v>
      </x:c>
    </x:row>
    <x:row r="1126">
      <x:c r="A1126" s="71" t="str">
        <x:v>MRV-B77858F786</x:v>
      </x:c>
      <x:c r="B1126" s="71" t="str">
        <x:v>System</x:v>
      </x:c>
      <x:c r="C1126" s="71" t="str">
        <x:v>Shared recovery / system</x:v>
      </x:c>
      <x:c r="D1126" s="71" t="str">
        <x:v>Shared</x:v>
      </x:c>
      <x:c r="E1126" s="71" t="str">
        <x:v>faces</x:v>
      </x:c>
      <x:c r="F1126" s="71" t="str">
        <x:v>Default</x:v>
      </x:c>
      <x:c r="G1126" s="71" t="str">
        <x:v>Label</x:v>
      </x:c>
      <x:c r="H1126" s="71" t="str">
        <x:v>😐</x:v>
      </x:c>
      <x:c r="I1126" s="71" t="str">
        <x:v>😐</x:v>
      </x:c>
      <x:c r="J1126" s="73"/>
      <x:c r="K1126" s="74" t="str">
        <x:f>IF(J1126="",H1126,IF(J1126=I1126,I1126,J1126))</x:f>
        <x:v>😐</x:v>
      </x:c>
      <x:c r="L1126" s="74" t="str">
        <x:f>IF(J1126="","Keep current",IF(J1126=I1126,"Use suggestion","Custom"))</x:f>
        <x:v>Keep current</x:v>
      </x:c>
      <x:c r="M1126" s="71" t="str">
        <x:v>Pending review</x:v>
      </x:c>
      <x:c r="N1126" s="71" t="str">
        <x:v>Normal</x:v>
      </x:c>
      <x:c r="O1126" s="71" t="str">
        <x:v>components/easyt/easyt-feedback.tsx</x:v>
      </x:c>
      <x:c r="P1126" s="71" t="str">
        <x:v>faces:8</x:v>
      </x:c>
      <x:c r="Q1126" s="71" t="str">
        <x:v>EN (default / shared)</x:v>
      </x:c>
      <x:c r="R1126" s="71" t="str">
        <x:v>Already clear and direct; suggested wording intentionally keeps the current copy.</x:v>
      </x:c>
      <x:c r="S1126" s="75" t="str">
        <x:v>Not applied — review required</x:v>
      </x:c>
    </x:row>
    <x:row r="1127">
      <x:c r="A1127" s="71" t="str">
        <x:v>MRV-83C377E6D1</x:v>
      </x:c>
      <x:c r="B1127" s="71" t="str">
        <x:v>System</x:v>
      </x:c>
      <x:c r="C1127" s="71" t="str">
        <x:v>Shared recovery / system</x:v>
      </x:c>
      <x:c r="D1127" s="71" t="str">
        <x:v>Shared</x:v>
      </x:c>
      <x:c r="E1127" s="71" t="str">
        <x:v>faces</x:v>
      </x:c>
      <x:c r="F1127" s="71" t="str">
        <x:v>Default</x:v>
      </x:c>
      <x:c r="G1127" s="71" t="str">
        <x:v>Label</x:v>
      </x:c>
      <x:c r="H1127" s="71" t="str">
        <x:v>🙂</x:v>
      </x:c>
      <x:c r="I1127" s="71" t="str">
        <x:v>🙂</x:v>
      </x:c>
      <x:c r="J1127" s="73"/>
      <x:c r="K1127" s="74" t="str">
        <x:f>IF(J1127="",H1127,IF(J1127=I1127,I1127,J1127))</x:f>
        <x:v>🙂</x:v>
      </x:c>
      <x:c r="L1127" s="74" t="str">
        <x:f>IF(J1127="","Keep current",IF(J1127=I1127,"Use suggestion","Custom"))</x:f>
        <x:v>Keep current</x:v>
      </x:c>
      <x:c r="M1127" s="71" t="str">
        <x:v>Pending review</x:v>
      </x:c>
      <x:c r="N1127" s="71" t="str">
        <x:v>Normal</x:v>
      </x:c>
      <x:c r="O1127" s="71" t="str">
        <x:v>components/easyt/easyt-feedback.tsx</x:v>
      </x:c>
      <x:c r="P1127" s="71" t="str">
        <x:v>faces:8</x:v>
      </x:c>
      <x:c r="Q1127" s="71" t="str">
        <x:v>EN (default / shared)</x:v>
      </x:c>
      <x:c r="R1127" s="71" t="str">
        <x:v>Already clear and direct; suggested wording intentionally keeps the current copy.</x:v>
      </x:c>
      <x:c r="S1127" s="75" t="str">
        <x:v>Not applied — review required</x:v>
      </x:c>
    </x:row>
    <x:row r="1128">
      <x:c r="A1128" s="71" t="str">
        <x:v>MRV-246B7BEEF4</x:v>
      </x:c>
      <x:c r="B1128" s="71" t="str">
        <x:v>System</x:v>
      </x:c>
      <x:c r="C1128" s="71" t="str">
        <x:v>Shared recovery / system</x:v>
      </x:c>
      <x:c r="D1128" s="71" t="str">
        <x:v>Shared</x:v>
      </x:c>
      <x:c r="E1128" s="71" t="str">
        <x:v>faces</x:v>
      </x:c>
      <x:c r="F1128" s="71" t="str">
        <x:v>Default</x:v>
      </x:c>
      <x:c r="G1128" s="71" t="str">
        <x:v>Label</x:v>
      </x:c>
      <x:c r="H1128" s="71" t="str">
        <x:v>😍</x:v>
      </x:c>
      <x:c r="I1128" s="71" t="str">
        <x:v>😍</x:v>
      </x:c>
      <x:c r="J1128" s="73"/>
      <x:c r="K1128" s="74" t="str">
        <x:f>IF(J1128="",H1128,IF(J1128=I1128,I1128,J1128))</x:f>
        <x:v>😍</x:v>
      </x:c>
      <x:c r="L1128" s="74" t="str">
        <x:f>IF(J1128="","Keep current",IF(J1128=I1128,"Use suggestion","Custom"))</x:f>
        <x:v>Keep current</x:v>
      </x:c>
      <x:c r="M1128" s="71" t="str">
        <x:v>Pending review</x:v>
      </x:c>
      <x:c r="N1128" s="71" t="str">
        <x:v>Normal</x:v>
      </x:c>
      <x:c r="O1128" s="71" t="str">
        <x:v>components/easyt/easyt-feedback.tsx</x:v>
      </x:c>
      <x:c r="P1128" s="71" t="str">
        <x:v>faces:8</x:v>
      </x:c>
      <x:c r="Q1128" s="71" t="str">
        <x:v>EN (default / shared)</x:v>
      </x:c>
      <x:c r="R1128" s="71" t="str">
        <x:v>Already clear and direct; suggested wording intentionally keeps the current copy.</x:v>
      </x:c>
      <x:c r="S1128" s="75" t="str">
        <x:v>Not applied — review required</x:v>
      </x:c>
    </x:row>
    <x:row r="1129">
      <x:c r="A1129" s="71" t="str">
        <x:v>MRV-63DACD9548</x:v>
      </x:c>
      <x:c r="B1129" s="71" t="str">
        <x:v>System</x:v>
      </x:c>
      <x:c r="C1129" s="71" t="str">
        <x:v>Shared recovery / system</x:v>
      </x:c>
      <x:c r="D1129" s="71" t="str">
        <x:v>Shared</x:v>
      </x:c>
      <x:c r="E1129" s="71" t="str">
        <x:v>copy</x:v>
      </x:c>
      <x:c r="F1129" s="71" t="str">
        <x:v>Default</x:v>
      </x:c>
      <x:c r="G1129" s="71" t="str">
        <x:v>Tooltip</x:v>
      </x:c>
      <x:c r="H1129" s="71" t="str">
        <x:v>¿Cómo se siente Morrovia?</x:v>
      </x:c>
      <x:c r="I1129" s="71" t="str">
        <x:v>¿Cómo se siente Morrovia?</x:v>
      </x:c>
      <x:c r="J1129" s="73"/>
      <x:c r="K1129" s="74" t="str">
        <x:f>IF(J1129="",H1129,IF(J1129=I1129,I1129,J1129))</x:f>
        <x:v>¿Cómo se siente Morrovia?</x:v>
      </x:c>
      <x:c r="L1129" s="74" t="str">
        <x:f>IF(J1129="","Keep current",IF(J1129=I1129,"Use suggestion","Custom"))</x:f>
        <x:v>Keep current</x:v>
      </x:c>
      <x:c r="M1129" s="71" t="str">
        <x:v>Pending review</x:v>
      </x:c>
      <x:c r="N1129" s="71" t="str">
        <x:v>Normal</x:v>
      </x:c>
      <x:c r="O1129" s="71" t="str">
        <x:v>components/easyt/easyt-feedback.tsx</x:v>
      </x:c>
      <x:c r="P1129" s="71" t="str">
        <x:v>copy:27</x:v>
      </x:c>
      <x:c r="Q1129" s="71" t="str">
        <x:v>ES</x:v>
      </x:c>
      <x:c r="R1129" s="71" t="str">
        <x:v>Already clear and direct; suggested wording intentionally keeps the current copy.</x:v>
      </x:c>
      <x:c r="S1129" s="75" t="str">
        <x:v>Not applied — review required</x:v>
      </x:c>
    </x:row>
    <x:row r="1130">
      <x:c r="A1130" s="71" t="str">
        <x:v>MRV-72CCEDB01B</x:v>
      </x:c>
      <x:c r="B1130" s="71" t="str">
        <x:v>System</x:v>
      </x:c>
      <x:c r="C1130" s="71" t="str">
        <x:v>Shared recovery / system</x:v>
      </x:c>
      <x:c r="D1130" s="71" t="str">
        <x:v>Shared</x:v>
      </x:c>
      <x:c r="E1130" s="71" t="str">
        <x:v>copy</x:v>
      </x:c>
      <x:c r="F1130" s="71" t="str">
        <x:v>Accessibility / input support</x:v>
      </x:c>
      <x:c r="G1130" s="71" t="str">
        <x:v>Placeholder</x:v>
      </x:c>
      <x:c r="H1130" s="71" t="str">
        <x:v>¿Qué podríamos mejorar? (opcional)</x:v>
      </x:c>
      <x:c r="I1130" s="71" t="str">
        <x:v>¿Qué podríamos mejorar? (opcional)</x:v>
      </x:c>
      <x:c r="J1130" s="73"/>
      <x:c r="K1130" s="74" t="str">
        <x:f>IF(J1130="",H1130,IF(J1130=I1130,I1130,J1130))</x:f>
        <x:v>¿Qué podríamos mejorar? (opcional)</x:v>
      </x:c>
      <x:c r="L1130" s="74" t="str">
        <x:f>IF(J1130="","Keep current",IF(J1130=I1130,"Use suggestion","Custom"))</x:f>
        <x:v>Keep current</x:v>
      </x:c>
      <x:c r="M1130" s="71" t="str">
        <x:v>Pending review</x:v>
      </x:c>
      <x:c r="N1130" s="71" t="str">
        <x:v>Medium</x:v>
      </x:c>
      <x:c r="O1130" s="71" t="str">
        <x:v>components/easyt/easyt-feedback.tsx</x:v>
      </x:c>
      <x:c r="P1130" s="71" t="str">
        <x:v>copy:27</x:v>
      </x:c>
      <x:c r="Q1130" s="71" t="str">
        <x:v>ES</x:v>
      </x:c>
      <x:c r="R1130" s="71" t="str">
        <x:v>Already clear and direct; suggested wording intentionally keeps the current copy.</x:v>
      </x:c>
      <x:c r="S1130" s="75" t="str">
        <x:v>Not applied — review required</x:v>
      </x:c>
    </x:row>
    <x:row r="1131">
      <x:c r="A1131" s="71" t="str">
        <x:v>MRV-1F82552291</x:v>
      </x:c>
      <x:c r="B1131" s="71" t="str">
        <x:v>System</x:v>
      </x:c>
      <x:c r="C1131" s="71" t="str">
        <x:v>Shared recovery / system</x:v>
      </x:c>
      <x:c r="D1131" s="71" t="str">
        <x:v>Shared</x:v>
      </x:c>
      <x:c r="E1131" s="71" t="str">
        <x:v>copy</x:v>
      </x:c>
      <x:c r="F1131" s="71" t="str">
        <x:v>Default</x:v>
      </x:c>
      <x:c r="G1131" s="71" t="str">
        <x:v>Tooltip</x:v>
      </x:c>
      <x:c r="H1131" s="71" t="str">
        <x:v>How’s Morrovia feeling?</x:v>
      </x:c>
      <x:c r="I1131" s="71" t="str">
        <x:v>How’s Morrovia feeling?</x:v>
      </x:c>
      <x:c r="J1131" s="73"/>
      <x:c r="K1131" s="74" t="str">
        <x:f>IF(J1131="",H1131,IF(J1131=I1131,I1131,J1131))</x:f>
        <x:v>How’s Morrovia feeling?</x:v>
      </x:c>
      <x:c r="L1131" s="74" t="str">
        <x:f>IF(J1131="","Keep current",IF(J1131=I1131,"Use suggestion","Custom"))</x:f>
        <x:v>Keep current</x:v>
      </x:c>
      <x:c r="M1131" s="71" t="str">
        <x:v>Pending review</x:v>
      </x:c>
      <x:c r="N1131" s="71" t="str">
        <x:v>Normal</x:v>
      </x:c>
      <x:c r="O1131" s="71" t="str">
        <x:v>components/easyt/easyt-feedback.tsx</x:v>
      </x:c>
      <x:c r="P1131" s="71" t="str">
        <x:v>copy:28</x:v>
      </x:c>
      <x:c r="Q1131" s="71" t="str">
        <x:v>EN</x:v>
      </x:c>
      <x:c r="R1131" s="71" t="str">
        <x:v>Already clear and direct; suggested wording intentionally keeps the current copy.</x:v>
      </x:c>
      <x:c r="S1131" s="75" t="str">
        <x:v>Not applied — review required</x:v>
      </x:c>
    </x:row>
    <x:row r="1132">
      <x:c r="A1132" s="71" t="str">
        <x:v>MRV-110C6994FA</x:v>
      </x:c>
      <x:c r="B1132" s="71" t="str">
        <x:v>System</x:v>
      </x:c>
      <x:c r="C1132" s="71" t="str">
        <x:v>Shared recovery / system</x:v>
      </x:c>
      <x:c r="D1132" s="71" t="str">
        <x:v>Shared</x:v>
      </x:c>
      <x:c r="E1132" s="71" t="str">
        <x:v>copy</x:v>
      </x:c>
      <x:c r="F1132" s="71" t="str">
        <x:v>Accessibility / input support</x:v>
      </x:c>
      <x:c r="G1132" s="71" t="str">
        <x:v>Placeholder</x:v>
      </x:c>
      <x:c r="H1132" s="71" t="str">
        <x:v>Anything we could improve? (optional)</x:v>
      </x:c>
      <x:c r="I1132" s="71" t="str">
        <x:v>Anything we could improve? (optional)</x:v>
      </x:c>
      <x:c r="J1132" s="73"/>
      <x:c r="K1132" s="74" t="str">
        <x:f>IF(J1132="",H1132,IF(J1132=I1132,I1132,J1132))</x:f>
        <x:v>Anything we could improve? (optional)</x:v>
      </x:c>
      <x:c r="L1132" s="74" t="str">
        <x:f>IF(J1132="","Keep current",IF(J1132=I1132,"Use suggestion","Custom"))</x:f>
        <x:v>Keep current</x:v>
      </x:c>
      <x:c r="M1132" s="71" t="str">
        <x:v>Pending review</x:v>
      </x:c>
      <x:c r="N1132" s="71" t="str">
        <x:v>Medium</x:v>
      </x:c>
      <x:c r="O1132" s="71" t="str">
        <x:v>components/easyt/easyt-feedback.tsx</x:v>
      </x:c>
      <x:c r="P1132" s="71" t="str">
        <x:v>copy:28</x:v>
      </x:c>
      <x:c r="Q1132" s="71" t="str">
        <x:v>EN</x:v>
      </x:c>
      <x:c r="R1132" s="71" t="str">
        <x:v>Already clear and direct; suggested wording intentionally keeps the current copy.</x:v>
      </x:c>
      <x:c r="S1132" s="75" t="str">
        <x:v>Not applied — review required</x:v>
      </x:c>
    </x:row>
    <x:row r="1133">
      <x:c r="A1133" s="71" t="str">
        <x:v>MRV-13683CF72B</x:v>
      </x:c>
      <x:c r="B1133" s="71" t="str">
        <x:v>System</x:v>
      </x:c>
      <x:c r="C1133" s="71" t="str">
        <x:v>Shared recovery / system</x:v>
      </x:c>
      <x:c r="D1133" s="71" t="str">
        <x:v>Shared</x:v>
      </x:c>
      <x:c r="E1133" s="71" t="str">
        <x:v>EasyTFeedback</x:v>
      </x:c>
      <x:c r="F1133" s="71" t="str">
        <x:v>Accessibility / input support</x:v>
      </x:c>
      <x:c r="G1133" s="71" t="str">
        <x:v>Accessibility label</x:v>
      </x:c>
      <x:c r="H1133" s="71" t="str">
        <x:v>{index + 1} out of 5</x:v>
      </x:c>
      <x:c r="I1133" s="71" t="str">
        <x:v>{index + 1} out of 5</x:v>
      </x:c>
      <x:c r="J1133" s="73"/>
      <x:c r="K1133" s="74" t="str">
        <x:f>IF(J1133="",H1133,IF(J1133=I1133,I1133,J1133))</x:f>
        <x:v>{index + 1} out of 5</x:v>
      </x:c>
      <x:c r="L1133" s="74" t="str">
        <x:f>IF(J1133="","Keep current",IF(J1133=I1133,"Use suggestion","Custom"))</x:f>
        <x:v>Keep current</x:v>
      </x:c>
      <x:c r="M1133" s="71" t="str">
        <x:v>Pending review</x:v>
      </x:c>
      <x:c r="N1133" s="71" t="str">
        <x:v>Medium</x:v>
      </x:c>
      <x:c r="O1133" s="71" t="str">
        <x:v>components/easyt/easyt-feedback.tsx</x:v>
      </x:c>
      <x:c r="P1133" s="71" t="str">
        <x:v>EasyTFeedback:61</x:v>
      </x:c>
      <x:c r="Q1133" s="71" t="str">
        <x:v>EN (default / shared)</x:v>
      </x:c>
      <x:c r="R1133" s="71" t="str">
        <x:v>Already clear and direct; suggested wording intentionally keeps the current copy. Dynamic traveller or trip value is represented as a token; user-generated values are excluded.</x:v>
      </x:c>
      <x:c r="S1133" s="75" t="str">
        <x:v>Not applied — review required</x:v>
      </x:c>
    </x:row>
    <x:row r="1134">
      <x:c r="A1134" s="71" t="str">
        <x:v>MRV-326F56868B</x:v>
      </x:c>
      <x:c r="B1134" s="71" t="str">
        <x:v>Acquisition</x:v>
      </x:c>
      <x:c r="C1134" s="71" t="str">
        <x:v>Tour / How it works</x:v>
      </x:c>
      <x:c r="D1134" s="71" t="str">
        <x:v>Shared: Tour / How it works</x:v>
      </x:c>
      <x:c r="E1134" s="71" t="str">
        <x:v>copy</x:v>
      </x:c>
      <x:c r="F1134" s="71" t="str">
        <x:v>Default</x:v>
      </x:c>
      <x:c r="G1134" s="71" t="str">
        <x:v>Label</x:v>
      </x:c>
      <x:c r="H1134" s="71" t="str">
        <x:v>01 · Start with the places</x:v>
      </x:c>
      <x:c r="I1134" s="71" t="str">
        <x:v>01 · Start with the places</x:v>
      </x:c>
      <x:c r="J1134" s="73"/>
      <x:c r="K1134" s="74" t="str">
        <x:f>IF(J1134="",H1134,IF(J1134=I1134,I1134,J1134))</x:f>
        <x:v>01 · Start with the places</x:v>
      </x:c>
      <x:c r="L1134" s="74" t="str">
        <x:f>IF(J1134="","Keep current",IF(J1134=I1134,"Use suggestion","Custom"))</x:f>
        <x:v>Keep current</x:v>
      </x:c>
      <x:c r="M1134" s="71" t="str">
        <x:v>Pending review</x:v>
      </x:c>
      <x:c r="N1134" s="71" t="str">
        <x:v>Normal</x:v>
      </x:c>
      <x:c r="O1134" s="71" t="str">
        <x:v>components/easyt/easyt-product-tour.tsx</x:v>
      </x:c>
      <x:c r="P1134" s="71" t="str">
        <x:v>copy:13</x:v>
      </x:c>
      <x:c r="Q1134" s="71" t="str">
        <x:v>EN (default / shared)</x:v>
      </x:c>
      <x:c r="R1134" s="71" t="str">
        <x:v>Already clear and direct; suggested wording intentionally keeps the current copy. Terminology watch: ‘trip’ and ‘journey’ both describe the same plan. Terminology watch: ‘stops’, ‘destinations’ and ‘places’ overlap.</x:v>
      </x:c>
      <x:c r="S1134" s="75" t="str">
        <x:v>Not applied — review required</x:v>
      </x:c>
    </x:row>
    <x:row r="1135">
      <x:c r="A1135" s="71" t="str">
        <x:v>MRV-0BE29E2158</x:v>
      </x:c>
      <x:c r="B1135" s="71" t="str">
        <x:v>Acquisition</x:v>
      </x:c>
      <x:c r="C1135" s="71" t="str">
        <x:v>Tour / How it works</x:v>
      </x:c>
      <x:c r="D1135" s="71" t="str">
        <x:v>Shared: Tour / How it works</x:v>
      </x:c>
      <x:c r="E1135" s="71" t="str">
        <x:v>copy</x:v>
      </x:c>
      <x:c r="F1135" s="71" t="str">
        <x:v>Default</x:v>
      </x:c>
      <x:c r="G1135" s="71" t="str">
        <x:v>Tooltip</x:v>
      </x:c>
      <x:c r="H1135" s="71" t="str">
        <x:v>A complex trip starts with the stops that matter.</x:v>
      </x:c>
      <x:c r="I1135" s="71" t="str">
        <x:v>A complex trip starts with the stops that matter.</x:v>
      </x:c>
      <x:c r="J1135" s="73"/>
      <x:c r="K1135" s="74" t="str">
        <x:f>IF(J1135="",H1135,IF(J1135=I1135,I1135,J1135))</x:f>
        <x:v>A complex trip starts with the stops that matter.</x:v>
      </x:c>
      <x:c r="L1135" s="74" t="str">
        <x:f>IF(J1135="","Keep current",IF(J1135=I1135,"Use suggestion","Custom"))</x:f>
        <x:v>Keep current</x:v>
      </x:c>
      <x:c r="M1135" s="71" t="str">
        <x:v>Pending review</x:v>
      </x:c>
      <x:c r="N1135" s="71" t="str">
        <x:v>Normal</x:v>
      </x:c>
      <x:c r="O1135" s="71" t="str">
        <x:v>components/easyt/easyt-product-tour.tsx</x:v>
      </x:c>
      <x:c r="P1135" s="71" t="str">
        <x:v>copy:13</x:v>
      </x:c>
      <x:c r="Q1135" s="71" t="str">
        <x:v>EN (default / shared)</x:v>
      </x:c>
      <x:c r="R1135" s="71" t="str">
        <x:v>Already clear and direct; suggested wording intentionally keeps the current copy. Terminology watch: ‘trip’ and ‘journey’ both describe the same plan. Terminology watch: ‘stops’, ‘destinations’ and ‘places’ overlap.</x:v>
      </x:c>
      <x:c r="S1135" s="75" t="str">
        <x:v>Not applied — review required</x:v>
      </x:c>
    </x:row>
    <x:row r="1136">
      <x:c r="A1136" s="71" t="str">
        <x:v>MRV-14BEC07C06</x:v>
      </x:c>
      <x:c r="B1136" s="71" t="str">
        <x:v>Acquisition</x:v>
      </x:c>
      <x:c r="C1136" s="71" t="str">
        <x:v>Tour / How it works</x:v>
      </x:c>
      <x:c r="D1136" s="71" t="str">
        <x:v>Shared: Tour / How it works</x:v>
      </x:c>
      <x:c r="E1136" s="71" t="str">
        <x:v>copy</x:v>
      </x:c>
      <x:c r="F1136" s="71" t="str">
        <x:v>Accessibility / input support</x:v>
      </x:c>
      <x:c r="G1136" s="71" t="str">
        <x:v>Image alternative</x:v>
      </x:c>
      <x:c r="H1136" s="71" t="str">
        <x:v>Morrovia itinerary and map</x:v>
      </x:c>
      <x:c r="I1136" s="71" t="str">
        <x:v>Morrovia itinerary and map</x:v>
      </x:c>
      <x:c r="J1136" s="73"/>
      <x:c r="K1136" s="74" t="str">
        <x:f>IF(J1136="",H1136,IF(J1136=I1136,I1136,J1136))</x:f>
        <x:v>Morrovia itinerary and map</x:v>
      </x:c>
      <x:c r="L1136" s="74" t="str">
        <x:f>IF(J1136="","Keep current",IF(J1136=I1136,"Use suggestion","Custom"))</x:f>
        <x:v>Keep current</x:v>
      </x:c>
      <x:c r="M1136" s="71" t="str">
        <x:v>Pending review</x:v>
      </x:c>
      <x:c r="N1136" s="71" t="str">
        <x:v>Normal</x:v>
      </x:c>
      <x:c r="O1136" s="71" t="str">
        <x:v>components/easyt/easyt-product-tour.tsx</x:v>
      </x:c>
      <x:c r="P1136" s="71" t="str">
        <x:v>copy:13</x:v>
      </x:c>
      <x:c r="Q1136" s="71" t="str">
        <x:v>EN (default / shared)</x:v>
      </x:c>
      <x:c r="R1136" s="71" t="str">
        <x:v>Already clear and direct; suggested wording intentionally keeps the current copy.</x:v>
      </x:c>
      <x:c r="S1136" s="75" t="str">
        <x:v>Not applied — review required</x:v>
      </x:c>
    </x:row>
    <x:row r="1137">
      <x:c r="A1137" s="71" t="str">
        <x:v>MRV-74AC1339E2</x:v>
      </x:c>
      <x:c r="B1137" s="71" t="str">
        <x:v>Acquisition</x:v>
      </x:c>
      <x:c r="C1137" s="71" t="str">
        <x:v>Tour / How it works</x:v>
      </x:c>
      <x:c r="D1137" s="71" t="str">
        <x:v>Shared: Tour / How it works</x:v>
      </x:c>
      <x:c r="E1137" s="71" t="str">
        <x:v>copy</x:v>
      </x:c>
      <x:c r="F1137" s="71" t="str">
        <x:v>Default</x:v>
      </x:c>
      <x:c r="G1137" s="71" t="str">
        <x:v>Label</x:v>
      </x:c>
      <x:c r="H1137" s="71" t="str">
        <x:v>02 · Set the time</x:v>
      </x:c>
      <x:c r="I1137" s="71" t="str">
        <x:v>02 · Set the time</x:v>
      </x:c>
      <x:c r="J1137" s="73"/>
      <x:c r="K1137" s="74" t="str">
        <x:f>IF(J1137="",H1137,IF(J1137=I1137,I1137,J1137))</x:f>
        <x:v>02 · Set the time</x:v>
      </x:c>
      <x:c r="L1137" s="74" t="str">
        <x:f>IF(J1137="","Keep current",IF(J1137=I1137,"Use suggestion","Custom"))</x:f>
        <x:v>Keep current</x:v>
      </x:c>
      <x:c r="M1137" s="71" t="str">
        <x:v>Pending review</x:v>
      </x:c>
      <x:c r="N1137" s="71" t="str">
        <x:v>Normal</x:v>
      </x:c>
      <x:c r="O1137" s="71" t="str">
        <x:v>components/easyt/easyt-product-tour.tsx</x:v>
      </x:c>
      <x:c r="P1137" s="71" t="str">
        <x:v>copy:14</x:v>
      </x:c>
      <x:c r="Q1137" s="71" t="str">
        <x:v>EN (default / shared)</x:v>
      </x:c>
      <x:c r="R1137" s="71" t="str">
        <x:v>Already clear and direct; suggested wording intentionally keeps the current copy.</x:v>
      </x:c>
      <x:c r="S1137" s="75" t="str">
        <x:v>Not applied — review required</x:v>
      </x:c>
    </x:row>
    <x:row r="1138">
      <x:c r="A1138" s="71" t="str">
        <x:v>MRV-59690EE2CD</x:v>
      </x:c>
      <x:c r="B1138" s="71" t="str">
        <x:v>Acquisition</x:v>
      </x:c>
      <x:c r="C1138" s="71" t="str">
        <x:v>Tour / How it works</x:v>
      </x:c>
      <x:c r="D1138" s="71" t="str">
        <x:v>Shared: Tour / How it works</x:v>
      </x:c>
      <x:c r="E1138" s="71" t="str">
        <x:v>copy</x:v>
      </x:c>
      <x:c r="F1138" s="71" t="str">
        <x:v>Default</x:v>
      </x:c>
      <x:c r="G1138" s="71" t="str">
        <x:v>Tooltip</x:v>
      </x:c>
      <x:c r="H1138" s="71" t="str">
        <x:v>Confirm the dates, then make the nights work.</x:v>
      </x:c>
      <x:c r="I1138" s="71" t="str">
        <x:v>Confirm the dates, then make the nights work.</x:v>
      </x:c>
      <x:c r="J1138" s="73"/>
      <x:c r="K1138" s="74" t="str">
        <x:f>IF(J1138="",H1138,IF(J1138=I1138,I1138,J1138))</x:f>
        <x:v>Confirm the dates, then make the nights work.</x:v>
      </x:c>
      <x:c r="L1138" s="74" t="str">
        <x:f>IF(J1138="","Keep current",IF(J1138=I1138,"Use suggestion","Custom"))</x:f>
        <x:v>Keep current</x:v>
      </x:c>
      <x:c r="M1138" s="71" t="str">
        <x:v>Pending review</x:v>
      </x:c>
      <x:c r="N1138" s="71" t="str">
        <x:v>Normal</x:v>
      </x:c>
      <x:c r="O1138" s="71" t="str">
        <x:v>components/easyt/easyt-product-tour.tsx</x:v>
      </x:c>
      <x:c r="P1138" s="71" t="str">
        <x:v>copy:14</x:v>
      </x:c>
      <x:c r="Q1138" s="71" t="str">
        <x:v>EN (default / shared)</x:v>
      </x:c>
      <x:c r="R1138" s="71" t="str">
        <x:v>Already clear and direct; suggested wording intentionally keeps the current copy.</x:v>
      </x:c>
      <x:c r="S1138" s="75" t="str">
        <x:v>Not applied — review required</x:v>
      </x:c>
    </x:row>
    <x:row r="1139">
      <x:c r="A1139" s="71" t="str">
        <x:v>MRV-0AEFDAEB2F</x:v>
      </x:c>
      <x:c r="B1139" s="71" t="str">
        <x:v>Acquisition</x:v>
      </x:c>
      <x:c r="C1139" s="71" t="str">
        <x:v>Tour / How it works</x:v>
      </x:c>
      <x:c r="D1139" s="71" t="str">
        <x:v>Shared: Tour / How it works</x:v>
      </x:c>
      <x:c r="E1139" s="71" t="str">
        <x:v>copy</x:v>
      </x:c>
      <x:c r="F1139" s="71" t="str">
        <x:v>Accessibility / input support</x:v>
      </x:c>
      <x:c r="G1139" s="71" t="str">
        <x:v>Image alternative</x:v>
      </x:c>
      <x:c r="H1139" s="71" t="str">
        <x:v>Morrovia time allocation</x:v>
      </x:c>
      <x:c r="I1139" s="71" t="str">
        <x:v>Morrovia time allocation</x:v>
      </x:c>
      <x:c r="J1139" s="73"/>
      <x:c r="K1139" s="74" t="str">
        <x:f>IF(J1139="",H1139,IF(J1139=I1139,I1139,J1139))</x:f>
        <x:v>Morrovia time allocation</x:v>
      </x:c>
      <x:c r="L1139" s="74" t="str">
        <x:f>IF(J1139="","Keep current",IF(J1139=I1139,"Use suggestion","Custom"))</x:f>
        <x:v>Keep current</x:v>
      </x:c>
      <x:c r="M1139" s="71" t="str">
        <x:v>Pending review</x:v>
      </x:c>
      <x:c r="N1139" s="71" t="str">
        <x:v>Normal</x:v>
      </x:c>
      <x:c r="O1139" s="71" t="str">
        <x:v>components/easyt/easyt-product-tour.tsx</x:v>
      </x:c>
      <x:c r="P1139" s="71" t="str">
        <x:v>copy:14</x:v>
      </x:c>
      <x:c r="Q1139" s="71" t="str">
        <x:v>EN (default / shared)</x:v>
      </x:c>
      <x:c r="R1139" s="71" t="str">
        <x:v>Already clear and direct; suggested wording intentionally keeps the current copy.</x:v>
      </x:c>
      <x:c r="S1139" s="75" t="str">
        <x:v>Not applied — review required</x:v>
      </x:c>
    </x:row>
    <x:row r="1140">
      <x:c r="A1140" s="71" t="str">
        <x:v>MRV-4E05F66983</x:v>
      </x:c>
      <x:c r="B1140" s="71" t="str">
        <x:v>Acquisition</x:v>
      </x:c>
      <x:c r="C1140" s="71" t="str">
        <x:v>Tour / How it works</x:v>
      </x:c>
      <x:c r="D1140" s="71" t="str">
        <x:v>Shared: Tour / How it works</x:v>
      </x:c>
      <x:c r="E1140" s="71" t="str">
        <x:v>copy</x:v>
      </x:c>
      <x:c r="F1140" s="71" t="str">
        <x:v>Default</x:v>
      </x:c>
      <x:c r="G1140" s="71" t="str">
        <x:v>Label</x:v>
      </x:c>
      <x:c r="H1140" s="71" t="str">
        <x:v>03 · Make the route work</x:v>
      </x:c>
      <x:c r="I1140" s="71" t="str">
        <x:v>03 · Make the route work</x:v>
      </x:c>
      <x:c r="J1140" s="73"/>
      <x:c r="K1140" s="74" t="str">
        <x:f>IF(J1140="",H1140,IF(J1140=I1140,I1140,J1140))</x:f>
        <x:v>03 · Make the route work</x:v>
      </x:c>
      <x:c r="L1140" s="74" t="str">
        <x:f>IF(J1140="","Keep current",IF(J1140=I1140,"Use suggestion","Custom"))</x:f>
        <x:v>Keep current</x:v>
      </x:c>
      <x:c r="M1140" s="71" t="str">
        <x:v>Pending review</x:v>
      </x:c>
      <x:c r="N1140" s="71" t="str">
        <x:v>Normal</x:v>
      </x:c>
      <x:c r="O1140" s="71" t="str">
        <x:v>components/easyt/easyt-product-tour.tsx</x:v>
      </x:c>
      <x:c r="P1140" s="71" t="str">
        <x:v>copy:15</x:v>
      </x:c>
      <x:c r="Q1140" s="71" t="str">
        <x:v>EN (default / shared)</x:v>
      </x:c>
      <x:c r="R1140" s="71" t="str">
        <x:v>Already clear and direct; suggested wording intentionally keeps the current copy.</x:v>
      </x:c>
      <x:c r="S1140" s="75" t="str">
        <x:v>Not applied — review required</x:v>
      </x:c>
    </x:row>
    <x:row r="1141">
      <x:c r="A1141" s="71" t="str">
        <x:v>MRV-0786715AD1</x:v>
      </x:c>
      <x:c r="B1141" s="71" t="str">
        <x:v>Acquisition</x:v>
      </x:c>
      <x:c r="C1141" s="71" t="str">
        <x:v>Tour / How it works</x:v>
      </x:c>
      <x:c r="D1141" s="71" t="str">
        <x:v>Shared: Tour / How it works</x:v>
      </x:c>
      <x:c r="E1141" s="71" t="str">
        <x:v>copy</x:v>
      </x:c>
      <x:c r="F1141" s="71" t="str">
        <x:v>Default</x:v>
      </x:c>
      <x:c r="G1141" s="71" t="str">
        <x:v>Tooltip</x:v>
      </x:c>
      <x:c r="H1141" s="71" t="str">
        <x:v>See the cleaner route before you commit.</x:v>
      </x:c>
      <x:c r="I1141" s="71" t="str">
        <x:v>See the cleaner route before you commit.</x:v>
      </x:c>
      <x:c r="J1141" s="73"/>
      <x:c r="K1141" s="74" t="str">
        <x:f>IF(J1141="",H1141,IF(J1141=I1141,I1141,J1141))</x:f>
        <x:v>See the cleaner route before you commit.</x:v>
      </x:c>
      <x:c r="L1141" s="74" t="str">
        <x:f>IF(J1141="","Keep current",IF(J1141=I1141,"Use suggestion","Custom"))</x:f>
        <x:v>Keep current</x:v>
      </x:c>
      <x:c r="M1141" s="71" t="str">
        <x:v>Pending review</x:v>
      </x:c>
      <x:c r="N1141" s="71" t="str">
        <x:v>Normal</x:v>
      </x:c>
      <x:c r="O1141" s="71" t="str">
        <x:v>components/easyt/easyt-product-tour.tsx</x:v>
      </x:c>
      <x:c r="P1141" s="71" t="str">
        <x:v>copy:15</x:v>
      </x:c>
      <x:c r="Q1141" s="71" t="str">
        <x:v>EN (default / shared)</x:v>
      </x:c>
      <x:c r="R1141" s="71" t="str">
        <x:v>Already clear and direct; suggested wording intentionally keeps the current copy.</x:v>
      </x:c>
      <x:c r="S1141" s="75" t="str">
        <x:v>Not applied — review required</x:v>
      </x:c>
    </x:row>
    <x:row r="1142">
      <x:c r="A1142" s="71" t="str">
        <x:v>MRV-A5899F6740</x:v>
      </x:c>
      <x:c r="B1142" s="71" t="str">
        <x:v>Acquisition</x:v>
      </x:c>
      <x:c r="C1142" s="71" t="str">
        <x:v>Tour / How it works</x:v>
      </x:c>
      <x:c r="D1142" s="71" t="str">
        <x:v>Shared: Tour / How it works</x:v>
      </x:c>
      <x:c r="E1142" s="71" t="str">
        <x:v>copy</x:v>
      </x:c>
      <x:c r="F1142" s="71" t="str">
        <x:v>Accessibility / input support</x:v>
      </x:c>
      <x:c r="G1142" s="71" t="str">
        <x:v>Image alternative</x:v>
      </x:c>
      <x:c r="H1142" s="71" t="str">
        <x:v>Morrovia route choices</x:v>
      </x:c>
      <x:c r="I1142" s="71" t="str">
        <x:v>Morrovia route choices</x:v>
      </x:c>
      <x:c r="J1142" s="73"/>
      <x:c r="K1142" s="74" t="str">
        <x:f>IF(J1142="",H1142,IF(J1142=I1142,I1142,J1142))</x:f>
        <x:v>Morrovia route choices</x:v>
      </x:c>
      <x:c r="L1142" s="74" t="str">
        <x:f>IF(J1142="","Keep current",IF(J1142=I1142,"Use suggestion","Custom"))</x:f>
        <x:v>Keep current</x:v>
      </x:c>
      <x:c r="M1142" s="71" t="str">
        <x:v>Pending review</x:v>
      </x:c>
      <x:c r="N1142" s="71" t="str">
        <x:v>Normal</x:v>
      </x:c>
      <x:c r="O1142" s="71" t="str">
        <x:v>components/easyt/easyt-product-tour.tsx</x:v>
      </x:c>
      <x:c r="P1142" s="71" t="str">
        <x:v>copy:15</x:v>
      </x:c>
      <x:c r="Q1142" s="71" t="str">
        <x:v>EN (default / shared)</x:v>
      </x:c>
      <x:c r="R1142" s="71" t="str">
        <x:v>Already clear and direct; suggested wording intentionally keeps the current copy.</x:v>
      </x:c>
      <x:c r="S1142" s="75" t="str">
        <x:v>Not applied — review required</x:v>
      </x:c>
    </x:row>
    <x:row r="1143">
      <x:c r="A1143" s="71" t="str">
        <x:v>MRV-6E7E112105</x:v>
      </x:c>
      <x:c r="B1143" s="71" t="str">
        <x:v>Acquisition</x:v>
      </x:c>
      <x:c r="C1143" s="71" t="str">
        <x:v>Tour / How it works</x:v>
      </x:c>
      <x:c r="D1143" s="71" t="str">
        <x:v>Shared: Tour / How it works</x:v>
      </x:c>
      <x:c r="E1143" s="71" t="str">
        <x:v>copy</x:v>
      </x:c>
      <x:c r="F1143" s="71" t="str">
        <x:v>Default</x:v>
      </x:c>
      <x:c r="G1143" s="71" t="str">
        <x:v>Label</x:v>
      </x:c>
      <x:c r="H1143" s="71" t="str">
        <x:v>04 · Use it out there</x:v>
      </x:c>
      <x:c r="I1143" s="71" t="str">
        <x:v>04 · Use it out there</x:v>
      </x:c>
      <x:c r="J1143" s="73"/>
      <x:c r="K1143" s="74" t="str">
        <x:f>IF(J1143="",H1143,IF(J1143=I1143,I1143,J1143))</x:f>
        <x:v>04 · Use it out there</x:v>
      </x:c>
      <x:c r="L1143" s="74" t="str">
        <x:f>IF(J1143="","Keep current",IF(J1143=I1143,"Use suggestion","Custom"))</x:f>
        <x:v>Keep current</x:v>
      </x:c>
      <x:c r="M1143" s="71" t="str">
        <x:v>Pending review</x:v>
      </x:c>
      <x:c r="N1143" s="71" t="str">
        <x:v>Normal</x:v>
      </x:c>
      <x:c r="O1143" s="71" t="str">
        <x:v>components/easyt/easyt-product-tour.tsx</x:v>
      </x:c>
      <x:c r="P1143" s="71" t="str">
        <x:v>copy:16</x:v>
      </x:c>
      <x:c r="Q1143" s="71" t="str">
        <x:v>EN (default / shared)</x:v>
      </x:c>
      <x:c r="R1143" s="71" t="str">
        <x:v>Already clear and direct; suggested wording intentionally keeps the current copy.</x:v>
      </x:c>
      <x:c r="S1143" s="75" t="str">
        <x:v>Not applied — review required</x:v>
      </x:c>
    </x:row>
    <x:row r="1144">
      <x:c r="A1144" s="71" t="str">
        <x:v>MRV-9CC7A84E02</x:v>
      </x:c>
      <x:c r="B1144" s="71" t="str">
        <x:v>Acquisition</x:v>
      </x:c>
      <x:c r="C1144" s="71" t="str">
        <x:v>Tour / How it works</x:v>
      </x:c>
      <x:c r="D1144" s="71" t="str">
        <x:v>Shared: Tour / How it works</x:v>
      </x:c>
      <x:c r="E1144" s="71" t="str">
        <x:v>copy</x:v>
      </x:c>
      <x:c r="F1144" s="71" t="str">
        <x:v>Default</x:v>
      </x:c>
      <x:c r="G1144" s="71" t="str">
        <x:v>Tooltip</x:v>
      </x:c>
      <x:c r="H1144" s="71" t="str">
        <x:v>Your itinerary stays useful on the move.</x:v>
      </x:c>
      <x:c r="I1144" s="71" t="str">
        <x:v>Your itinerary stays useful on the move.</x:v>
      </x:c>
      <x:c r="J1144" s="73"/>
      <x:c r="K1144" s="74" t="str">
        <x:f>IF(J1144="",H1144,IF(J1144=I1144,I1144,J1144))</x:f>
        <x:v>Your itinerary stays useful on the move.</x:v>
      </x:c>
      <x:c r="L1144" s="74" t="str">
        <x:f>IF(J1144="","Keep current",IF(J1144=I1144,"Use suggestion","Custom"))</x:f>
        <x:v>Keep current</x:v>
      </x:c>
      <x:c r="M1144" s="71" t="str">
        <x:v>Pending review</x:v>
      </x:c>
      <x:c r="N1144" s="71" t="str">
        <x:v>Normal</x:v>
      </x:c>
      <x:c r="O1144" s="71" t="str">
        <x:v>components/easyt/easyt-product-tour.tsx</x:v>
      </x:c>
      <x:c r="P1144" s="71" t="str">
        <x:v>copy:16</x:v>
      </x:c>
      <x:c r="Q1144" s="71" t="str">
        <x:v>EN (default / shared)</x:v>
      </x:c>
      <x:c r="R1144" s="71" t="str">
        <x:v>Already clear and direct; suggested wording intentionally keeps the current copy.</x:v>
      </x:c>
      <x:c r="S1144" s="75" t="str">
        <x:v>Not applied — review required</x:v>
      </x:c>
    </x:row>
    <x:row r="1145">
      <x:c r="A1145" s="71" t="str">
        <x:v>MRV-D37A42EAE1</x:v>
      </x:c>
      <x:c r="B1145" s="71" t="str">
        <x:v>Acquisition</x:v>
      </x:c>
      <x:c r="C1145" s="71" t="str">
        <x:v>Tour / How it works</x:v>
      </x:c>
      <x:c r="D1145" s="71" t="str">
        <x:v>Shared: Tour / How it works</x:v>
      </x:c>
      <x:c r="E1145" s="71" t="str">
        <x:v>copy</x:v>
      </x:c>
      <x:c r="F1145" s="71" t="str">
        <x:v>Accessibility / input support</x:v>
      </x:c>
      <x:c r="G1145" s="71" t="str">
        <x:v>Image alternative</x:v>
      </x:c>
      <x:c r="H1145" s="71" t="str">
        <x:v>Morrovia nearby finder</x:v>
      </x:c>
      <x:c r="I1145" s="71" t="str">
        <x:v>Morrovia nearby finder</x:v>
      </x:c>
      <x:c r="J1145" s="73"/>
      <x:c r="K1145" s="74" t="str">
        <x:f>IF(J1145="",H1145,IF(J1145=I1145,I1145,J1145))</x:f>
        <x:v>Morrovia nearby finder</x:v>
      </x:c>
      <x:c r="L1145" s="74" t="str">
        <x:f>IF(J1145="","Keep current",IF(J1145=I1145,"Use suggestion","Custom"))</x:f>
        <x:v>Keep current</x:v>
      </x:c>
      <x:c r="M1145" s="71" t="str">
        <x:v>Pending review</x:v>
      </x:c>
      <x:c r="N1145" s="71" t="str">
        <x:v>Normal</x:v>
      </x:c>
      <x:c r="O1145" s="71" t="str">
        <x:v>components/easyt/easyt-product-tour.tsx</x:v>
      </x:c>
      <x:c r="P1145" s="71" t="str">
        <x:v>copy:16</x:v>
      </x:c>
      <x:c r="Q1145" s="71" t="str">
        <x:v>EN (default / shared)</x:v>
      </x:c>
      <x:c r="R1145" s="71" t="str">
        <x:v>Already clear and direct; suggested wording intentionally keeps the current copy.</x:v>
      </x:c>
      <x:c r="S1145" s="75" t="str">
        <x:v>Not applied — review required</x:v>
      </x:c>
    </x:row>
    <x:row r="1146">
      <x:c r="A1146" s="71" t="str">
        <x:v>MRV-285A3C1904</x:v>
      </x:c>
      <x:c r="B1146" s="71" t="str">
        <x:v>Acquisition</x:v>
      </x:c>
      <x:c r="C1146" s="71" t="str">
        <x:v>Tour / How it works</x:v>
      </x:c>
      <x:c r="D1146" s="71" t="str">
        <x:v>Shared: Tour / How it works</x:v>
      </x:c>
      <x:c r="E1146" s="71" t="str">
        <x:v>copy</x:v>
      </x:c>
      <x:c r="F1146" s="71" t="str">
        <x:v>Default</x:v>
      </x:c>
      <x:c r="G1146" s="71" t="str">
        <x:v>Label</x:v>
      </x:c>
      <x:c r="H1146" s="71" t="str">
        <x:v>05 · Keep the story</x:v>
      </x:c>
      <x:c r="I1146" s="71" t="str">
        <x:v>05 · Keep the story</x:v>
      </x:c>
      <x:c r="J1146" s="73"/>
      <x:c r="K1146" s="74" t="str">
        <x:f>IF(J1146="",H1146,IF(J1146=I1146,I1146,J1146))</x:f>
        <x:v>05 · Keep the story</x:v>
      </x:c>
      <x:c r="L1146" s="74" t="str">
        <x:f>IF(J1146="","Keep current",IF(J1146=I1146,"Use suggestion","Custom"))</x:f>
        <x:v>Keep current</x:v>
      </x:c>
      <x:c r="M1146" s="71" t="str">
        <x:v>Pending review</x:v>
      </x:c>
      <x:c r="N1146" s="71" t="str">
        <x:v>Normal</x:v>
      </x:c>
      <x:c r="O1146" s="71" t="str">
        <x:v>components/easyt/easyt-product-tour.tsx</x:v>
      </x:c>
      <x:c r="P1146" s="71" t="str">
        <x:v>copy:17</x:v>
      </x:c>
      <x:c r="Q1146" s="71" t="str">
        <x:v>EN (default / shared)</x:v>
      </x:c>
      <x:c r="R1146" s="71" t="str">
        <x:v>Already clear and direct; suggested wording intentionally keeps the current copy.</x:v>
      </x:c>
      <x:c r="S1146" s="75" t="str">
        <x:v>Not applied — review required</x:v>
      </x:c>
    </x:row>
    <x:row r="1147">
      <x:c r="A1147" s="71" t="str">
        <x:v>MRV-61F4A05F71</x:v>
      </x:c>
      <x:c r="B1147" s="71" t="str">
        <x:v>Acquisition</x:v>
      </x:c>
      <x:c r="C1147" s="71" t="str">
        <x:v>Tour / How it works</x:v>
      </x:c>
      <x:c r="D1147" s="71" t="str">
        <x:v>Shared: Tour / How it works</x:v>
      </x:c>
      <x:c r="E1147" s="71" t="str">
        <x:v>copy</x:v>
      </x:c>
      <x:c r="F1147" s="71" t="str">
        <x:v>Default</x:v>
      </x:c>
      <x:c r="G1147" s="71" t="str">
        <x:v>Tooltip</x:v>
      </x:c>
      <x:c r="H1147" s="71" t="str">
        <x:v>Turn travel into a personal record.</x:v>
      </x:c>
      <x:c r="I1147" s="71" t="str">
        <x:v>Turn travel into a personal record.</x:v>
      </x:c>
      <x:c r="J1147" s="73"/>
      <x:c r="K1147" s="74" t="str">
        <x:f>IF(J1147="",H1147,IF(J1147=I1147,I1147,J1147))</x:f>
        <x:v>Turn travel into a personal record.</x:v>
      </x:c>
      <x:c r="L1147" s="74" t="str">
        <x:f>IF(J1147="","Keep current",IF(J1147=I1147,"Use suggestion","Custom"))</x:f>
        <x:v>Keep current</x:v>
      </x:c>
      <x:c r="M1147" s="71" t="str">
        <x:v>Pending review</x:v>
      </x:c>
      <x:c r="N1147" s="71" t="str">
        <x:v>Normal</x:v>
      </x:c>
      <x:c r="O1147" s="71" t="str">
        <x:v>components/easyt/easyt-product-tour.tsx</x:v>
      </x:c>
      <x:c r="P1147" s="71" t="str">
        <x:v>copy:17</x:v>
      </x:c>
      <x:c r="Q1147" s="71" t="str">
        <x:v>EN (default / shared)</x:v>
      </x:c>
      <x:c r="R1147" s="71" t="str">
        <x:v>Already clear and direct; suggested wording intentionally keeps the current copy.</x:v>
      </x:c>
      <x:c r="S1147" s="75" t="str">
        <x:v>Not applied — review required</x:v>
      </x:c>
    </x:row>
    <x:row r="1148">
      <x:c r="A1148" s="71" t="str">
        <x:v>MRV-D089B9E03E</x:v>
      </x:c>
      <x:c r="B1148" s="71" t="str">
        <x:v>Acquisition</x:v>
      </x:c>
      <x:c r="C1148" s="71" t="str">
        <x:v>Tour / How it works</x:v>
      </x:c>
      <x:c r="D1148" s="71" t="str">
        <x:v>Shared: Tour / How it works</x:v>
      </x:c>
      <x:c r="E1148" s="71" t="str">
        <x:v>copy</x:v>
      </x:c>
      <x:c r="F1148" s="71" t="str">
        <x:v>Accessibility / input support</x:v>
      </x:c>
      <x:c r="G1148" s="71" t="str">
        <x:v>Image alternative</x:v>
      </x:c>
      <x:c r="H1148" s="71" t="str">
        <x:v>Morrovia Stamps</x:v>
      </x:c>
      <x:c r="I1148" s="71" t="str">
        <x:v>Morrovia Stamps</x:v>
      </x:c>
      <x:c r="J1148" s="73"/>
      <x:c r="K1148" s="74" t="str">
        <x:f>IF(J1148="",H1148,IF(J1148=I1148,I1148,J1148))</x:f>
        <x:v>Morrovia Stamps</x:v>
      </x:c>
      <x:c r="L1148" s="74" t="str">
        <x:f>IF(J1148="","Keep current",IF(J1148=I1148,"Use suggestion","Custom"))</x:f>
        <x:v>Keep current</x:v>
      </x:c>
      <x:c r="M1148" s="71" t="str">
        <x:v>Pending review</x:v>
      </x:c>
      <x:c r="N1148" s="71" t="str">
        <x:v>Normal</x:v>
      </x:c>
      <x:c r="O1148" s="71" t="str">
        <x:v>components/easyt/easyt-product-tour.tsx</x:v>
      </x:c>
      <x:c r="P1148" s="71" t="str">
        <x:v>copy:17</x:v>
      </x:c>
      <x:c r="Q1148" s="71" t="str">
        <x:v>EN (default / shared)</x:v>
      </x:c>
      <x:c r="R1148" s="71" t="str">
        <x:v>Already clear and direct; suggested wording intentionally keeps the current copy.</x:v>
      </x:c>
      <x:c r="S1148" s="75" t="str">
        <x:v>Not applied — review required</x:v>
      </x:c>
    </x:row>
    <x:row r="1149">
      <x:c r="A1149" s="71" t="str">
        <x:v>MRV-1A5F1B8E83</x:v>
      </x:c>
      <x:c r="B1149" s="71" t="str">
        <x:v>Acquisition</x:v>
      </x:c>
      <x:c r="C1149" s="71" t="str">
        <x:v>Tour / How it works</x:v>
      </x:c>
      <x:c r="D1149" s="71" t="str">
        <x:v>Shared: Tour / How it works</x:v>
      </x:c>
      <x:c r="E1149" s="71" t="str">
        <x:v>copy</x:v>
      </x:c>
      <x:c r="F1149" s="71" t="str">
        <x:v>Default</x:v>
      </x:c>
      <x:c r="G1149" s="71" t="str">
        <x:v>Label</x:v>
      </x:c>
      <x:c r="H1149" s="71" t="str">
        <x:v>01 · Empieza por los lugares</x:v>
      </x:c>
      <x:c r="I1149" s="71" t="str">
        <x:v>01 · Empieza por los lugares</x:v>
      </x:c>
      <x:c r="J1149" s="73"/>
      <x:c r="K1149" s="74" t="str">
        <x:f>IF(J1149="",H1149,IF(J1149=I1149,I1149,J1149))</x:f>
        <x:v>01 · Empieza por los lugares</x:v>
      </x:c>
      <x:c r="L1149" s="74" t="str">
        <x:f>IF(J1149="","Keep current",IF(J1149=I1149,"Use suggestion","Custom"))</x:f>
        <x:v>Keep current</x:v>
      </x:c>
      <x:c r="M1149" s="71" t="str">
        <x:v>Pending review</x:v>
      </x:c>
      <x:c r="N1149" s="71" t="str">
        <x:v>Normal</x:v>
      </x:c>
      <x:c r="O1149" s="71" t="str">
        <x:v>components/easyt/easyt-product-tour.tsx</x:v>
      </x:c>
      <x:c r="P1149" s="71" t="str">
        <x:v>copy:23</x:v>
      </x:c>
      <x:c r="Q1149" s="71" t="str">
        <x:v>EN (default / shared)</x:v>
      </x:c>
      <x:c r="R1149" s="71" t="str">
        <x:v>Already clear and direct; suggested wording intentionally keeps the current copy.</x:v>
      </x:c>
      <x:c r="S1149" s="75" t="str">
        <x:v>Not applied — review required</x:v>
      </x:c>
    </x:row>
    <x:row r="1150">
      <x:c r="A1150" s="71" t="str">
        <x:v>MRV-4AEFC28130</x:v>
      </x:c>
      <x:c r="B1150" s="71" t="str">
        <x:v>Acquisition</x:v>
      </x:c>
      <x:c r="C1150" s="71" t="str">
        <x:v>Tour / How it works</x:v>
      </x:c>
      <x:c r="D1150" s="71" t="str">
        <x:v>Shared: Tour / How it works</x:v>
      </x:c>
      <x:c r="E1150" s="71" t="str">
        <x:v>copy</x:v>
      </x:c>
      <x:c r="F1150" s="71" t="str">
        <x:v>Default</x:v>
      </x:c>
      <x:c r="G1150" s="71" t="str">
        <x:v>Tooltip</x:v>
      </x:c>
      <x:c r="H1150" s="71" t="str">
        <x:v>Un viaje complejo empieza por las paradas que importan.</x:v>
      </x:c>
      <x:c r="I1150" s="71" t="str">
        <x:v>Un viaje complejo empieza por las paradas que importan.</x:v>
      </x:c>
      <x:c r="J1150" s="73"/>
      <x:c r="K1150" s="74" t="str">
        <x:f>IF(J1150="",H1150,IF(J1150=I1150,I1150,J1150))</x:f>
        <x:v>Un viaje complejo empieza por las paradas que importan.</x:v>
      </x:c>
      <x:c r="L1150" s="74" t="str">
        <x:f>IF(J1150="","Keep current",IF(J1150=I1150,"Use suggestion","Custom"))</x:f>
        <x:v>Keep current</x:v>
      </x:c>
      <x:c r="M1150" s="71" t="str">
        <x:v>Pending review</x:v>
      </x:c>
      <x:c r="N1150" s="71" t="str">
        <x:v>Normal</x:v>
      </x:c>
      <x:c r="O1150" s="71" t="str">
        <x:v>components/easyt/easyt-product-tour.tsx</x:v>
      </x:c>
      <x:c r="P1150" s="71" t="str">
        <x:v>copy:23</x:v>
      </x:c>
      <x:c r="Q1150" s="71" t="str">
        <x:v>EN (default / shared)</x:v>
      </x:c>
      <x:c r="R1150" s="71" t="str">
        <x:v>Already clear and direct; suggested wording intentionally keeps the current copy.</x:v>
      </x:c>
      <x:c r="S1150" s="75" t="str">
        <x:v>Not applied — review required</x:v>
      </x:c>
    </x:row>
    <x:row r="1151">
      <x:c r="A1151" s="71" t="str">
        <x:v>MRV-7D634F8B6A</x:v>
      </x:c>
      <x:c r="B1151" s="71" t="str">
        <x:v>Acquisition</x:v>
      </x:c>
      <x:c r="C1151" s="71" t="str">
        <x:v>Tour / How it works</x:v>
      </x:c>
      <x:c r="D1151" s="71" t="str">
        <x:v>Shared: Tour / How it works</x:v>
      </x:c>
      <x:c r="E1151" s="71" t="str">
        <x:v>copy</x:v>
      </x:c>
      <x:c r="F1151" s="71" t="str">
        <x:v>Accessibility / input support</x:v>
      </x:c>
      <x:c r="G1151" s="71" t="str">
        <x:v>Image alternative</x:v>
      </x:c>
      <x:c r="H1151" s="71" t="str">
        <x:v>Itinerario y mapa de Morrovia</x:v>
      </x:c>
      <x:c r="I1151" s="71" t="str">
        <x:v>Itinerario y mapa de Morrovia</x:v>
      </x:c>
      <x:c r="J1151" s="73"/>
      <x:c r="K1151" s="74" t="str">
        <x:f>IF(J1151="",H1151,IF(J1151=I1151,I1151,J1151))</x:f>
        <x:v>Itinerario y mapa de Morrovia</x:v>
      </x:c>
      <x:c r="L1151" s="74" t="str">
        <x:f>IF(J1151="","Keep current",IF(J1151=I1151,"Use suggestion","Custom"))</x:f>
        <x:v>Keep current</x:v>
      </x:c>
      <x:c r="M1151" s="71" t="str">
        <x:v>Pending review</x:v>
      </x:c>
      <x:c r="N1151" s="71" t="str">
        <x:v>Normal</x:v>
      </x:c>
      <x:c r="O1151" s="71" t="str">
        <x:v>components/easyt/easyt-product-tour.tsx</x:v>
      </x:c>
      <x:c r="P1151" s="71" t="str">
        <x:v>copy:23</x:v>
      </x:c>
      <x:c r="Q1151" s="71" t="str">
        <x:v>EN (default / shared)</x:v>
      </x:c>
      <x:c r="R1151" s="71" t="str">
        <x:v>Already clear and direct; suggested wording intentionally keeps the current copy.</x:v>
      </x:c>
      <x:c r="S1151" s="75" t="str">
        <x:v>Not applied — review required</x:v>
      </x:c>
    </x:row>
    <x:row r="1152">
      <x:c r="A1152" s="71" t="str">
        <x:v>MRV-75134F8B64</x:v>
      </x:c>
      <x:c r="B1152" s="71" t="str">
        <x:v>Acquisition</x:v>
      </x:c>
      <x:c r="C1152" s="71" t="str">
        <x:v>Tour / How it works</x:v>
      </x:c>
      <x:c r="D1152" s="71" t="str">
        <x:v>Shared: Tour / How it works</x:v>
      </x:c>
      <x:c r="E1152" s="71" t="str">
        <x:v>copy</x:v>
      </x:c>
      <x:c r="F1152" s="71" t="str">
        <x:v>Default</x:v>
      </x:c>
      <x:c r="G1152" s="71" t="str">
        <x:v>Label</x:v>
      </x:c>
      <x:c r="H1152" s="71" t="str">
        <x:v>02 · Define el tiempo</x:v>
      </x:c>
      <x:c r="I1152" s="71" t="str">
        <x:v>02 · Define el tiempo</x:v>
      </x:c>
      <x:c r="J1152" s="73"/>
      <x:c r="K1152" s="74" t="str">
        <x:f>IF(J1152="",H1152,IF(J1152=I1152,I1152,J1152))</x:f>
        <x:v>02 · Define el tiempo</x:v>
      </x:c>
      <x:c r="L1152" s="74" t="str">
        <x:f>IF(J1152="","Keep current",IF(J1152=I1152,"Use suggestion","Custom"))</x:f>
        <x:v>Keep current</x:v>
      </x:c>
      <x:c r="M1152" s="71" t="str">
        <x:v>Pending review</x:v>
      </x:c>
      <x:c r="N1152" s="71" t="str">
        <x:v>Normal</x:v>
      </x:c>
      <x:c r="O1152" s="71" t="str">
        <x:v>components/easyt/easyt-product-tour.tsx</x:v>
      </x:c>
      <x:c r="P1152" s="71" t="str">
        <x:v>copy:24</x:v>
      </x:c>
      <x:c r="Q1152" s="71" t="str">
        <x:v>EN (default / shared)</x:v>
      </x:c>
      <x:c r="R1152" s="71" t="str">
        <x:v>Already clear and direct; suggested wording intentionally keeps the current copy.</x:v>
      </x:c>
      <x:c r="S1152" s="75" t="str">
        <x:v>Not applied — review required</x:v>
      </x:c>
    </x:row>
    <x:row r="1153">
      <x:c r="A1153" s="71" t="str">
        <x:v>MRV-F3C1BC8DF1</x:v>
      </x:c>
      <x:c r="B1153" s="71" t="str">
        <x:v>Acquisition</x:v>
      </x:c>
      <x:c r="C1153" s="71" t="str">
        <x:v>Tour / How it works</x:v>
      </x:c>
      <x:c r="D1153" s="71" t="str">
        <x:v>Shared: Tour / How it works</x:v>
      </x:c>
      <x:c r="E1153" s="71" t="str">
        <x:v>copy</x:v>
      </x:c>
      <x:c r="F1153" s="71" t="str">
        <x:v>Default</x:v>
      </x:c>
      <x:c r="G1153" s="71" t="str">
        <x:v>Tooltip</x:v>
      </x:c>
      <x:c r="H1153" s="71" t="str">
        <x:v>Confirma las fechas y haz que las noches encajen.</x:v>
      </x:c>
      <x:c r="I1153" s="71" t="str">
        <x:v>Confirma las fechas y haz que las noches encajen.</x:v>
      </x:c>
      <x:c r="J1153" s="73"/>
      <x:c r="K1153" s="74" t="str">
        <x:f>IF(J1153="",H1153,IF(J1153=I1153,I1153,J1153))</x:f>
        <x:v>Confirma las fechas y haz que las noches encajen.</x:v>
      </x:c>
      <x:c r="L1153" s="74" t="str">
        <x:f>IF(J1153="","Keep current",IF(J1153=I1153,"Use suggestion","Custom"))</x:f>
        <x:v>Keep current</x:v>
      </x:c>
      <x:c r="M1153" s="71" t="str">
        <x:v>Pending review</x:v>
      </x:c>
      <x:c r="N1153" s="71" t="str">
        <x:v>Normal</x:v>
      </x:c>
      <x:c r="O1153" s="71" t="str">
        <x:v>components/easyt/easyt-product-tour.tsx</x:v>
      </x:c>
      <x:c r="P1153" s="71" t="str">
        <x:v>copy:24</x:v>
      </x:c>
      <x:c r="Q1153" s="71" t="str">
        <x:v>EN (default / shared)</x:v>
      </x:c>
      <x:c r="R1153" s="71" t="str">
        <x:v>Already clear and direct; suggested wording intentionally keeps the current copy.</x:v>
      </x:c>
      <x:c r="S1153" s="75" t="str">
        <x:v>Not applied — review required</x:v>
      </x:c>
    </x:row>
    <x:row r="1154">
      <x:c r="A1154" s="71" t="str">
        <x:v>MRV-408FEA7F96</x:v>
      </x:c>
      <x:c r="B1154" s="71" t="str">
        <x:v>Acquisition</x:v>
      </x:c>
      <x:c r="C1154" s="71" t="str">
        <x:v>Tour / How it works</x:v>
      </x:c>
      <x:c r="D1154" s="71" t="str">
        <x:v>Shared: Tour / How it works</x:v>
      </x:c>
      <x:c r="E1154" s="71" t="str">
        <x:v>copy</x:v>
      </x:c>
      <x:c r="F1154" s="71" t="str">
        <x:v>Accessibility / input support</x:v>
      </x:c>
      <x:c r="G1154" s="71" t="str">
        <x:v>Image alternative</x:v>
      </x:c>
      <x:c r="H1154" s="71" t="str">
        <x:v>Distribución de tiempo de Morrovia</x:v>
      </x:c>
      <x:c r="I1154" s="71" t="str">
        <x:v>Distribución de tiempo de Morrovia</x:v>
      </x:c>
      <x:c r="J1154" s="73"/>
      <x:c r="K1154" s="74" t="str">
        <x:f>IF(J1154="",H1154,IF(J1154=I1154,I1154,J1154))</x:f>
        <x:v>Distribución de tiempo de Morrovia</x:v>
      </x:c>
      <x:c r="L1154" s="74" t="str">
        <x:f>IF(J1154="","Keep current",IF(J1154=I1154,"Use suggestion","Custom"))</x:f>
        <x:v>Keep current</x:v>
      </x:c>
      <x:c r="M1154" s="71" t="str">
        <x:v>Pending review</x:v>
      </x:c>
      <x:c r="N1154" s="71" t="str">
        <x:v>Normal</x:v>
      </x:c>
      <x:c r="O1154" s="71" t="str">
        <x:v>components/easyt/easyt-product-tour.tsx</x:v>
      </x:c>
      <x:c r="P1154" s="71" t="str">
        <x:v>copy:24</x:v>
      </x:c>
      <x:c r="Q1154" s="71" t="str">
        <x:v>EN (default / shared)</x:v>
      </x:c>
      <x:c r="R1154" s="71" t="str">
        <x:v>Already clear and direct; suggested wording intentionally keeps the current copy.</x:v>
      </x:c>
      <x:c r="S1154" s="75" t="str">
        <x:v>Not applied — review required</x:v>
      </x:c>
    </x:row>
    <x:row r="1155">
      <x:c r="A1155" s="71" t="str">
        <x:v>MRV-E328C3DB29</x:v>
      </x:c>
      <x:c r="B1155" s="71" t="str">
        <x:v>Acquisition</x:v>
      </x:c>
      <x:c r="C1155" s="71" t="str">
        <x:v>Tour / How it works</x:v>
      </x:c>
      <x:c r="D1155" s="71" t="str">
        <x:v>Shared: Tour / How it works</x:v>
      </x:c>
      <x:c r="E1155" s="71" t="str">
        <x:v>copy</x:v>
      </x:c>
      <x:c r="F1155" s="71" t="str">
        <x:v>Default</x:v>
      </x:c>
      <x:c r="G1155" s="71" t="str">
        <x:v>Body copy</x:v>
      </x:c>
      <x:c r="H1155" s="71" t="str">
        <x:v>03 · Haz que la ruta funcione</x:v>
      </x:c>
      <x:c r="I1155" s="71" t="str">
        <x:v>03 · Haz que la ruta funcione</x:v>
      </x:c>
      <x:c r="J1155" s="73"/>
      <x:c r="K1155" s="74" t="str">
        <x:f>IF(J1155="",H1155,IF(J1155=I1155,I1155,J1155))</x:f>
        <x:v>03 · Haz que la ruta funcione</x:v>
      </x:c>
      <x:c r="L1155" s="74" t="str">
        <x:f>IF(J1155="","Keep current",IF(J1155=I1155,"Use suggestion","Custom"))</x:f>
        <x:v>Keep current</x:v>
      </x:c>
      <x:c r="M1155" s="71" t="str">
        <x:v>Pending review</x:v>
      </x:c>
      <x:c r="N1155" s="71" t="str">
        <x:v>Normal</x:v>
      </x:c>
      <x:c r="O1155" s="71" t="str">
        <x:v>components/easyt/easyt-product-tour.tsx</x:v>
      </x:c>
      <x:c r="P1155" s="71" t="str">
        <x:v>copy:25</x:v>
      </x:c>
      <x:c r="Q1155" s="71" t="str">
        <x:v>EN (default / shared)</x:v>
      </x:c>
      <x:c r="R1155" s="71" t="str">
        <x:v>Already clear and direct; suggested wording intentionally keeps the current copy.</x:v>
      </x:c>
      <x:c r="S1155" s="75" t="str">
        <x:v>Not applied — review required</x:v>
      </x:c>
    </x:row>
    <x:row r="1156">
      <x:c r="A1156" s="71" t="str">
        <x:v>MRV-034CFADAFE</x:v>
      </x:c>
      <x:c r="B1156" s="71" t="str">
        <x:v>Acquisition</x:v>
      </x:c>
      <x:c r="C1156" s="71" t="str">
        <x:v>Tour / How it works</x:v>
      </x:c>
      <x:c r="D1156" s="71" t="str">
        <x:v>Shared: Tour / How it works</x:v>
      </x:c>
      <x:c r="E1156" s="71" t="str">
        <x:v>copy</x:v>
      </x:c>
      <x:c r="F1156" s="71" t="str">
        <x:v>Default</x:v>
      </x:c>
      <x:c r="G1156" s="71" t="str">
        <x:v>Tooltip</x:v>
      </x:c>
      <x:c r="H1156" s="71" t="str">
        <x:v>Ve la ruta más directa antes de comprometerte.</x:v>
      </x:c>
      <x:c r="I1156" s="71" t="str">
        <x:v>Ve la ruta más directa antes de comprometerte.</x:v>
      </x:c>
      <x:c r="J1156" s="73"/>
      <x:c r="K1156" s="74" t="str">
        <x:f>IF(J1156="",H1156,IF(J1156=I1156,I1156,J1156))</x:f>
        <x:v>Ve la ruta más directa antes de comprometerte.</x:v>
      </x:c>
      <x:c r="L1156" s="74" t="str">
        <x:f>IF(J1156="","Keep current",IF(J1156=I1156,"Use suggestion","Custom"))</x:f>
        <x:v>Keep current</x:v>
      </x:c>
      <x:c r="M1156" s="71" t="str">
        <x:v>Pending review</x:v>
      </x:c>
      <x:c r="N1156" s="71" t="str">
        <x:v>Normal</x:v>
      </x:c>
      <x:c r="O1156" s="71" t="str">
        <x:v>components/easyt/easyt-product-tour.tsx</x:v>
      </x:c>
      <x:c r="P1156" s="71" t="str">
        <x:v>copy:25</x:v>
      </x:c>
      <x:c r="Q1156" s="71" t="str">
        <x:v>EN (default / shared)</x:v>
      </x:c>
      <x:c r="R1156" s="71" t="str">
        <x:v>Already clear and direct; suggested wording intentionally keeps the current copy.</x:v>
      </x:c>
      <x:c r="S1156" s="75" t="str">
        <x:v>Not applied — review required</x:v>
      </x:c>
    </x:row>
    <x:row r="1157">
      <x:c r="A1157" s="71" t="str">
        <x:v>MRV-6F0D8E860F</x:v>
      </x:c>
      <x:c r="B1157" s="71" t="str">
        <x:v>Acquisition</x:v>
      </x:c>
      <x:c r="C1157" s="71" t="str">
        <x:v>Tour / How it works</x:v>
      </x:c>
      <x:c r="D1157" s="71" t="str">
        <x:v>Shared: Tour / How it works</x:v>
      </x:c>
      <x:c r="E1157" s="71" t="str">
        <x:v>copy</x:v>
      </x:c>
      <x:c r="F1157" s="71" t="str">
        <x:v>Accessibility / input support</x:v>
      </x:c>
      <x:c r="G1157" s="71" t="str">
        <x:v>Image alternative</x:v>
      </x:c>
      <x:c r="H1157" s="71" t="str">
        <x:v>Opciones de ruta de Morrovia</x:v>
      </x:c>
      <x:c r="I1157" s="71" t="str">
        <x:v>Opciones de ruta de Morrovia</x:v>
      </x:c>
      <x:c r="J1157" s="73"/>
      <x:c r="K1157" s="74" t="str">
        <x:f>IF(J1157="",H1157,IF(J1157=I1157,I1157,J1157))</x:f>
        <x:v>Opciones de ruta de Morrovia</x:v>
      </x:c>
      <x:c r="L1157" s="74" t="str">
        <x:f>IF(J1157="","Keep current",IF(J1157=I1157,"Use suggestion","Custom"))</x:f>
        <x:v>Keep current</x:v>
      </x:c>
      <x:c r="M1157" s="71" t="str">
        <x:v>Pending review</x:v>
      </x:c>
      <x:c r="N1157" s="71" t="str">
        <x:v>Normal</x:v>
      </x:c>
      <x:c r="O1157" s="71" t="str">
        <x:v>components/easyt/easyt-product-tour.tsx</x:v>
      </x:c>
      <x:c r="P1157" s="71" t="str">
        <x:v>copy:25</x:v>
      </x:c>
      <x:c r="Q1157" s="71" t="str">
        <x:v>EN (default / shared)</x:v>
      </x:c>
      <x:c r="R1157" s="71" t="str">
        <x:v>Already clear and direct; suggested wording intentionally keeps the current copy.</x:v>
      </x:c>
      <x:c r="S1157" s="75" t="str">
        <x:v>Not applied — review required</x:v>
      </x:c>
    </x:row>
    <x:row r="1158">
      <x:c r="A1158" s="71" t="str">
        <x:v>MRV-EB6CF95F67</x:v>
      </x:c>
      <x:c r="B1158" s="71" t="str">
        <x:v>Acquisition</x:v>
      </x:c>
      <x:c r="C1158" s="71" t="str">
        <x:v>Tour / How it works</x:v>
      </x:c>
      <x:c r="D1158" s="71" t="str">
        <x:v>Shared: Tour / How it works</x:v>
      </x:c>
      <x:c r="E1158" s="71" t="str">
        <x:v>copy</x:v>
      </x:c>
      <x:c r="F1158" s="71" t="str">
        <x:v>Default</x:v>
      </x:c>
      <x:c r="G1158" s="71" t="str">
        <x:v>Label</x:v>
      </x:c>
      <x:c r="H1158" s="71" t="str">
        <x:v>04 · Úsala en el momento</x:v>
      </x:c>
      <x:c r="I1158" s="71" t="str">
        <x:v>04 · Úsala en el momento</x:v>
      </x:c>
      <x:c r="J1158" s="73"/>
      <x:c r="K1158" s="74" t="str">
        <x:f>IF(J1158="",H1158,IF(J1158=I1158,I1158,J1158))</x:f>
        <x:v>04 · Úsala en el momento</x:v>
      </x:c>
      <x:c r="L1158" s="74" t="str">
        <x:f>IF(J1158="","Keep current",IF(J1158=I1158,"Use suggestion","Custom"))</x:f>
        <x:v>Keep current</x:v>
      </x:c>
      <x:c r="M1158" s="71" t="str">
        <x:v>Pending review</x:v>
      </x:c>
      <x:c r="N1158" s="71" t="str">
        <x:v>Normal</x:v>
      </x:c>
      <x:c r="O1158" s="71" t="str">
        <x:v>components/easyt/easyt-product-tour.tsx</x:v>
      </x:c>
      <x:c r="P1158" s="71" t="str">
        <x:v>copy:26</x:v>
      </x:c>
      <x:c r="Q1158" s="71" t="str">
        <x:v>EN (default / shared)</x:v>
      </x:c>
      <x:c r="R1158" s="71" t="str">
        <x:v>Already clear and direct; suggested wording intentionally keeps the current copy.</x:v>
      </x:c>
      <x:c r="S1158" s="75" t="str">
        <x:v>Not applied — review required</x:v>
      </x:c>
    </x:row>
    <x:row r="1159">
      <x:c r="A1159" s="71" t="str">
        <x:v>MRV-379CDA6011</x:v>
      </x:c>
      <x:c r="B1159" s="71" t="str">
        <x:v>Acquisition</x:v>
      </x:c>
      <x:c r="C1159" s="71" t="str">
        <x:v>Tour / How it works</x:v>
      </x:c>
      <x:c r="D1159" s="71" t="str">
        <x:v>Shared: Tour / How it works</x:v>
      </x:c>
      <x:c r="E1159" s="71" t="str">
        <x:v>copy</x:v>
      </x:c>
      <x:c r="F1159" s="71" t="str">
        <x:v>Default</x:v>
      </x:c>
      <x:c r="G1159" s="71" t="str">
        <x:v>Tooltip</x:v>
      </x:c>
      <x:c r="H1159" s="71" t="str">
        <x:v>Tu itinerario sigue siendo útil cuando estás fuera.</x:v>
      </x:c>
      <x:c r="I1159" s="71" t="str">
        <x:v>Tu itinerario sigue siendo útil cuando estás fuera.</x:v>
      </x:c>
      <x:c r="J1159" s="73"/>
      <x:c r="K1159" s="74" t="str">
        <x:f>IF(J1159="",H1159,IF(J1159=I1159,I1159,J1159))</x:f>
        <x:v>Tu itinerario sigue siendo útil cuando estás fuera.</x:v>
      </x:c>
      <x:c r="L1159" s="74" t="str">
        <x:f>IF(J1159="","Keep current",IF(J1159=I1159,"Use suggestion","Custom"))</x:f>
        <x:v>Keep current</x:v>
      </x:c>
      <x:c r="M1159" s="71" t="str">
        <x:v>Pending review</x:v>
      </x:c>
      <x:c r="N1159" s="71" t="str">
        <x:v>Normal</x:v>
      </x:c>
      <x:c r="O1159" s="71" t="str">
        <x:v>components/easyt/easyt-product-tour.tsx</x:v>
      </x:c>
      <x:c r="P1159" s="71" t="str">
        <x:v>copy:26</x:v>
      </x:c>
      <x:c r="Q1159" s="71" t="str">
        <x:v>EN (default / shared)</x:v>
      </x:c>
      <x:c r="R1159" s="71" t="str">
        <x:v>Already clear and direct; suggested wording intentionally keeps the current copy.</x:v>
      </x:c>
      <x:c r="S1159" s="75" t="str">
        <x:v>Not applied — review required</x:v>
      </x:c>
    </x:row>
    <x:row r="1160">
      <x:c r="A1160" s="71" t="str">
        <x:v>MRV-3AC1B66F3E</x:v>
      </x:c>
      <x:c r="B1160" s="71" t="str">
        <x:v>Acquisition</x:v>
      </x:c>
      <x:c r="C1160" s="71" t="str">
        <x:v>Tour / How it works</x:v>
      </x:c>
      <x:c r="D1160" s="71" t="str">
        <x:v>Shared: Tour / How it works</x:v>
      </x:c>
      <x:c r="E1160" s="71" t="str">
        <x:v>copy</x:v>
      </x:c>
      <x:c r="F1160" s="71" t="str">
        <x:v>Accessibility / input support</x:v>
      </x:c>
      <x:c r="G1160" s="71" t="str">
        <x:v>Image alternative</x:v>
      </x:c>
      <x:c r="H1160" s="71" t="str">
        <x:v>Buscador cercano de Morrovia</x:v>
      </x:c>
      <x:c r="I1160" s="71" t="str">
        <x:v>Buscador cercano de Morrovia</x:v>
      </x:c>
      <x:c r="J1160" s="73"/>
      <x:c r="K1160" s="74" t="str">
        <x:f>IF(J1160="",H1160,IF(J1160=I1160,I1160,J1160))</x:f>
        <x:v>Buscador cercano de Morrovia</x:v>
      </x:c>
      <x:c r="L1160" s="74" t="str">
        <x:f>IF(J1160="","Keep current",IF(J1160=I1160,"Use suggestion","Custom"))</x:f>
        <x:v>Keep current</x:v>
      </x:c>
      <x:c r="M1160" s="71" t="str">
        <x:v>Pending review</x:v>
      </x:c>
      <x:c r="N1160" s="71" t="str">
        <x:v>Normal</x:v>
      </x:c>
      <x:c r="O1160" s="71" t="str">
        <x:v>components/easyt/easyt-product-tour.tsx</x:v>
      </x:c>
      <x:c r="P1160" s="71" t="str">
        <x:v>copy:26</x:v>
      </x:c>
      <x:c r="Q1160" s="71" t="str">
        <x:v>EN (default / shared)</x:v>
      </x:c>
      <x:c r="R1160" s="71" t="str">
        <x:v>Already clear and direct; suggested wording intentionally keeps the current copy.</x:v>
      </x:c>
      <x:c r="S1160" s="75" t="str">
        <x:v>Not applied — review required</x:v>
      </x:c>
    </x:row>
    <x:row r="1161">
      <x:c r="A1161" s="71" t="str">
        <x:v>MRV-9FB0D37D0A</x:v>
      </x:c>
      <x:c r="B1161" s="71" t="str">
        <x:v>Acquisition</x:v>
      </x:c>
      <x:c r="C1161" s="71" t="str">
        <x:v>Tour / How it works</x:v>
      </x:c>
      <x:c r="D1161" s="71" t="str">
        <x:v>Shared: Tour / How it works</x:v>
      </x:c>
      <x:c r="E1161" s="71" t="str">
        <x:v>copy</x:v>
      </x:c>
      <x:c r="F1161" s="71" t="str">
        <x:v>Default</x:v>
      </x:c>
      <x:c r="G1161" s="71" t="str">
        <x:v>Label</x:v>
      </x:c>
      <x:c r="H1161" s="71" t="str">
        <x:v>05 · Conserva la historia</x:v>
      </x:c>
      <x:c r="I1161" s="71" t="str">
        <x:v>05 · Conserva la historia</x:v>
      </x:c>
      <x:c r="J1161" s="73"/>
      <x:c r="K1161" s="74" t="str">
        <x:f>IF(J1161="",H1161,IF(J1161=I1161,I1161,J1161))</x:f>
        <x:v>05 · Conserva la historia</x:v>
      </x:c>
      <x:c r="L1161" s="74" t="str">
        <x:f>IF(J1161="","Keep current",IF(J1161=I1161,"Use suggestion","Custom"))</x:f>
        <x:v>Keep current</x:v>
      </x:c>
      <x:c r="M1161" s="71" t="str">
        <x:v>Pending review</x:v>
      </x:c>
      <x:c r="N1161" s="71" t="str">
        <x:v>Normal</x:v>
      </x:c>
      <x:c r="O1161" s="71" t="str">
        <x:v>components/easyt/easyt-product-tour.tsx</x:v>
      </x:c>
      <x:c r="P1161" s="71" t="str">
        <x:v>copy:27</x:v>
      </x:c>
      <x:c r="Q1161" s="71" t="str">
        <x:v>EN (default / shared)</x:v>
      </x:c>
      <x:c r="R1161" s="71" t="str">
        <x:v>Already clear and direct; suggested wording intentionally keeps the current copy.</x:v>
      </x:c>
      <x:c r="S1161" s="75" t="str">
        <x:v>Not applied — review required</x:v>
      </x:c>
    </x:row>
    <x:row r="1162">
      <x:c r="A1162" s="71" t="str">
        <x:v>MRV-29629A66CE</x:v>
      </x:c>
      <x:c r="B1162" s="71" t="str">
        <x:v>Acquisition</x:v>
      </x:c>
      <x:c r="C1162" s="71" t="str">
        <x:v>Tour / How it works</x:v>
      </x:c>
      <x:c r="D1162" s="71" t="str">
        <x:v>Shared: Tour / How it works</x:v>
      </x:c>
      <x:c r="E1162" s="71" t="str">
        <x:v>copy</x:v>
      </x:c>
      <x:c r="F1162" s="71" t="str">
        <x:v>Default</x:v>
      </x:c>
      <x:c r="G1162" s="71" t="str">
        <x:v>Tooltip</x:v>
      </x:c>
      <x:c r="H1162" s="71" t="str">
        <x:v>Convierte los viajes en un registro personal.</x:v>
      </x:c>
      <x:c r="I1162" s="71" t="str">
        <x:v>Convierte los viajes en un registro personal.</x:v>
      </x:c>
      <x:c r="J1162" s="73"/>
      <x:c r="K1162" s="74" t="str">
        <x:f>IF(J1162="",H1162,IF(J1162=I1162,I1162,J1162))</x:f>
        <x:v>Convierte los viajes en un registro personal.</x:v>
      </x:c>
      <x:c r="L1162" s="74" t="str">
        <x:f>IF(J1162="","Keep current",IF(J1162=I1162,"Use suggestion","Custom"))</x:f>
        <x:v>Keep current</x:v>
      </x:c>
      <x:c r="M1162" s="71" t="str">
        <x:v>Pending review</x:v>
      </x:c>
      <x:c r="N1162" s="71" t="str">
        <x:v>Normal</x:v>
      </x:c>
      <x:c r="O1162" s="71" t="str">
        <x:v>components/easyt/easyt-product-tour.tsx</x:v>
      </x:c>
      <x:c r="P1162" s="71" t="str">
        <x:v>copy:27</x:v>
      </x:c>
      <x:c r="Q1162" s="71" t="str">
        <x:v>EN (default / shared)</x:v>
      </x:c>
      <x:c r="R1162" s="71" t="str">
        <x:v>Already clear and direct; suggested wording intentionally keeps the current copy.</x:v>
      </x:c>
      <x:c r="S1162" s="75" t="str">
        <x:v>Not applied — review required</x:v>
      </x:c>
    </x:row>
    <x:row r="1163">
      <x:c r="A1163" s="71" t="str">
        <x:v>MRV-912BB21468</x:v>
      </x:c>
      <x:c r="B1163" s="71" t="str">
        <x:v>Acquisition</x:v>
      </x:c>
      <x:c r="C1163" s="71" t="str">
        <x:v>Tour / How it works</x:v>
      </x:c>
      <x:c r="D1163" s="71" t="str">
        <x:v>Shared: Tour / How it works</x:v>
      </x:c>
      <x:c r="E1163" s="71" t="str">
        <x:v>copy</x:v>
      </x:c>
      <x:c r="F1163" s="71" t="str">
        <x:v>Accessibility / input support</x:v>
      </x:c>
      <x:c r="G1163" s="71" t="str">
        <x:v>Image alternative</x:v>
      </x:c>
      <x:c r="H1163" s="71" t="str">
        <x:v>Sellos de Morrovia</x:v>
      </x:c>
      <x:c r="I1163" s="71" t="str">
        <x:v>Sellos de Morrovia</x:v>
      </x:c>
      <x:c r="J1163" s="73"/>
      <x:c r="K1163" s="74" t="str">
        <x:f>IF(J1163="",H1163,IF(J1163=I1163,I1163,J1163))</x:f>
        <x:v>Sellos de Morrovia</x:v>
      </x:c>
      <x:c r="L1163" s="74" t="str">
        <x:f>IF(J1163="","Keep current",IF(J1163=I1163,"Use suggestion","Custom"))</x:f>
        <x:v>Keep current</x:v>
      </x:c>
      <x:c r="M1163" s="71" t="str">
        <x:v>Pending review</x:v>
      </x:c>
      <x:c r="N1163" s="71" t="str">
        <x:v>Normal</x:v>
      </x:c>
      <x:c r="O1163" s="71" t="str">
        <x:v>components/easyt/easyt-product-tour.tsx</x:v>
      </x:c>
      <x:c r="P1163" s="71" t="str">
        <x:v>copy:27</x:v>
      </x:c>
      <x:c r="Q1163" s="71" t="str">
        <x:v>EN (default / shared)</x:v>
      </x:c>
      <x:c r="R1163" s="71" t="str">
        <x:v>Already clear and direct; suggested wording intentionally keeps the current copy.</x:v>
      </x:c>
      <x:c r="S1163" s="75" t="str">
        <x:v>Not applied — review required</x:v>
      </x:c>
    </x:row>
    <x:row r="1164">
      <x:c r="A1164" s="71" t="str">
        <x:v>MRV-F24EAC602B</x:v>
      </x:c>
      <x:c r="B1164" s="71" t="str">
        <x:v>Acquisition</x:v>
      </x:c>
      <x:c r="C1164" s="71" t="str">
        <x:v>Tour / How it works</x:v>
      </x:c>
      <x:c r="D1164" s="71" t="str">
        <x:v>Shared: Tour / How it works</x:v>
      </x:c>
      <x:c r="E1164" s="71" t="str">
        <x:v>focusable</x:v>
      </x:c>
      <x:c r="F1164" s="71" t="str">
        <x:v>Default</x:v>
      </x:c>
      <x:c r="G1164" s="71" t="str">
        <x:v>Body copy</x:v>
      </x:c>
      <x:c r="H1164" s="71" t="str">
        <x:v>button, [href], select, textarea, input, [tabindex]:not([tabindex='-1'])</x:v>
      </x:c>
      <x:c r="I1164" s="71" t="str">
        <x:v>button, [href], select, textarea, input, [tabindex]:not([tabindex='-1'])</x:v>
      </x:c>
      <x:c r="J1164" s="73"/>
      <x:c r="K1164" s="74" t="str">
        <x:f>IF(J1164="",H1164,IF(J1164=I1164,I1164,J1164))</x:f>
        <x:v>button, [href], select, textarea, input, [tabindex]:not([tabindex='-1'])</x:v>
      </x:c>
      <x:c r="L1164" s="74" t="str">
        <x:f>IF(J1164="","Keep current",IF(J1164=I1164,"Use suggestion","Custom"))</x:f>
        <x:v>Keep current</x:v>
      </x:c>
      <x:c r="M1164" s="71" t="str">
        <x:v>Pending review</x:v>
      </x:c>
      <x:c r="N1164" s="71" t="str">
        <x:v>Normal</x:v>
      </x:c>
      <x:c r="O1164" s="71" t="str">
        <x:v>components/easyt/easyt-product-tour.tsx</x:v>
      </x:c>
      <x:c r="P1164" s="71" t="str">
        <x:v>focusable:53</x:v>
      </x:c>
      <x:c r="Q1164" s="71" t="str">
        <x:v>EN (default / shared)</x:v>
      </x:c>
      <x:c r="R1164" s="71" t="str">
        <x:v>Already clear and direct; suggested wording intentionally keeps the current copy.</x:v>
      </x:c>
      <x:c r="S1164" s="75" t="str">
        <x:v>Not applied — review required</x:v>
      </x:c>
    </x:row>
    <x:row r="1165">
      <x:c r="A1165" s="71" t="str">
        <x:v>MRV-309BB7F8F2</x:v>
      </x:c>
      <x:c r="B1165" s="71" t="str">
        <x:v>Acquisition</x:v>
      </x:c>
      <x:c r="C1165" s="71" t="str">
        <x:v>Tour / How it works</x:v>
      </x:c>
      <x:c r="D1165" s="71" t="str">
        <x:v>Shared: Tour / How it works</x:v>
      </x:c>
      <x:c r="E1165" s="71" t="str">
        <x:v>trapFocus</x:v>
      </x:c>
      <x:c r="F1165" s="71" t="str">
        <x:v>Default</x:v>
      </x:c>
      <x:c r="G1165" s="71" t="str">
        <x:v>Label</x:v>
      </x:c>
      <x:c r="H1165" s="71" t="str">
        <x:v>Escape</x:v>
      </x:c>
      <x:c r="I1165" s="71" t="str">
        <x:v>Escape</x:v>
      </x:c>
      <x:c r="J1165" s="73"/>
      <x:c r="K1165" s="74" t="str">
        <x:f>IF(J1165="",H1165,IF(J1165=I1165,I1165,J1165))</x:f>
        <x:v>Escape</x:v>
      </x:c>
      <x:c r="L1165" s="74" t="str">
        <x:f>IF(J1165="","Keep current",IF(J1165=I1165,"Use suggestion","Custom"))</x:f>
        <x:v>Keep current</x:v>
      </x:c>
      <x:c r="M1165" s="71" t="str">
        <x:v>Pending review</x:v>
      </x:c>
      <x:c r="N1165" s="71" t="str">
        <x:v>Normal</x:v>
      </x:c>
      <x:c r="O1165" s="71" t="str">
        <x:v>components/easyt/easyt-product-tour.tsx</x:v>
      </x:c>
      <x:c r="P1165" s="71" t="str">
        <x:v>trapFocus:58</x:v>
      </x:c>
      <x:c r="Q1165" s="71" t="str">
        <x:v>EN (default / shared)</x:v>
      </x:c>
      <x:c r="R1165" s="71" t="str">
        <x:v>Already clear and direct; suggested wording intentionally keeps the current copy. Duplicate wording: appears 4 times.</x:v>
      </x:c>
      <x:c r="S1165" s="75" t="str">
        <x:v>Not applied — review required</x:v>
      </x:c>
    </x:row>
    <x:row r="1166">
      <x:c r="A1166" s="71" t="str">
        <x:v>MRV-FBBA589D58</x:v>
      </x:c>
      <x:c r="B1166" s="71" t="str">
        <x:v>Acquisition</x:v>
      </x:c>
      <x:c r="C1166" s="71" t="str">
        <x:v>Tour / How it works</x:v>
      </x:c>
      <x:c r="D1166" s="71" t="str">
        <x:v>Shared: Tour / How it works</x:v>
      </x:c>
      <x:c r="E1166" s="71" t="str">
        <x:v>trapFocus</x:v>
      </x:c>
      <x:c r="F1166" s="71" t="str">
        <x:v>Default</x:v>
      </x:c>
      <x:c r="G1166" s="71" t="str">
        <x:v>Label</x:v>
      </x:c>
      <x:c r="H1166" s="71" t="str">
        <x:v>Tab</x:v>
      </x:c>
      <x:c r="I1166" s="71" t="str">
        <x:v>Tab</x:v>
      </x:c>
      <x:c r="J1166" s="73"/>
      <x:c r="K1166" s="74" t="str">
        <x:f>IF(J1166="",H1166,IF(J1166=I1166,I1166,J1166))</x:f>
        <x:v>Tab</x:v>
      </x:c>
      <x:c r="L1166" s="74" t="str">
        <x:f>IF(J1166="","Keep current",IF(J1166=I1166,"Use suggestion","Custom"))</x:f>
        <x:v>Keep current</x:v>
      </x:c>
      <x:c r="M1166" s="71" t="str">
        <x:v>Pending review</x:v>
      </x:c>
      <x:c r="N1166" s="71" t="str">
        <x:v>Normal</x:v>
      </x:c>
      <x:c r="O1166" s="71" t="str">
        <x:v>components/easyt/easyt-product-tour.tsx</x:v>
      </x:c>
      <x:c r="P1166" s="71" t="str">
        <x:v>trapFocus:59</x:v>
      </x:c>
      <x:c r="Q1166" s="71" t="str">
        <x:v>EN (default / shared)</x:v>
      </x:c>
      <x:c r="R1166" s="71" t="str">
        <x:v>Already clear and direct; suggested wording intentionally keeps the current copy. Duplicate wording: appears 2 times.</x:v>
      </x:c>
      <x:c r="S1166" s="75" t="str">
        <x:v>Not applied — review required</x:v>
      </x:c>
    </x:row>
    <x:row r="1167">
      <x:c r="A1167" s="71" t="str">
        <x:v>MRV-DA964F8FD0</x:v>
      </x:c>
      <x:c r="B1167" s="71" t="str">
        <x:v>Acquisition</x:v>
      </x:c>
      <x:c r="C1167" s="71" t="str">
        <x:v>Tour / How it works</x:v>
      </x:c>
      <x:c r="D1167" s="71" t="str">
        <x:v>Shared: Tour / How it works</x:v>
      </x:c>
      <x:c r="E1167" s="71" t="str">
        <x:v>EasyTProductTour</x:v>
      </x:c>
      <x:c r="F1167" s="71" t="str">
        <x:v>Accessibility / input support</x:v>
      </x:c>
      <x:c r="G1167" s="71" t="str">
        <x:v>Accessibility label</x:v>
      </x:c>
      <x:c r="H1167" s="71" t="str">
        <x:v>{text.step} {step + 1} {text.of} {text.steps.length}</x:v>
      </x:c>
      <x:c r="I1167" s="71" t="str">
        <x:v>{text.step} {step + 1} {text.of} {text.steps.length}</x:v>
      </x:c>
      <x:c r="J1167" s="73"/>
      <x:c r="K1167" s="74" t="str">
        <x:f>IF(J1167="",H1167,IF(J1167=I1167,I1167,J1167))</x:f>
        <x:v>{text.step} {step + 1} {text.of} {text.steps.length}</x:v>
      </x:c>
      <x:c r="L1167" s="74" t="str">
        <x:f>IF(J1167="","Keep current",IF(J1167=I1167,"Use suggestion","Custom"))</x:f>
        <x:v>Keep current</x:v>
      </x:c>
      <x:c r="M1167" s="71" t="str">
        <x:v>Pending review</x:v>
      </x:c>
      <x:c r="N1167" s="71" t="str">
        <x:v>Medium</x:v>
      </x:c>
      <x:c r="O1167" s="71" t="str">
        <x:v>components/easyt/easyt-product-tour.tsx</x:v>
      </x:c>
      <x:c r="P1167" s="71" t="str">
        <x:v>EasyTProductTour:83</x:v>
      </x:c>
      <x:c r="Q1167" s="71" t="str">
        <x:v>EN (default / shared)</x:v>
      </x:c>
      <x:c r="R1167" s="71" t="str">
        <x:v>Already clear and direct; suggested wording intentionally keeps the current copy. Dynamic traveller or trip value is represented as a token; user-generated values are excluded.</x:v>
      </x:c>
      <x:c r="S1167" s="75" t="str">
        <x:v>Not applied — review required</x:v>
      </x:c>
    </x:row>
    <x:row r="1168">
      <x:c r="A1168" s="71" t="str">
        <x:v>MRV-73F9B06885</x:v>
      </x:c>
      <x:c r="B1168" s="71" t="str">
        <x:v>System</x:v>
      </x:c>
      <x:c r="C1168" s="71" t="str">
        <x:v>Shared recovery / system</x:v>
      </x:c>
      <x:c r="D1168" s="71" t="str">
        <x:v>Shared</x:v>
      </x:c>
      <x:c r="E1168" s="71" t="str">
        <x:v>context</x:v>
      </x:c>
      <x:c r="F1168" s="71" t="str">
        <x:v>Default</x:v>
      </x:c>
      <x:c r="G1168" s="71" t="str">
        <x:v>Body copy</x:v>
      </x:c>
      <x:c r="H1168" s="71" t="str">
        <x:v>{text.context} · {destination}{surface === "map" &amp;&amp; dayCount ? ` · {dayCount} {language === "es" ? "días" : "days"}` : ""}</x:v>
      </x:c>
      <x:c r="I1168" s="71" t="str">
        <x:v>{text.context} · {destination}{surface === "map" &amp;&amp; dayCount ? ` · {dayCount} {language === "es" ? "días" : "days"}` : ""}</x:v>
      </x:c>
      <x:c r="J1168" s="73"/>
      <x:c r="K1168" s="74" t="str">
        <x:f>IF(J1168="",H1168,IF(J1168=I1168,I1168,J1168))</x:f>
        <x:v>{text.context} · {destination}{surface === "map" &amp;&amp; dayCount ? ` · {dayCount} {language === "es" ? "días" : "days"}` : ""}</x:v>
      </x:c>
      <x:c r="L1168" s="74" t="str">
        <x:f>IF(J1168="","Keep current",IF(J1168=I1168,"Use suggestion","Custom"))</x:f>
        <x:v>Keep current</x:v>
      </x:c>
      <x:c r="M1168" s="71" t="str">
        <x:v>Pending review</x:v>
      </x:c>
      <x:c r="N1168" s="71" t="str">
        <x:v>Normal</x:v>
      </x:c>
      <x:c r="O1168" s="71" t="str">
        <x:v>components/easyt/easyt-trip-copilot.tsx</x:v>
      </x:c>
      <x:c r="P1168" s="71" t="str">
        <x:v>context:23</x:v>
      </x:c>
      <x:c r="Q1168" s="71" t="str">
        <x:v>EN (default / shared)</x:v>
      </x:c>
      <x:c r="R116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168" s="75" t="str">
        <x:v>Not applied — review required</x:v>
      </x:c>
    </x:row>
    <x:row r="1169">
      <x:c r="A1169" s="71" t="str">
        <x:v>MRV-768092EDAD</x:v>
      </x:c>
      <x:c r="B1169" s="71" t="str">
        <x:v>System</x:v>
      </x:c>
      <x:c r="C1169" s="71" t="str">
        <x:v>Shared recovery / system</x:v>
      </x:c>
      <x:c r="D1169" s="71" t="str">
        <x:v>Shared</x:v>
      </x:c>
      <x:c r="E1169" s="71" t="str">
        <x:v>context</x:v>
      </x:c>
      <x:c r="F1169" s="71" t="str">
        <x:v>Default</x:v>
      </x:c>
      <x:c r="G1169" s="71" t="str">
        <x:v>Body copy</x:v>
      </x:c>
      <x:c r="H1169" s="71" t="str">
        <x:v>· {dayCount} {language === "es" ? "días" : "days"}</x:v>
      </x:c>
      <x:c r="I1169" s="71" t="str">
        <x:v>· {dayCount} {language === "es" ? "días" : "days"}</x:v>
      </x:c>
      <x:c r="J1169" s="73"/>
      <x:c r="K1169" s="74" t="str">
        <x:f>IF(J1169="",H1169,IF(J1169=I1169,I1169,J1169))</x:f>
        <x:v>· {dayCount} {language === "es" ? "días" : "days"}</x:v>
      </x:c>
      <x:c r="L1169" s="74" t="str">
        <x:f>IF(J1169="","Keep current",IF(J1169=I1169,"Use suggestion","Custom"))</x:f>
        <x:v>Keep current</x:v>
      </x:c>
      <x:c r="M1169" s="71" t="str">
        <x:v>Pending review</x:v>
      </x:c>
      <x:c r="N1169" s="71" t="str">
        <x:v>Normal</x:v>
      </x:c>
      <x:c r="O1169" s="71" t="str">
        <x:v>components/easyt/easyt-trip-copilot.tsx</x:v>
      </x:c>
      <x:c r="P1169" s="71" t="str">
        <x:v>context:23</x:v>
      </x:c>
      <x:c r="Q1169" s="71" t="str">
        <x:v>EN (default / shared)</x:v>
      </x:c>
      <x:c r="R1169" s="71" t="str">
        <x:v>Already clear and direct; suggested wording intentionally keeps the current copy. Dynamic traveller or trip value is represented as a token; user-generated values are excluded.</x:v>
      </x:c>
      <x:c r="S1169" s="75" t="str">
        <x:v>Not applied — review required</x:v>
      </x:c>
    </x:row>
    <x:row r="1170">
      <x:c r="A1170" s="71" t="str">
        <x:v>MRV-CBCE909443</x:v>
      </x:c>
      <x:c r="B1170" s="71" t="str">
        <x:v>System</x:v>
      </x:c>
      <x:c r="C1170" s="71" t="str">
        <x:v>Shared recovery / system</x:v>
      </x:c>
      <x:c r="D1170" s="71" t="str">
        <x:v>Shared</x:v>
      </x:c>
      <x:c r="E1170" s="71" t="str">
        <x:v>context</x:v>
      </x:c>
      <x:c r="F1170" s="71" t="str">
        <x:v>Default</x:v>
      </x:c>
      <x:c r="G1170" s="71" t="str">
        <x:v>Label</x:v>
      </x:c>
      <x:c r="H1170" s="71" t="str">
        <x:v>días</x:v>
      </x:c>
      <x:c r="I1170" s="71" t="str">
        <x:v>días</x:v>
      </x:c>
      <x:c r="J1170" s="73"/>
      <x:c r="K1170" s="74" t="str">
        <x:f>IF(J1170="",H1170,IF(J1170=I1170,I1170,J1170))</x:f>
        <x:v>días</x:v>
      </x:c>
      <x:c r="L1170" s="74" t="str">
        <x:f>IF(J1170="","Keep current",IF(J1170=I1170,"Use suggestion","Custom"))</x:f>
        <x:v>Keep current</x:v>
      </x:c>
      <x:c r="M1170" s="71" t="str">
        <x:v>Pending review</x:v>
      </x:c>
      <x:c r="N1170" s="71" t="str">
        <x:v>Normal</x:v>
      </x:c>
      <x:c r="O1170" s="71" t="str">
        <x:v>components/easyt/easyt-trip-copilot.tsx</x:v>
      </x:c>
      <x:c r="P1170" s="71" t="str">
        <x:v>context:23</x:v>
      </x:c>
      <x:c r="Q1170" s="71" t="str">
        <x:v>ES</x:v>
      </x:c>
      <x:c r="R1170" s="71" t="str">
        <x:v>Already clear and direct; suggested wording intentionally keeps the current copy.</x:v>
      </x:c>
      <x:c r="S1170" s="75" t="str">
        <x:v>Not applied — review required</x:v>
      </x:c>
    </x:row>
    <x:row r="1171">
      <x:c r="A1171" s="71" t="str">
        <x:v>MRV-993830FA05</x:v>
      </x:c>
      <x:c r="B1171" s="71" t="str">
        <x:v>System</x:v>
      </x:c>
      <x:c r="C1171" s="71" t="str">
        <x:v>Shared recovery / system</x:v>
      </x:c>
      <x:c r="D1171" s="71" t="str">
        <x:v>Shared</x:v>
      </x:c>
      <x:c r="E1171" s="71" t="str">
        <x:v>displayDate</x:v>
      </x:c>
      <x:c r="F1171" s="71" t="str">
        <x:v>Default</x:v>
      </x:c>
      <x:c r="G1171" s="71" t="str">
        <x:v>Label</x:v>
      </x:c>
      <x:c r="H1171" s="71" t="str">
        <x:v>Fecha por confirmar</x:v>
      </x:c>
      <x:c r="I1171" s="71" t="str">
        <x:v>Fecha por confirmar</x:v>
      </x:c>
      <x:c r="J1171" s="73"/>
      <x:c r="K1171" s="74" t="str">
        <x:f>IF(J1171="",H1171,IF(J1171=I1171,I1171,J1171))</x:f>
        <x:v>Fecha por confirmar</x:v>
      </x:c>
      <x:c r="L1171" s="74" t="str">
        <x:f>IF(J1171="","Keep current",IF(J1171=I1171,"Use suggestion","Custom"))</x:f>
        <x:v>Keep current</x:v>
      </x:c>
      <x:c r="M1171" s="71" t="str">
        <x:v>Pending review</x:v>
      </x:c>
      <x:c r="N1171" s="71" t="str">
        <x:v>Normal</x:v>
      </x:c>
      <x:c r="O1171" s="71" t="str">
        <x:v>components/easyt/trip-itinerary-workspace.tsx</x:v>
      </x:c>
      <x:c r="P1171" s="71" t="str">
        <x:v>displayDate:39</x:v>
      </x:c>
      <x:c r="Q1171" s="71" t="str">
        <x:v>ES</x:v>
      </x:c>
      <x:c r="R1171" s="71" t="str">
        <x:v>Already clear and direct; suggested wording intentionally keeps the current copy.</x:v>
      </x:c>
      <x:c r="S1171" s="75" t="str">
        <x:v>Not applied — review required</x:v>
      </x:c>
    </x:row>
    <x:row r="1172">
      <x:c r="A1172" s="71" t="str">
        <x:v>MRV-FBDD54000A</x:v>
      </x:c>
      <x:c r="B1172" s="71" t="str">
        <x:v>System</x:v>
      </x:c>
      <x:c r="C1172" s="71" t="str">
        <x:v>Shared recovery / system</x:v>
      </x:c>
      <x:c r="D1172" s="71" t="str">
        <x:v>Shared</x:v>
      </x:c>
      <x:c r="E1172" s="71" t="str">
        <x:v>displayDate</x:v>
      </x:c>
      <x:c r="F1172" s="71" t="str">
        <x:v>Default</x:v>
      </x:c>
      <x:c r="G1172" s="71" t="str">
        <x:v>Label</x:v>
      </x:c>
      <x:c r="H1172" s="71" t="str">
        <x:v>Date to confirm</x:v>
      </x:c>
      <x:c r="I1172" s="71" t="str">
        <x:v>Date to confirm</x:v>
      </x:c>
      <x:c r="J1172" s="73"/>
      <x:c r="K1172" s="74" t="str">
        <x:f>IF(J1172="",H1172,IF(J1172=I1172,I1172,J1172))</x:f>
        <x:v>Date to confirm</x:v>
      </x:c>
      <x:c r="L1172" s="74" t="str">
        <x:f>IF(J1172="","Keep current",IF(J1172=I1172,"Use suggestion","Custom"))</x:f>
        <x:v>Keep current</x:v>
      </x:c>
      <x:c r="M1172" s="71" t="str">
        <x:v>Pending review</x:v>
      </x:c>
      <x:c r="N1172" s="71" t="str">
        <x:v>Normal</x:v>
      </x:c>
      <x:c r="O1172" s="71" t="str">
        <x:v>components/easyt/trip-itinerary-workspace.tsx</x:v>
      </x:c>
      <x:c r="P1172" s="71" t="str">
        <x:v>displayDate:39</x:v>
      </x:c>
      <x:c r="Q1172" s="71" t="str">
        <x:v>EN</x:v>
      </x:c>
      <x:c r="R1172" s="71" t="str">
        <x:v>Already clear and direct; suggested wording intentionally keeps the current copy. Duplicate wording: appears 3 times.</x:v>
      </x:c>
      <x:c r="S1172" s="75" t="str">
        <x:v>Not applied — review required</x:v>
      </x:c>
    </x:row>
    <x:row r="1173">
      <x:c r="A1173" s="71" t="str">
        <x:v>MRV-9E764A869D</x:v>
      </x:c>
      <x:c r="B1173" s="71" t="str">
        <x:v>System</x:v>
      </x:c>
      <x:c r="C1173" s="71" t="str">
        <x:v>Shared recovery / system</x:v>
      </x:c>
      <x:c r="D1173" s="71" t="str">
        <x:v>Shared</x:v>
      </x:c>
      <x:c r="E1173" s="71" t="str">
        <x:v>TripItineraryWorkspace</x:v>
      </x:c>
      <x:c r="F1173" s="71" t="str">
        <x:v>Default</x:v>
      </x:c>
      <x:c r="G1173" s="71" t="str">
        <x:v>Label</x:v>
      </x:c>
      <x:c r="H1173" s="71" t="str">
        <x:v>Itinerary to confirm</x:v>
      </x:c>
      <x:c r="I1173" s="71" t="str">
        <x:v>Itinerary to confirm</x:v>
      </x:c>
      <x:c r="J1173" s="73"/>
      <x:c r="K1173" s="74" t="str">
        <x:f>IF(J1173="",H1173,IF(J1173=I1173,I1173,J1173))</x:f>
        <x:v>Itinerary to confirm</x:v>
      </x:c>
      <x:c r="L1173" s="74" t="str">
        <x:f>IF(J1173="","Keep current",IF(J1173=I1173,"Use suggestion","Custom"))</x:f>
        <x:v>Keep current</x:v>
      </x:c>
      <x:c r="M1173" s="71" t="str">
        <x:v>Pending review</x:v>
      </x:c>
      <x:c r="N1173" s="71" t="str">
        <x:v>Normal</x:v>
      </x:c>
      <x:c r="O1173" s="71" t="str">
        <x:v>components/easyt/trip-itinerary-workspace.tsx</x:v>
      </x:c>
      <x:c r="P1173" s="71" t="str">
        <x:v>TripItineraryWorkspace:159</x:v>
      </x:c>
      <x:c r="Q1173" s="71" t="str">
        <x:v>EN (default / shared)</x:v>
      </x:c>
      <x:c r="R1173" s="71" t="str">
        <x:v>Already clear and direct; suggested wording intentionally keeps the current copy. Duplicate wording: appears 2 times.</x:v>
      </x:c>
      <x:c r="S1173" s="75" t="str">
        <x:v>Not applied — review required</x:v>
      </x:c>
    </x:row>
    <x:row r="1174">
      <x:c r="A1174" s="71" t="str">
        <x:v>MRV-9BC818F85D</x:v>
      </x:c>
      <x:c r="B1174" s="71" t="str">
        <x:v>System</x:v>
      </x:c>
      <x:c r="C1174" s="71" t="str">
        <x:v>Shared recovery / system</x:v>
      </x:c>
      <x:c r="D1174" s="71" t="str">
        <x:v>Shared</x:v>
      </x:c>
      <x:c r="E1174" s="71" t="str">
        <x:v>TripItineraryWorkspace</x:v>
      </x:c>
      <x:c r="F1174" s="71" t="str">
        <x:v>Accessibility / input support</x:v>
      </x:c>
      <x:c r="G1174" s="71" t="str">
        <x:v>Accessibility label</x:v>
      </x:c>
      <x:c r="H1174" s="71" t="str">
        <x:v>Trip itinerary</x:v>
      </x:c>
      <x:c r="I1174" s="71" t="str">
        <x:v>Trip itinerary</x:v>
      </x:c>
      <x:c r="J1174" s="73"/>
      <x:c r="K1174" s="74" t="str">
        <x:f>IF(J1174="",H1174,IF(J1174=I1174,I1174,J1174))</x:f>
        <x:v>Trip itinerary</x:v>
      </x:c>
      <x:c r="L1174" s="74" t="str">
        <x:f>IF(J1174="","Keep current",IF(J1174=I1174,"Use suggestion","Custom"))</x:f>
        <x:v>Keep current</x:v>
      </x:c>
      <x:c r="M1174" s="71" t="str">
        <x:v>Pending review</x:v>
      </x:c>
      <x:c r="N1174" s="71" t="str">
        <x:v>Medium</x:v>
      </x:c>
      <x:c r="O1174" s="71" t="str">
        <x:v>components/easyt/trip-itinerary-workspace.tsx</x:v>
      </x:c>
      <x:c r="P1174" s="71" t="str">
        <x:v>TripItineraryWorkspace:199</x:v>
      </x:c>
      <x:c r="Q1174" s="71" t="str">
        <x:v>EN (default / shared)</x:v>
      </x:c>
      <x:c r="R1174" s="71" t="str">
        <x:v>Already clear and direct; suggested wording intentionally keeps the current copy. Duplicate wording: appears 2 times. Terminology watch: ‘trip’ and ‘journey’ both describe the same plan. Terminology watch: ‘stops’, ‘destinations’ and ‘places’ overlap.</x:v>
      </x:c>
      <x:c r="S1174" s="75" t="str">
        <x:v>Not applied — review required</x:v>
      </x:c>
    </x:row>
    <x:row r="1175">
      <x:c r="A1175" s="71" t="str">
        <x:v>MRV-62B1E48603</x:v>
      </x:c>
      <x:c r="B1175" s="71" t="str">
        <x:v>System</x:v>
      </x:c>
      <x:c r="C1175" s="71" t="str">
        <x:v>Shared recovery / system</x:v>
      </x:c>
      <x:c r="D1175" s="71" t="str">
        <x:v>Shared</x:v>
      </x:c>
      <x:c r="E1175" s="71" t="str">
        <x:v>TripItineraryWorkspace</x:v>
      </x:c>
      <x:c r="F1175" s="71" t="str">
        <x:v>Default</x:v>
      </x:c>
      <x:c r="G1175" s="71" t="str">
        <x:v>Label</x:v>
      </x:c>
      <x:c r="H1175" s="71" t="str">
        <x:v>Route</x:v>
      </x:c>
      <x:c r="I1175" s="71" t="str">
        <x:v>Route</x:v>
      </x:c>
      <x:c r="J1175" s="73"/>
      <x:c r="K1175" s="74" t="str">
        <x:f>IF(J1175="",H1175,IF(J1175=I1175,I1175,J1175))</x:f>
        <x:v>Route</x:v>
      </x:c>
      <x:c r="L1175" s="74" t="str">
        <x:f>IF(J1175="","Keep current",IF(J1175=I1175,"Use suggestion","Custom"))</x:f>
        <x:v>Keep current</x:v>
      </x:c>
      <x:c r="M1175" s="71" t="str">
        <x:v>Pending review</x:v>
      </x:c>
      <x:c r="N1175" s="71" t="str">
        <x:v>Normal</x:v>
      </x:c>
      <x:c r="O1175" s="71" t="str">
        <x:v>components/easyt/trip-itinerary-workspace.tsx</x:v>
      </x:c>
      <x:c r="P1175" s="71" t="str">
        <x:v>TripItineraryWorkspace:236</x:v>
      </x:c>
      <x:c r="Q1175" s="71" t="str">
        <x:v>EN (default / shared)</x:v>
      </x:c>
      <x:c r="R1175" s="71" t="str">
        <x:v>Already clear and direct; suggested wording intentionally keeps the current copy. Duplicate wording: appears 3 times.</x:v>
      </x:c>
      <x:c r="S1175" s="75" t="str">
        <x:v>Not applied — review required</x:v>
      </x:c>
    </x:row>
    <x:row r="1176">
      <x:c r="A1176" s="71" t="str">
        <x:v>MRV-313659E736</x:v>
      </x:c>
      <x:c r="B1176" s="71" t="str">
        <x:v>System</x:v>
      </x:c>
      <x:c r="C1176" s="71" t="str">
        <x:v>Shared recovery / system</x:v>
      </x:c>
      <x:c r="D1176" s="71" t="str">
        <x:v>Shared</x:v>
      </x:c>
      <x:c r="E1176" s="71" t="str">
        <x:v>LegacyDayRail</x:v>
      </x:c>
      <x:c r="F1176" s="71" t="str">
        <x:v>Default</x:v>
      </x:c>
      <x:c r="G1176" s="71" t="str">
        <x:v>Label</x:v>
      </x:c>
      <x:c r="H1176" s="71" t="str">
        <x:v>Route</x:v>
      </x:c>
      <x:c r="I1176" s="71" t="str">
        <x:v>Route</x:v>
      </x:c>
      <x:c r="J1176" s="73"/>
      <x:c r="K1176" s="74" t="str">
        <x:f>IF(J1176="",H1176,IF(J1176=I1176,I1176,J1176))</x:f>
        <x:v>Route</x:v>
      </x:c>
      <x:c r="L1176" s="74" t="str">
        <x:f>IF(J1176="","Keep current",IF(J1176=I1176,"Use suggestion","Custom"))</x:f>
        <x:v>Keep current</x:v>
      </x:c>
      <x:c r="M1176" s="71" t="str">
        <x:v>Pending review</x:v>
      </x:c>
      <x:c r="N1176" s="71" t="str">
        <x:v>Normal</x:v>
      </x:c>
      <x:c r="O1176" s="71" t="str">
        <x:v>components/easyt/trip-itinerary-workspace.tsx</x:v>
      </x:c>
      <x:c r="P1176" s="71" t="str">
        <x:v>LegacyDayRail:289</x:v>
      </x:c>
      <x:c r="Q1176" s="71" t="str">
        <x:v>EN (default / shared)</x:v>
      </x:c>
      <x:c r="R1176" s="71" t="str">
        <x:v>Already clear and direct; suggested wording intentionally keeps the current copy. Duplicate wording: appears 3 times.</x:v>
      </x:c>
      <x:c r="S1176" s="75" t="str">
        <x:v>Not applied — review required</x:v>
      </x:c>
    </x:row>
    <x:row r="1177">
      <x:c r="A1177" s="71" t="str">
        <x:v>MRV-06409C5163</x:v>
      </x:c>
      <x:c r="B1177" s="71" t="str">
        <x:v>System</x:v>
      </x:c>
      <x:c r="C1177" s="71" t="str">
        <x:v>Shared recovery / system</x:v>
      </x:c>
      <x:c r="D1177" s="71" t="str">
        <x:v>Shared</x:v>
      </x:c>
      <x:c r="E1177" s="71" t="str">
        <x:v>LegacyDayContent</x:v>
      </x:c>
      <x:c r="F1177" s="71" t="str">
        <x:v>Default</x:v>
      </x:c>
      <x:c r="G1177" s="71" t="str">
        <x:v>Label</x:v>
      </x:c>
      <x:c r="H1177" s="71" t="str">
        <x:v>· DAY</x:v>
      </x:c>
      <x:c r="I1177" s="71" t="str">
        <x:v>· DAY</x:v>
      </x:c>
      <x:c r="J1177" s="73"/>
      <x:c r="K1177" s="74" t="str">
        <x:f>IF(J1177="",H1177,IF(J1177=I1177,I1177,J1177))</x:f>
        <x:v>· DAY</x:v>
      </x:c>
      <x:c r="L1177" s="74" t="str">
        <x:f>IF(J1177="","Keep current",IF(J1177=I1177,"Use suggestion","Custom"))</x:f>
        <x:v>Keep current</x:v>
      </x:c>
      <x:c r="M1177" s="71" t="str">
        <x:v>Pending review</x:v>
      </x:c>
      <x:c r="N1177" s="71" t="str">
        <x:v>Normal</x:v>
      </x:c>
      <x:c r="O1177" s="71" t="str">
        <x:v>components/easyt/trip-itinerary-workspace.tsx</x:v>
      </x:c>
      <x:c r="P1177" s="71" t="str">
        <x:v>LegacyDayContent:303</x:v>
      </x:c>
      <x:c r="Q1177" s="71" t="str">
        <x:v>EN (default / shared)</x:v>
      </x:c>
      <x:c r="R1177" s="71" t="str">
        <x:v>Already clear and direct; suggested wording intentionally keeps the current copy. Duplicate wording: appears 3 times.</x:v>
      </x:c>
      <x:c r="S1177" s="75" t="str">
        <x:v>Not applied — review required</x:v>
      </x:c>
    </x:row>
    <x:row r="1178">
      <x:c r="A1178" s="71" t="str">
        <x:v>MRV-BA172EB90F</x:v>
      </x:c>
      <x:c r="B1178" s="71" t="str">
        <x:v>System</x:v>
      </x:c>
      <x:c r="C1178" s="71" t="str">
        <x:v>Shared recovery / system</x:v>
      </x:c>
      <x:c r="D1178" s="71" t="str">
        <x:v>Shared</x:v>
      </x:c>
      <x:c r="E1178" s="71" t="str">
        <x:v>fallback</x:v>
      </x:c>
      <x:c r="F1178" s="71" t="str">
        <x:v>Accessibility / input support</x:v>
      </x:c>
      <x:c r="G1178" s="71" t="str">
        <x:v>Accessibility label</x:v>
      </x:c>
      <x:c r="H1178" s="71" t="str">
        <x:v>Image unavailable for {day.title}</x:v>
      </x:c>
      <x:c r="I1178" s="71" t="str">
        <x:v>Image unavailable for {day.title}</x:v>
      </x:c>
      <x:c r="J1178" s="73"/>
      <x:c r="K1178" s="74" t="str">
        <x:f>IF(J1178="",H1178,IF(J1178=I1178,I1178,J1178))</x:f>
        <x:v>Image unavailable for {day.title}</x:v>
      </x:c>
      <x:c r="L1178" s="74" t="str">
        <x:f>IF(J1178="","Keep current",IF(J1178=I1178,"Use suggestion","Custom"))</x:f>
        <x:v>Keep current</x:v>
      </x:c>
      <x:c r="M1178" s="71" t="str">
        <x:v>Pending review</x:v>
      </x:c>
      <x:c r="N1178" s="71" t="str">
        <x:v>Medium</x:v>
      </x:c>
      <x:c r="O1178" s="71" t="str">
        <x:v>components/easyt/trip-itinerary-workspace.tsx</x:v>
      </x:c>
      <x:c r="P1178" s="71" t="str">
        <x:v>fallback:322</x:v>
      </x:c>
      <x:c r="Q1178" s="71" t="str">
        <x:v>EN (default / shared)</x:v>
      </x:c>
      <x:c r="R1178" s="71" t="str">
        <x:v>Already clear and direct; suggested wording intentionally keeps the current copy. Dynamic traveller or trip value is represented as a token; user-generated values are excluded.</x:v>
      </x:c>
      <x:c r="S1178" s="75" t="str">
        <x:v>Not applied — review required</x:v>
      </x:c>
    </x:row>
    <x:row r="1179">
      <x:c r="A1179" s="71" t="str">
        <x:v>MRV-75107314E7</x:v>
      </x:c>
      <x:c r="B1179" s="71" t="str">
        <x:v>System</x:v>
      </x:c>
      <x:c r="C1179" s="71" t="str">
        <x:v>Shared recovery / system</x:v>
      </x:c>
      <x:c r="D1179" s="71" t="str">
        <x:v>Shared</x:v>
      </x:c>
      <x:c r="E1179" s="71" t="str">
        <x:v>TransferRow</x:v>
      </x:c>
      <x:c r="F1179" s="71" t="str">
        <x:v>Default</x:v>
      </x:c>
      <x:c r="G1179" s="71" t="str">
        <x:v>Label</x:v>
      </x:c>
      <x:c r="H1179" s="71" t="str">
        <x:v>{from} → {to}</x:v>
      </x:c>
      <x:c r="I1179" s="71" t="str">
        <x:v>{from} → {to}</x:v>
      </x:c>
      <x:c r="J1179" s="73"/>
      <x:c r="K1179" s="74" t="str">
        <x:f>IF(J1179="",H1179,IF(J1179=I1179,I1179,J1179))</x:f>
        <x:v>{from} → {to}</x:v>
      </x:c>
      <x:c r="L1179" s="74" t="str">
        <x:f>IF(J1179="","Keep current",IF(J1179=I1179,"Use suggestion","Custom"))</x:f>
        <x:v>Keep current</x:v>
      </x:c>
      <x:c r="M1179" s="71" t="str">
        <x:v>Pending review</x:v>
      </x:c>
      <x:c r="N1179" s="71" t="str">
        <x:v>Normal</x:v>
      </x:c>
      <x:c r="O1179" s="71" t="str">
        <x:v>components/easyt/trip-itinerary-workspace.tsx</x:v>
      </x:c>
      <x:c r="P1179" s="71" t="str">
        <x:v>TransferRow:343</x:v>
      </x:c>
      <x:c r="Q1179" s="71" t="str">
        <x:v>EN (default / shared)</x:v>
      </x:c>
      <x:c r="R1179" s="71" t="str">
        <x:v>Already clear and direct; suggested wording intentionally keeps the current copy. Duplicate wording: appears 2 times. Dynamic traveller or trip value is represented as a token; user-generated values are excluded.</x:v>
      </x:c>
      <x:c r="S1179" s="75" t="str">
        <x:v>Not applied — review required</x:v>
      </x:c>
    </x:row>
    <x:row r="1180">
      <x:c r="A1180" s="71" t="str">
        <x:v>MRV-1C29517E4A</x:v>
      </x:c>
      <x:c r="B1180" s="71" t="str">
        <x:v>System</x:v>
      </x:c>
      <x:c r="C1180" s="71" t="str">
        <x:v>Shared recovery / system</x:v>
      </x:c>
      <x:c r="D1180" s="71" t="str">
        <x:v>Shared</x:v>
      </x:c>
      <x:c r="E1180" s="71" t="str">
        <x:v>DayNavigation</x:v>
      </x:c>
      <x:c r="F1180" s="71" t="str">
        <x:v>Accessibility / input support</x:v>
      </x:c>
      <x:c r="G1180" s="71" t="str">
        <x:v>Accessibility label</x:v>
      </x:c>
      <x:c r="H1180" s="71" t="str">
        <x:v>Day navigation</x:v>
      </x:c>
      <x:c r="I1180" s="71" t="str">
        <x:v>Day navigation</x:v>
      </x:c>
      <x:c r="J1180" s="73"/>
      <x:c r="K1180" s="74" t="str">
        <x:f>IF(J1180="",H1180,IF(J1180=I1180,I1180,J1180))</x:f>
        <x:v>Day navigation</x:v>
      </x:c>
      <x:c r="L1180" s="74" t="str">
        <x:f>IF(J1180="","Keep current",IF(J1180=I1180,"Use suggestion","Custom"))</x:f>
        <x:v>Keep current</x:v>
      </x:c>
      <x:c r="M1180" s="71" t="str">
        <x:v>Pending review</x:v>
      </x:c>
      <x:c r="N1180" s="71" t="str">
        <x:v>Medium</x:v>
      </x:c>
      <x:c r="O1180" s="71" t="str">
        <x:v>components/easyt/trip-itinerary-workspace.tsx</x:v>
      </x:c>
      <x:c r="P1180" s="71" t="str">
        <x:v>DayNavigation:353</x:v>
      </x:c>
      <x:c r="Q1180" s="71" t="str">
        <x:v>EN (default / shared)</x:v>
      </x:c>
      <x:c r="R1180" s="71" t="str">
        <x:v>Already clear and direct; suggested wording intentionally keeps the current copy.</x:v>
      </x:c>
      <x:c r="S1180" s="75" t="str">
        <x:v>Not applied — review required</x:v>
      </x:c>
    </x:row>
    <x:row r="1181">
      <x:c r="A1181" s="71" t="str">
        <x:v>MRV-4700CEEBD8</x:v>
      </x:c>
      <x:c r="B1181" s="71" t="str">
        <x:v>System</x:v>
      </x:c>
      <x:c r="C1181" s="71" t="str">
        <x:v>Shared recovery / system</x:v>
      </x:c>
      <x:c r="D1181" s="71" t="str">
        <x:v>Shared</x:v>
      </x:c>
      <x:c r="E1181" s="71" t="str">
        <x:v>DayNavigation</x:v>
      </x:c>
      <x:c r="F1181" s="71" t="str">
        <x:v>Default</x:v>
      </x:c>
      <x:c r="G1181" s="71" t="str">
        <x:v>Label</x:v>
      </x:c>
      <x:c r="H1181" s="71" t="str">
        <x:v>Day</x:v>
      </x:c>
      <x:c r="I1181" s="71" t="str">
        <x:v>Day</x:v>
      </x:c>
      <x:c r="J1181" s="73"/>
      <x:c r="K1181" s="74" t="str">
        <x:f>IF(J1181="",H1181,IF(J1181=I1181,I1181,J1181))</x:f>
        <x:v>Day</x:v>
      </x:c>
      <x:c r="L1181" s="74" t="str">
        <x:f>IF(J1181="","Keep current",IF(J1181=I1181,"Use suggestion","Custom"))</x:f>
        <x:v>Keep current</x:v>
      </x:c>
      <x:c r="M1181" s="71" t="str">
        <x:v>Pending review</x:v>
      </x:c>
      <x:c r="N1181" s="71" t="str">
        <x:v>Normal</x:v>
      </x:c>
      <x:c r="O1181" s="71" t="str">
        <x:v>components/easyt/trip-itinerary-workspace.tsx</x:v>
      </x:c>
      <x:c r="P1181" s="71" t="str">
        <x:v>DayNavigation:355</x:v>
      </x:c>
      <x:c r="Q1181" s="71" t="str">
        <x:v>EN (default / shared)</x:v>
      </x:c>
      <x:c r="R1181" s="71" t="str">
        <x:v>Already clear and direct; suggested wording intentionally keeps the current copy. Duplicate wording: appears 3 times.</x:v>
      </x:c>
      <x:c r="S1181" s="75" t="str">
        <x:v>Not applied — review required</x:v>
      </x:c>
    </x:row>
    <x:row r="1182">
      <x:c r="A1182" s="71" t="str">
        <x:v>MRV-901C93455D</x:v>
      </x:c>
      <x:c r="B1182" s="71" t="str">
        <x:v>Trip workspace</x:v>
      </x:c>
      <x:c r="C1182" s="71" t="str">
        <x:v>Overview</x:v>
      </x:c>
      <x:c r="D1182" s="71" t="str">
        <x:v>Shared: Overview</x:v>
      </x:c>
      <x:c r="E1182" s="71" t="str">
        <x:v>overviewActionForTrip</x:v>
      </x:c>
      <x:c r="F1182" s="71" t="str">
        <x:v>Default</x:v>
      </x:c>
      <x:c r="G1182" s="71" t="str">
        <x:v>CTA / button</x:v>
      </x:c>
      <x:c r="H1182" s="71" t="str">
        <x:v>Review route</x:v>
      </x:c>
      <x:c r="I1182" s="71" t="str">
        <x:v>Review route</x:v>
      </x:c>
      <x:c r="J1182" s="73"/>
      <x:c r="K1182" s="74" t="str">
        <x:f>IF(J1182="",H1182,IF(J1182=I1182,I1182,J1182))</x:f>
        <x:v>Review route</x:v>
      </x:c>
      <x:c r="L1182" s="74" t="str">
        <x:f>IF(J1182="","Keep current",IF(J1182=I1182,"Use suggestion","Custom"))</x:f>
        <x:v>Keep current</x:v>
      </x:c>
      <x:c r="M1182" s="71" t="str">
        <x:v>Pending review</x:v>
      </x:c>
      <x:c r="N1182" s="71" t="str">
        <x:v>Medium</x:v>
      </x:c>
      <x:c r="O1182" s="71" t="str">
        <x:v>components/easyt/trip-overview-workspace.tsx</x:v>
      </x:c>
      <x:c r="P1182" s="71" t="str">
        <x:v>overviewActionForTrip:84</x:v>
      </x:c>
      <x:c r="Q1182" s="71" t="str">
        <x:v>EN (default / shared)</x:v>
      </x:c>
      <x:c r="R1182" s="71" t="str">
        <x:v>Already clear and direct; suggested wording intentionally keeps the current copy. Duplicate wording: appears 2 times.</x:v>
      </x:c>
      <x:c r="S1182" s="75" t="str">
        <x:v>Not applied — review required</x:v>
      </x:c>
    </x:row>
    <x:row r="1183">
      <x:c r="A1183" s="71" t="str">
        <x:v>MRV-203BF3E2EC</x:v>
      </x:c>
      <x:c r="B1183" s="71" t="str">
        <x:v>Trip workspace</x:v>
      </x:c>
      <x:c r="C1183" s="71" t="str">
        <x:v>Overview</x:v>
      </x:c>
      <x:c r="D1183" s="71" t="str">
        <x:v>Shared: Overview</x:v>
      </x:c>
      <x:c r="E1183" s="71" t="str">
        <x:v>overviewActionForTrip</x:v>
      </x:c>
      <x:c r="F1183" s="71" t="str">
        <x:v>Default</x:v>
      </x:c>
      <x:c r="G1183" s="71" t="str">
        <x:v>Tooltip</x:v>
      </x:c>
      <x:c r="H1183" s="71" t="str">
        <x:v>Finish shaping the itinerary</x:v>
      </x:c>
      <x:c r="I1183" s="71" t="str">
        <x:v>Finish shaping the itinerary</x:v>
      </x:c>
      <x:c r="J1183" s="73"/>
      <x:c r="K1183" s="74" t="str">
        <x:f>IF(J1183="",H1183,IF(J1183=I1183,I1183,J1183))</x:f>
        <x:v>Finish shaping the itinerary</x:v>
      </x:c>
      <x:c r="L1183" s="74" t="str">
        <x:f>IF(J1183="","Keep current",IF(J1183=I1183,"Use suggestion","Custom"))</x:f>
        <x:v>Keep current</x:v>
      </x:c>
      <x:c r="M1183" s="71" t="str">
        <x:v>Pending review</x:v>
      </x:c>
      <x:c r="N1183" s="71" t="str">
        <x:v>Normal</x:v>
      </x:c>
      <x:c r="O1183" s="71" t="str">
        <x:v>components/easyt/trip-overview-workspace.tsx</x:v>
      </x:c>
      <x:c r="P1183" s="71" t="str">
        <x:v>overviewActionForTrip:89</x:v>
      </x:c>
      <x:c r="Q1183" s="71" t="str">
        <x:v>EN (default / shared)</x:v>
      </x:c>
      <x:c r="R1183" s="71" t="str">
        <x:v>Already clear and direct; suggested wording intentionally keeps the current copy.</x:v>
      </x:c>
      <x:c r="S1183" s="75" t="str">
        <x:v>Not applied — review required</x:v>
      </x:c>
    </x:row>
    <x:row r="1184">
      <x:c r="A1184" s="71" t="str">
        <x:v>MRV-39E2EA3EB9</x:v>
      </x:c>
      <x:c r="B1184" s="71" t="str">
        <x:v>Trip workspace</x:v>
      </x:c>
      <x:c r="C1184" s="71" t="str">
        <x:v>Overview</x:v>
      </x:c>
      <x:c r="D1184" s="71" t="str">
        <x:v>Shared: Overview</x:v>
      </x:c>
      <x:c r="E1184" s="71" t="str">
        <x:v>overviewActionForTrip</x:v>
      </x:c>
      <x:c r="F1184" s="71" t="str">
        <x:v>Default</x:v>
      </x:c>
      <x:c r="G1184" s="71" t="str">
        <x:v>Tooltip</x:v>
      </x:c>
      <x:c r="H1184" s="71" t="str">
        <x:v>Start shaping the itinerary</x:v>
      </x:c>
      <x:c r="I1184" s="71" t="str">
        <x:v>Start shaping the itinerary</x:v>
      </x:c>
      <x:c r="J1184" s="73"/>
      <x:c r="K1184" s="74" t="str">
        <x:f>IF(J1184="",H1184,IF(J1184=I1184,I1184,J1184))</x:f>
        <x:v>Start shaping the itinerary</x:v>
      </x:c>
      <x:c r="L1184" s="74" t="str">
        <x:f>IF(J1184="","Keep current",IF(J1184=I1184,"Use suggestion","Custom"))</x:f>
        <x:v>Keep current</x:v>
      </x:c>
      <x:c r="M1184" s="71" t="str">
        <x:v>Pending review</x:v>
      </x:c>
      <x:c r="N1184" s="71" t="str">
        <x:v>Normal</x:v>
      </x:c>
      <x:c r="O1184" s="71" t="str">
        <x:v>components/easyt/trip-overview-workspace.tsx</x:v>
      </x:c>
      <x:c r="P1184" s="71" t="str">
        <x:v>overviewActionForTrip:89</x:v>
      </x:c>
      <x:c r="Q1184" s="71" t="str">
        <x:v>EN (default / shared)</x:v>
      </x:c>
      <x:c r="R1184" s="71" t="str">
        <x:v>Already clear and direct; suggested wording intentionally keeps the current copy.</x:v>
      </x:c>
      <x:c r="S1184" s="75" t="str">
        <x:v>Not applied — review required</x:v>
      </x:c>
    </x:row>
    <x:row r="1185">
      <x:c r="A1185" s="71" t="str">
        <x:v>MRV-FD65F453C6</x:v>
      </x:c>
      <x:c r="B1185" s="71" t="str">
        <x:v>Trip workspace</x:v>
      </x:c>
      <x:c r="C1185" s="71" t="str">
        <x:v>Overview</x:v>
      </x:c>
      <x:c r="D1185" s="71" t="str">
        <x:v>Shared: Overview</x:v>
      </x:c>
      <x:c r="E1185" s="71" t="str">
        <x:v>overviewActionForTrip</x:v>
      </x:c>
      <x:c r="F1185" s="71" t="str">
        <x:v>Default</x:v>
      </x:c>
      <x:c r="G1185" s="71" t="str">
        <x:v>CTA / button</x:v>
      </x:c>
      <x:c r="H1185" s="71" t="str">
        <x:v>Continue itinerary</x:v>
      </x:c>
      <x:c r="I1185" s="71" t="str">
        <x:v>Continue itinerary</x:v>
      </x:c>
      <x:c r="J1185" s="73"/>
      <x:c r="K1185" s="74" t="str">
        <x:f>IF(J1185="",H1185,IF(J1185=I1185,I1185,J1185))</x:f>
        <x:v>Continue itinerary</x:v>
      </x:c>
      <x:c r="L1185" s="74" t="str">
        <x:f>IF(J1185="","Keep current",IF(J1185=I1185,"Use suggestion","Custom"))</x:f>
        <x:v>Keep current</x:v>
      </x:c>
      <x:c r="M1185" s="71" t="str">
        <x:v>Pending review</x:v>
      </x:c>
      <x:c r="N1185" s="71" t="str">
        <x:v>Medium</x:v>
      </x:c>
      <x:c r="O1185" s="71" t="str">
        <x:v>components/easyt/trip-overview-workspace.tsx</x:v>
      </x:c>
      <x:c r="P1185" s="71" t="str">
        <x:v>overviewActionForTrip:91</x:v>
      </x:c>
      <x:c r="Q1185" s="71" t="str">
        <x:v>EN (default / shared)</x:v>
      </x:c>
      <x:c r="R1185" s="71" t="str">
        <x:v>Already clear and direct; suggested wording intentionally keeps the current copy.</x:v>
      </x:c>
      <x:c r="S1185" s="75" t="str">
        <x:v>Not applied — review required</x:v>
      </x:c>
    </x:row>
    <x:row r="1186">
      <x:c r="A1186" s="71" t="str">
        <x:v>MRV-A7E77F556B</x:v>
      </x:c>
      <x:c r="B1186" s="71" t="str">
        <x:v>Trip workspace</x:v>
      </x:c>
      <x:c r="C1186" s="71" t="str">
        <x:v>Overview</x:v>
      </x:c>
      <x:c r="D1186" s="71" t="str">
        <x:v>Shared: Overview</x:v>
      </x:c>
      <x:c r="E1186" s="71" t="str">
        <x:v>overviewActionForTrip</x:v>
      </x:c>
      <x:c r="F1186" s="71" t="str">
        <x:v>Missing data / not found</x:v>
      </x:c>
      <x:c r="G1186" s="71" t="str">
        <x:v>Tooltip</x:v>
      </x:c>
      <x:c r="H1186" s="71" t="str">
        <x:v>Find a stay in {missingStay.name}</x:v>
      </x:c>
      <x:c r="I1186" s="71" t="str">
        <x:v>Find a stay in {missingStay.name}</x:v>
      </x:c>
      <x:c r="J1186" s="73"/>
      <x:c r="K1186" s="74" t="str">
        <x:f>IF(J1186="",H1186,IF(J1186=I1186,I1186,J1186))</x:f>
        <x:v>Find a stay in {missingStay.name}</x:v>
      </x:c>
      <x:c r="L1186" s="74" t="str">
        <x:f>IF(J1186="","Keep current",IF(J1186=I1186,"Use suggestion","Custom"))</x:f>
        <x:v>Keep current</x:v>
      </x:c>
      <x:c r="M1186" s="71" t="str">
        <x:v>Pending review</x:v>
      </x:c>
      <x:c r="N1186" s="71" t="str">
        <x:v>Normal</x:v>
      </x:c>
      <x:c r="O1186" s="71" t="str">
        <x:v>components/easyt/trip-overview-workspace.tsx</x:v>
      </x:c>
      <x:c r="P1186" s="71" t="str">
        <x:v>overviewActionForTrip:96</x:v>
      </x:c>
      <x:c r="Q1186" s="71" t="str">
        <x:v>EN (default / shared)</x:v>
      </x:c>
      <x:c r="R1186" s="71" t="str">
        <x:v>Already clear and direct; suggested wording intentionally keeps the current copy. Dynamic traveller or trip value is represented as a token; user-generated values are excluded.</x:v>
      </x:c>
      <x:c r="S1186" s="75" t="str">
        <x:v>Not applied — review required</x:v>
      </x:c>
    </x:row>
    <x:row r="1187">
      <x:c r="A1187" s="71" t="str">
        <x:v>MRV-FEAC4484B8</x:v>
      </x:c>
      <x:c r="B1187" s="71" t="str">
        <x:v>Trip workspace</x:v>
      </x:c>
      <x:c r="C1187" s="71" t="str">
        <x:v>Overview</x:v>
      </x:c>
      <x:c r="D1187" s="71" t="str">
        <x:v>Shared: Overview</x:v>
      </x:c>
      <x:c r="E1187" s="71" t="str">
        <x:v>overviewActionForTrip</x:v>
      </x:c>
      <x:c r="F1187" s="71" t="str">
        <x:v>Default</x:v>
      </x:c>
      <x:c r="G1187" s="71" t="str">
        <x:v>CTA / button</x:v>
      </x:c>
      <x:c r="H1187" s="71" t="str">
        <x:v>Find a stay</x:v>
      </x:c>
      <x:c r="I1187" s="71" t="str">
        <x:v>Find a stay</x:v>
      </x:c>
      <x:c r="J1187" s="73"/>
      <x:c r="K1187" s="74" t="str">
        <x:f>IF(J1187="",H1187,IF(J1187=I1187,I1187,J1187))</x:f>
        <x:v>Find a stay</x:v>
      </x:c>
      <x:c r="L1187" s="74" t="str">
        <x:f>IF(J1187="","Keep current",IF(J1187=I1187,"Use suggestion","Custom"))</x:f>
        <x:v>Keep current</x:v>
      </x:c>
      <x:c r="M1187" s="71" t="str">
        <x:v>Pending review</x:v>
      </x:c>
      <x:c r="N1187" s="71" t="str">
        <x:v>Medium</x:v>
      </x:c>
      <x:c r="O1187" s="71" t="str">
        <x:v>components/easyt/trip-overview-workspace.tsx</x:v>
      </x:c>
      <x:c r="P1187" s="71" t="str">
        <x:v>overviewActionForTrip:98</x:v>
      </x:c>
      <x:c r="Q1187" s="71" t="str">
        <x:v>EN (default / shared)</x:v>
      </x:c>
      <x:c r="R1187" s="71" t="str">
        <x:v>Already clear and direct; suggested wording intentionally keeps the current copy. Duplicate wording: appears 3 times.</x:v>
      </x:c>
      <x:c r="S1187" s="75" t="str">
        <x:v>Not applied — review required</x:v>
      </x:c>
    </x:row>
    <x:row r="1188">
      <x:c r="A1188" s="71" t="str">
        <x:v>MRV-176805446B</x:v>
      </x:c>
      <x:c r="B1188" s="71" t="str">
        <x:v>Trip workspace</x:v>
      </x:c>
      <x:c r="C1188" s="71" t="str">
        <x:v>Overview</x:v>
      </x:c>
      <x:c r="D1188" s="71" t="str">
        <x:v>Shared: Overview</x:v>
      </x:c>
      <x:c r="E1188" s="71" t="str">
        <x:v>overviewActionForTrip</x:v>
      </x:c>
      <x:c r="F1188" s="71" t="str">
        <x:v>Default</x:v>
      </x:c>
      <x:c r="G1188" s="71" t="str">
        <x:v>CTA / button</x:v>
      </x:c>
      <x:c r="H1188" s="71" t="str">
        <x:v>Review route</x:v>
      </x:c>
      <x:c r="I1188" s="71" t="str">
        <x:v>Review route</x:v>
      </x:c>
      <x:c r="J1188" s="73"/>
      <x:c r="K1188" s="74" t="str">
        <x:f>IF(J1188="",H1188,IF(J1188=I1188,I1188,J1188))</x:f>
        <x:v>Review route</x:v>
      </x:c>
      <x:c r="L1188" s="74" t="str">
        <x:f>IF(J1188="","Keep current",IF(J1188=I1188,"Use suggestion","Custom"))</x:f>
        <x:v>Keep current</x:v>
      </x:c>
      <x:c r="M1188" s="71" t="str">
        <x:v>Pending review</x:v>
      </x:c>
      <x:c r="N1188" s="71" t="str">
        <x:v>Medium</x:v>
      </x:c>
      <x:c r="O1188" s="71" t="str">
        <x:v>components/easyt/trip-overview-workspace.tsx</x:v>
      </x:c>
      <x:c r="P1188" s="71" t="str">
        <x:v>overviewActionForTrip:106</x:v>
      </x:c>
      <x:c r="Q1188" s="71" t="str">
        <x:v>EN (default / shared)</x:v>
      </x:c>
      <x:c r="R1188" s="71" t="str">
        <x:v>Already clear and direct; suggested wording intentionally keeps the current copy. Duplicate wording: appears 2 times.</x:v>
      </x:c>
      <x:c r="S1188" s="75" t="str">
        <x:v>Not applied — review required</x:v>
      </x:c>
    </x:row>
    <x:row r="1189">
      <x:c r="A1189" s="71" t="str">
        <x:v>MRV-B08A527AB0</x:v>
      </x:c>
      <x:c r="B1189" s="71" t="str">
        <x:v>Trip workspace</x:v>
      </x:c>
      <x:c r="C1189" s="71" t="str">
        <x:v>Overview</x:v>
      </x:c>
      <x:c r="D1189" s="71" t="str">
        <x:v>Shared: Overview</x:v>
      </x:c>
      <x:c r="E1189" s="71" t="str">
        <x:v>overviewActionForTrip</x:v>
      </x:c>
      <x:c r="F1189" s="71" t="str">
        <x:v>Default</x:v>
      </x:c>
      <x:c r="G1189" s="71" t="str">
        <x:v>Tooltip</x:v>
      </x:c>
      <x:c r="H1189" s="71" t="str">
        <x:v>Finish the remaining trip prep</x:v>
      </x:c>
      <x:c r="I1189" s="71" t="str">
        <x:v>Finish the remaining trip prep</x:v>
      </x:c>
      <x:c r="J1189" s="73"/>
      <x:c r="K1189" s="74" t="str">
        <x:f>IF(J1189="",H1189,IF(J1189=I1189,I1189,J1189))</x:f>
        <x:v>Finish the remaining trip prep</x:v>
      </x:c>
      <x:c r="L1189" s="74" t="str">
        <x:f>IF(J1189="","Keep current",IF(J1189=I1189,"Use suggestion","Custom"))</x:f>
        <x:v>Keep current</x:v>
      </x:c>
      <x:c r="M1189" s="71" t="str">
        <x:v>Pending review</x:v>
      </x:c>
      <x:c r="N1189" s="71" t="str">
        <x:v>Normal</x:v>
      </x:c>
      <x:c r="O1189" s="71" t="str">
        <x:v>components/easyt/trip-overview-workspace.tsx</x:v>
      </x:c>
      <x:c r="P1189" s="71" t="str">
        <x:v>overviewActionForTrip:111</x:v>
      </x:c>
      <x:c r="Q1189" s="71" t="str">
        <x:v>EN (default / shared)</x:v>
      </x:c>
      <x:c r="R1189" s="71" t="str">
        <x:v>Already clear and direct; suggested wording intentionally keeps the current copy. Terminology watch: ‘trip’ and ‘journey’ both describe the same plan. Terminology watch: ‘stops’, ‘destinations’ and ‘places’ overlap.</x:v>
      </x:c>
      <x:c r="S1189" s="75" t="str">
        <x:v>Not applied — review required</x:v>
      </x:c>
    </x:row>
    <x:row r="1190">
      <x:c r="A1190" s="71" t="str">
        <x:v>MRV-226FD2F4EE</x:v>
      </x:c>
      <x:c r="B1190" s="71" t="str">
        <x:v>Trip workspace</x:v>
      </x:c>
      <x:c r="C1190" s="71" t="str">
        <x:v>Overview</x:v>
      </x:c>
      <x:c r="D1190" s="71" t="str">
        <x:v>Shared: Overview</x:v>
      </x:c>
      <x:c r="E1190" s="71" t="str">
        <x:v>overviewActionForTrip</x:v>
      </x:c>
      <x:c r="F1190" s="71" t="str">
        <x:v>Default</x:v>
      </x:c>
      <x:c r="G1190" s="71" t="str">
        <x:v>Tooltip</x:v>
      </x:c>
      <x:c r="H1190" s="71" t="str">
        <x:v>Review the practical details</x:v>
      </x:c>
      <x:c r="I1190" s="71" t="str">
        <x:v>Review the practical details</x:v>
      </x:c>
      <x:c r="J1190" s="73"/>
      <x:c r="K1190" s="74" t="str">
        <x:f>IF(J1190="",H1190,IF(J1190=I1190,I1190,J1190))</x:f>
        <x:v>Review the practical details</x:v>
      </x:c>
      <x:c r="L1190" s="74" t="str">
        <x:f>IF(J1190="","Keep current",IF(J1190=I1190,"Use suggestion","Custom"))</x:f>
        <x:v>Keep current</x:v>
      </x:c>
      <x:c r="M1190" s="71" t="str">
        <x:v>Pending review</x:v>
      </x:c>
      <x:c r="N1190" s="71" t="str">
        <x:v>Normal</x:v>
      </x:c>
      <x:c r="O1190" s="71" t="str">
        <x:v>components/easyt/trip-overview-workspace.tsx</x:v>
      </x:c>
      <x:c r="P1190" s="71" t="str">
        <x:v>overviewActionForTrip:111</x:v>
      </x:c>
      <x:c r="Q1190" s="71" t="str">
        <x:v>EN (default / shared)</x:v>
      </x:c>
      <x:c r="R1190" s="71" t="str">
        <x:v>Already clear and direct; suggested wording intentionally keeps the current copy.</x:v>
      </x:c>
      <x:c r="S1190" s="75" t="str">
        <x:v>Not applied — review required</x:v>
      </x:c>
    </x:row>
    <x:row r="1191">
      <x:c r="A1191" s="71" t="str">
        <x:v>MRV-57B3F02664</x:v>
      </x:c>
      <x:c r="B1191" s="71" t="str">
        <x:v>Trip workspace</x:v>
      </x:c>
      <x:c r="C1191" s="71" t="str">
        <x:v>Overview</x:v>
      </x:c>
      <x:c r="D1191" s="71" t="str">
        <x:v>Shared: Overview</x:v>
      </x:c>
      <x:c r="E1191" s="71" t="str">
        <x:v>overviewActionForTrip</x:v>
      </x:c>
      <x:c r="F1191" s="71" t="str">
        <x:v>Default</x:v>
      </x:c>
      <x:c r="G1191" s="71" t="str">
        <x:v>CTA / button</x:v>
      </x:c>
      <x:c r="H1191" s="71" t="str">
        <x:v>Review prep</x:v>
      </x:c>
      <x:c r="I1191" s="71" t="str">
        <x:v>Review prep</x:v>
      </x:c>
      <x:c r="J1191" s="73"/>
      <x:c r="K1191" s="74" t="str">
        <x:f>IF(J1191="",H1191,IF(J1191=I1191,I1191,J1191))</x:f>
        <x:v>Review prep</x:v>
      </x:c>
      <x:c r="L1191" s="74" t="str">
        <x:f>IF(J1191="","Keep current",IF(J1191=I1191,"Use suggestion","Custom"))</x:f>
        <x:v>Keep current</x:v>
      </x:c>
      <x:c r="M1191" s="71" t="str">
        <x:v>Pending review</x:v>
      </x:c>
      <x:c r="N1191" s="71" t="str">
        <x:v>Medium</x:v>
      </x:c>
      <x:c r="O1191" s="71" t="str">
        <x:v>components/easyt/trip-overview-workspace.tsx</x:v>
      </x:c>
      <x:c r="P1191" s="71" t="str">
        <x:v>overviewActionForTrip:115</x:v>
      </x:c>
      <x:c r="Q1191" s="71" t="str">
        <x:v>EN (default / shared)</x:v>
      </x:c>
      <x:c r="R1191" s="71" t="str">
        <x:v>Already clear and direct; suggested wording intentionally keeps the current copy. Duplicate wording: appears 2 times.</x:v>
      </x:c>
      <x:c r="S1191" s="75" t="str">
        <x:v>Not applied — review required</x:v>
      </x:c>
    </x:row>
    <x:row r="1192">
      <x:c r="A1192" s="71" t="str">
        <x:v>MRV-7F4BCFEEF6</x:v>
      </x:c>
      <x:c r="B1192" s="71" t="str">
        <x:v>Trip workspace</x:v>
      </x:c>
      <x:c r="C1192" s="71" t="str">
        <x:v>Overview</x:v>
      </x:c>
      <x:c r="D1192" s="71" t="str">
        <x:v>Shared: Overview</x:v>
      </x:c>
      <x:c r="E1192" s="71" t="str">
        <x:v>overviewActionForTrip</x:v>
      </x:c>
      <x:c r="F1192" s="71" t="str">
        <x:v>Default</x:v>
      </x:c>
      <x:c r="G1192" s="71" t="str">
        <x:v>Tooltip</x:v>
      </x:c>
      <x:c r="H1192" s="71" t="str">
        <x:v>Your trip is looking ready</x:v>
      </x:c>
      <x:c r="I1192" s="71" t="str">
        <x:v>Your trip is looking ready</x:v>
      </x:c>
      <x:c r="J1192" s="73"/>
      <x:c r="K1192" s="74" t="str">
        <x:f>IF(J1192="",H1192,IF(J1192=I1192,I1192,J1192))</x:f>
        <x:v>Your trip is looking ready</x:v>
      </x:c>
      <x:c r="L1192" s="74" t="str">
        <x:f>IF(J1192="","Keep current",IF(J1192=I1192,"Use suggestion","Custom"))</x:f>
        <x:v>Keep current</x:v>
      </x:c>
      <x:c r="M1192" s="71" t="str">
        <x:v>Pending review</x:v>
      </x:c>
      <x:c r="N1192" s="71" t="str">
        <x:v>Normal</x:v>
      </x:c>
      <x:c r="O1192" s="71" t="str">
        <x:v>components/easyt/trip-overview-workspace.tsx</x:v>
      </x:c>
      <x:c r="P1192" s="71" t="str">
        <x:v>overviewActionForTrip:120</x:v>
      </x:c>
      <x:c r="Q1192" s="71" t="str">
        <x:v>EN (default / shared)</x:v>
      </x:c>
      <x:c r="R1192" s="71" t="str">
        <x:v>Already clear and direct; suggested wording intentionally keeps the current copy. Terminology watch: ‘trip’ and ‘journey’ both describe the same plan. Terminology watch: ‘stops’, ‘destinations’ and ‘places’ overlap.</x:v>
      </x:c>
      <x:c r="S1192" s="75" t="str">
        <x:v>Not applied — review required</x:v>
      </x:c>
    </x:row>
    <x:row r="1193">
      <x:c r="A1193" s="71" t="str">
        <x:v>MRV-B0E7E56F3D</x:v>
      </x:c>
      <x:c r="B1193" s="71" t="str">
        <x:v>Trip workspace</x:v>
      </x:c>
      <x:c r="C1193" s="71" t="str">
        <x:v>Overview</x:v>
      </x:c>
      <x:c r="D1193" s="71" t="str">
        <x:v>Shared: Overview</x:v>
      </x:c>
      <x:c r="E1193" s="71" t="str">
        <x:v>overviewActionForTrip</x:v>
      </x:c>
      <x:c r="F1193" s="71" t="str">
        <x:v>Default</x:v>
      </x:c>
      <x:c r="G1193" s="71" t="str">
        <x:v>CTA / button</x:v>
      </x:c>
      <x:c r="H1193" s="71" t="str">
        <x:v>View itinerary</x:v>
      </x:c>
      <x:c r="I1193" s="71" t="str">
        <x:v>View itinerary</x:v>
      </x:c>
      <x:c r="J1193" s="73"/>
      <x:c r="K1193" s="74" t="str">
        <x:f>IF(J1193="",H1193,IF(J1193=I1193,I1193,J1193))</x:f>
        <x:v>View itinerary</x:v>
      </x:c>
      <x:c r="L1193" s="74" t="str">
        <x:f>IF(J1193="","Keep current",IF(J1193=I1193,"Use suggestion","Custom"))</x:f>
        <x:v>Keep current</x:v>
      </x:c>
      <x:c r="M1193" s="71" t="str">
        <x:v>Pending review</x:v>
      </x:c>
      <x:c r="N1193" s="71" t="str">
        <x:v>Medium</x:v>
      </x:c>
      <x:c r="O1193" s="71" t="str">
        <x:v>components/easyt/trip-overview-workspace.tsx</x:v>
      </x:c>
      <x:c r="P1193" s="71" t="str">
        <x:v>overviewActionForTrip:122</x:v>
      </x:c>
      <x:c r="Q1193" s="71" t="str">
        <x:v>EN (default / shared)</x:v>
      </x:c>
      <x:c r="R1193" s="71" t="str">
        <x:v>Already clear and direct; suggested wording intentionally keeps the current copy. Duplicate wording: appears 2 times.</x:v>
      </x:c>
      <x:c r="S1193" s="75" t="str">
        <x:v>Not applied — review required</x:v>
      </x:c>
    </x:row>
    <x:row r="1194">
      <x:c r="A1194" s="71" t="str">
        <x:v>MRV-70CC80AF78</x:v>
      </x:c>
      <x:c r="B1194" s="71" t="str">
        <x:v>Trip workspace</x:v>
      </x:c>
      <x:c r="C1194" s="71" t="str">
        <x:v>Overview</x:v>
      </x:c>
      <x:c r="D1194" s="71" t="str">
        <x:v>Shared: Overview</x:v>
      </x:c>
      <x:c r="E1194" s="71" t="str">
        <x:v>TripOverviewWorkspace</x:v>
      </x:c>
      <x:c r="F1194" s="71" t="str">
        <x:v>Accessibility / input support</x:v>
      </x:c>
      <x:c r="G1194" s="71" t="str">
        <x:v>Accessibility label</x:v>
      </x:c>
      <x:c r="H1194" s="71" t="str">
        <x:v>Trip overview</x:v>
      </x:c>
      <x:c r="I1194" s="71" t="str">
        <x:v>Trip overview</x:v>
      </x:c>
      <x:c r="J1194" s="73"/>
      <x:c r="K1194" s="74" t="str">
        <x:f>IF(J1194="",H1194,IF(J1194=I1194,I1194,J1194))</x:f>
        <x:v>Trip overview</x:v>
      </x:c>
      <x:c r="L1194" s="74" t="str">
        <x:f>IF(J1194="","Keep current",IF(J1194=I1194,"Use suggestion","Custom"))</x:f>
        <x:v>Keep current</x:v>
      </x:c>
      <x:c r="M1194" s="71" t="str">
        <x:v>Pending review</x:v>
      </x:c>
      <x:c r="N1194" s="71" t="str">
        <x:v>Medium</x:v>
      </x:c>
      <x:c r="O1194" s="71" t="str">
        <x:v>components/easyt/trip-overview-workspace.tsx</x:v>
      </x:c>
      <x:c r="P1194" s="71" t="str">
        <x:v>TripOverviewWorkspace:180</x:v>
      </x:c>
      <x:c r="Q1194" s="71" t="str">
        <x:v>EN (default / shared)</x:v>
      </x:c>
      <x:c r="R1194" s="71" t="str">
        <x:v>Already clear and direct; suggested wording intentionally keeps the current copy. Terminology watch: ‘trip’ and ‘journey’ both describe the same plan. Terminology watch: ‘stops’, ‘destinations’ and ‘places’ overlap.</x:v>
      </x:c>
      <x:c r="S1194" s="75" t="str">
        <x:v>Not applied — review required</x:v>
      </x:c>
    </x:row>
    <x:row r="1195">
      <x:c r="A1195" s="71" t="str">
        <x:v>MRV-3B2EDA1914</x:v>
      </x:c>
      <x:c r="B1195" s="71" t="str">
        <x:v>Trip workspace</x:v>
      </x:c>
      <x:c r="C1195" s="71" t="str">
        <x:v>Overview</x:v>
      </x:c>
      <x:c r="D1195" s="71" t="str">
        <x:v>Shared: Overview</x:v>
      </x:c>
      <x:c r="E1195" s="71" t="str">
        <x:v>TripOverviewWorkspace</x:v>
      </x:c>
      <x:c r="F1195" s="71" t="str">
        <x:v>Default</x:v>
      </x:c>
      <x:c r="G1195" s="71" t="str">
        <x:v>Label</x:v>
      </x:c>
      <x:c r="H1195" s="71" t="str">
        <x:v>Your trip is ready</x:v>
      </x:c>
      <x:c r="I1195" s="71" t="str">
        <x:v>Your trip is ready</x:v>
      </x:c>
      <x:c r="J1195" s="73"/>
      <x:c r="K1195" s="74" t="str">
        <x:f>IF(J1195="",H1195,IF(J1195=I1195,I1195,J1195))</x:f>
        <x:v>Your trip is ready</x:v>
      </x:c>
      <x:c r="L1195" s="74" t="str">
        <x:f>IF(J1195="","Keep current",IF(J1195=I1195,"Use suggestion","Custom"))</x:f>
        <x:v>Keep current</x:v>
      </x:c>
      <x:c r="M1195" s="71" t="str">
        <x:v>Pending review</x:v>
      </x:c>
      <x:c r="N1195" s="71" t="str">
        <x:v>Normal</x:v>
      </x:c>
      <x:c r="O1195" s="71" t="str">
        <x:v>components/easyt/trip-overview-workspace.tsx</x:v>
      </x:c>
      <x:c r="P1195" s="71" t="str">
        <x:v>TripOverviewWorkspace:182</x:v>
      </x:c>
      <x:c r="Q1195" s="71" t="str">
        <x:v>EN (default / shared)</x:v>
      </x:c>
      <x:c r="R1195" s="71" t="str">
        <x:v>Already clear and direct; suggested wording intentionally keeps the current copy. Terminology watch: ‘trip’ and ‘journey’ both describe the same plan. Terminology watch: ‘stops’, ‘destinations’ and ‘places’ overlap.</x:v>
      </x:c>
      <x:c r="S1195" s="75" t="str">
        <x:v>Not applied — review required</x:v>
      </x:c>
    </x:row>
    <x:row r="1196">
      <x:c r="A1196" s="71" t="str">
        <x:v>MRV-9F81FB5DFD</x:v>
      </x:c>
      <x:c r="B1196" s="71" t="str">
        <x:v>Trip workspace</x:v>
      </x:c>
      <x:c r="C1196" s="71" t="str">
        <x:v>Overview</x:v>
      </x:c>
      <x:c r="D1196" s="71" t="str">
        <x:v>Shared: Overview</x:v>
      </x:c>
      <x:c r="E1196" s="71" t="str">
        <x:v>TripOverviewWorkspace</x:v>
      </x:c>
      <x:c r="F1196" s="71" t="str">
        <x:v>Default</x:v>
      </x:c>
      <x:c r="G1196" s="71" t="str">
        <x:v>Body copy</x:v>
      </x:c>
      <x:c r="H1196" s="71" t="str">
        <x:v>Choose what to refine next.</x:v>
      </x:c>
      <x:c r="I1196" s="71" t="str">
        <x:v>Choose what to refine next.</x:v>
      </x:c>
      <x:c r="J1196" s="73"/>
      <x:c r="K1196" s="74" t="str">
        <x:f>IF(J1196="",H1196,IF(J1196=I1196,I1196,J1196))</x:f>
        <x:v>Choose what to refine next.</x:v>
      </x:c>
      <x:c r="L1196" s="74" t="str">
        <x:f>IF(J1196="","Keep current",IF(J1196=I1196,"Use suggestion","Custom"))</x:f>
        <x:v>Keep current</x:v>
      </x:c>
      <x:c r="M1196" s="71" t="str">
        <x:v>Pending review</x:v>
      </x:c>
      <x:c r="N1196" s="71" t="str">
        <x:v>Normal</x:v>
      </x:c>
      <x:c r="O1196" s="71" t="str">
        <x:v>components/easyt/trip-overview-workspace.tsx</x:v>
      </x:c>
      <x:c r="P1196" s="71" t="str">
        <x:v>TripOverviewWorkspace:182</x:v>
      </x:c>
      <x:c r="Q1196" s="71" t="str">
        <x:v>EN (default / shared)</x:v>
      </x:c>
      <x:c r="R1196" s="71" t="str">
        <x:v>Already clear and direct; suggested wording intentionally keeps the current copy.</x:v>
      </x:c>
      <x:c r="S1196" s="75" t="str">
        <x:v>Not applied — review required</x:v>
      </x:c>
    </x:row>
    <x:row r="1197">
      <x:c r="A1197" s="71" t="str">
        <x:v>MRV-24950DE068</x:v>
      </x:c>
      <x:c r="B1197" s="71" t="str">
        <x:v>Trip workspace</x:v>
      </x:c>
      <x:c r="C1197" s="71" t="str">
        <x:v>Overview</x:v>
      </x:c>
      <x:c r="D1197" s="71" t="str">
        <x:v>Shared: Overview</x:v>
      </x:c>
      <x:c r="E1197" s="71" t="str">
        <x:v>TripOverviewWorkspace</x:v>
      </x:c>
      <x:c r="F1197" s="71" t="str">
        <x:v>Accessibility / input support</x:v>
      </x:c>
      <x:c r="G1197" s="71" t="str">
        <x:v>Accessibility label</x:v>
      </x:c>
      <x:c r="H1197" s="71" t="str">
        <x:v>Dismiss workspace orientation</x:v>
      </x:c>
      <x:c r="I1197" s="71" t="str">
        <x:v>Dismiss workspace orientation</x:v>
      </x:c>
      <x:c r="J1197" s="73"/>
      <x:c r="K1197" s="74" t="str">
        <x:f>IF(J1197="",H1197,IF(J1197=I1197,I1197,J1197))</x:f>
        <x:v>Dismiss workspace orientation</x:v>
      </x:c>
      <x:c r="L1197" s="74" t="str">
        <x:f>IF(J1197="","Keep current",IF(J1197=I1197,"Use suggestion","Custom"))</x:f>
        <x:v>Keep current</x:v>
      </x:c>
      <x:c r="M1197" s="71" t="str">
        <x:v>Pending review</x:v>
      </x:c>
      <x:c r="N1197" s="71" t="str">
        <x:v>Medium</x:v>
      </x:c>
      <x:c r="O1197" s="71" t="str">
        <x:v>components/easyt/trip-overview-workspace.tsx</x:v>
      </x:c>
      <x:c r="P1197" s="71" t="str">
        <x:v>TripOverviewWorkspace:182</x:v>
      </x:c>
      <x:c r="Q1197" s="71" t="str">
        <x:v>EN (default / shared)</x:v>
      </x:c>
      <x:c r="R1197" s="71" t="str">
        <x:v>Already clear and direct; suggested wording intentionally keeps the current copy.</x:v>
      </x:c>
      <x:c r="S1197" s="75" t="str">
        <x:v>Not applied — review required</x:v>
      </x:c>
    </x:row>
    <x:row r="1198">
      <x:c r="A1198" s="71" t="str">
        <x:v>MRV-1EC3E99D45</x:v>
      </x:c>
      <x:c r="B1198" s="71" t="str">
        <x:v>Trip workspace</x:v>
      </x:c>
      <x:c r="C1198" s="71" t="str">
        <x:v>Overview</x:v>
      </x:c>
      <x:c r="D1198" s="71" t="str">
        <x:v>Shared: Overview</x:v>
      </x:c>
      <x:c r="E1198" s="71" t="str">
        <x:v>TripOverviewWorkspace</x:v>
      </x:c>
      <x:c r="F1198" s="71" t="str">
        <x:v>Default</x:v>
      </x:c>
      <x:c r="G1198" s="71" t="str">
        <x:v>Label</x:v>
      </x:c>
      <x:c r="H1198" s="71" t="str">
        <x:v>Overview</x:v>
      </x:c>
      <x:c r="I1198" s="71" t="str">
        <x:v>Overview</x:v>
      </x:c>
      <x:c r="J1198" s="73"/>
      <x:c r="K1198" s="74" t="str">
        <x:f>IF(J1198="",H1198,IF(J1198=I1198,I1198,J1198))</x:f>
        <x:v>Overview</x:v>
      </x:c>
      <x:c r="L1198" s="74" t="str">
        <x:f>IF(J1198="","Keep current",IF(J1198=I1198,"Use suggestion","Custom"))</x:f>
        <x:v>Keep current</x:v>
      </x:c>
      <x:c r="M1198" s="71" t="str">
        <x:v>Pending review</x:v>
      </x:c>
      <x:c r="N1198" s="71" t="str">
        <x:v>Normal</x:v>
      </x:c>
      <x:c r="O1198" s="71" t="str">
        <x:v>components/easyt/trip-overview-workspace.tsx</x:v>
      </x:c>
      <x:c r="P1198" s="71" t="str">
        <x:v>TripOverviewWorkspace:184</x:v>
      </x:c>
      <x:c r="Q1198" s="71" t="str">
        <x:v>EN (default / shared)</x:v>
      </x:c>
      <x:c r="R1198" s="71" t="str">
        <x:v>Already clear and direct; suggested wording intentionally keeps the current copy. Duplicate wording: appears 2 times.</x:v>
      </x:c>
      <x:c r="S1198" s="75" t="str">
        <x:v>Not applied — review required</x:v>
      </x:c>
    </x:row>
    <x:row r="1199">
      <x:c r="A1199" s="71" t="str">
        <x:v>MRV-DF4A7F2719</x:v>
      </x:c>
      <x:c r="B1199" s="71" t="str">
        <x:v>Trip workspace</x:v>
      </x:c>
      <x:c r="C1199" s="71" t="str">
        <x:v>Overview</x:v>
      </x:c>
      <x:c r="D1199" s="71" t="str">
        <x:v>Shared: Overview</x:v>
      </x:c>
      <x:c r="E1199" s="71" t="str">
        <x:v>TripOverviewWorkspace</x:v>
      </x:c>
      <x:c r="F1199" s="71" t="str">
        <x:v>Default</x:v>
      </x:c>
      <x:c r="G1199" s="71" t="str">
        <x:v>Body copy</x:v>
      </x:c>
      <x:c r="H1199" s="71" t="str">
        <x:v>See the next action and anything that needs attention.</x:v>
      </x:c>
      <x:c r="I1199" s="71" t="str">
        <x:v>See the next action and anything that needs attention.</x:v>
      </x:c>
      <x:c r="J1199" s="73"/>
      <x:c r="K1199" s="74" t="str">
        <x:f>IF(J1199="",H1199,IF(J1199=I1199,I1199,J1199))</x:f>
        <x:v>See the next action and anything that needs attention.</x:v>
      </x:c>
      <x:c r="L1199" s="74" t="str">
        <x:f>IF(J1199="","Keep current",IF(J1199=I1199,"Use suggestion","Custom"))</x:f>
        <x:v>Keep current</x:v>
      </x:c>
      <x:c r="M1199" s="71" t="str">
        <x:v>Pending review</x:v>
      </x:c>
      <x:c r="N1199" s="71" t="str">
        <x:v>Normal</x:v>
      </x:c>
      <x:c r="O1199" s="71" t="str">
        <x:v>components/easyt/trip-overview-workspace.tsx</x:v>
      </x:c>
      <x:c r="P1199" s="71" t="str">
        <x:v>TripOverviewWorkspace:184</x:v>
      </x:c>
      <x:c r="Q1199" s="71" t="str">
        <x:v>EN (default / shared)</x:v>
      </x:c>
      <x:c r="R1199" s="71" t="str">
        <x:v>Already clear and direct; suggested wording intentionally keeps the current copy.</x:v>
      </x:c>
      <x:c r="S1199" s="75" t="str">
        <x:v>Not applied — review required</x:v>
      </x:c>
    </x:row>
    <x:row r="1200">
      <x:c r="A1200" s="71" t="str">
        <x:v>MRV-3C5E7EAAE1</x:v>
      </x:c>
      <x:c r="B1200" s="71" t="str">
        <x:v>Trip workspace</x:v>
      </x:c>
      <x:c r="C1200" s="71" t="str">
        <x:v>Overview</x:v>
      </x:c>
      <x:c r="D1200" s="71" t="str">
        <x:v>Shared: Overview</x:v>
      </x:c>
      <x:c r="E1200" s="71" t="str">
        <x:v>TripOverviewWorkspace</x:v>
      </x:c>
      <x:c r="F1200" s="71" t="str">
        <x:v>Default</x:v>
      </x:c>
      <x:c r="G1200" s="71" t="str">
        <x:v>Label</x:v>
      </x:c>
      <x:c r="H1200" s="71" t="str">
        <x:v>Itinerary</x:v>
      </x:c>
      <x:c r="I1200" s="71" t="str">
        <x:v>Itinerary</x:v>
      </x:c>
      <x:c r="J1200" s="73"/>
      <x:c r="K1200" s="74" t="str">
        <x:f>IF(J1200="",H1200,IF(J1200=I1200,I1200,J1200))</x:f>
        <x:v>Itinerary</x:v>
      </x:c>
      <x:c r="L1200" s="74" t="str">
        <x:f>IF(J1200="","Keep current",IF(J1200=I1200,"Use suggestion","Custom"))</x:f>
        <x:v>Keep current</x:v>
      </x:c>
      <x:c r="M1200" s="71" t="str">
        <x:v>Pending review</x:v>
      </x:c>
      <x:c r="N1200" s="71" t="str">
        <x:v>Normal</x:v>
      </x:c>
      <x:c r="O1200" s="71" t="str">
        <x:v>components/easyt/trip-overview-workspace.tsx</x:v>
      </x:c>
      <x:c r="P1200" s="71" t="str">
        <x:v>TripOverviewWorkspace:185</x:v>
      </x:c>
      <x:c r="Q1200" s="71" t="str">
        <x:v>EN (default / shared)</x:v>
      </x:c>
      <x:c r="R1200" s="71" t="str">
        <x:v>Already clear and direct; suggested wording intentionally keeps the current copy. Duplicate wording: appears 3 times.</x:v>
      </x:c>
      <x:c r="S1200" s="75" t="str">
        <x:v>Not applied — review required</x:v>
      </x:c>
    </x:row>
    <x:row r="1201">
      <x:c r="A1201" s="71" t="str">
        <x:v>MRV-2277083D82</x:v>
      </x:c>
      <x:c r="B1201" s="71" t="str">
        <x:v>Trip workspace</x:v>
      </x:c>
      <x:c r="C1201" s="71" t="str">
        <x:v>Overview</x:v>
      </x:c>
      <x:c r="D1201" s="71" t="str">
        <x:v>Shared: Overview</x:v>
      </x:c>
      <x:c r="E1201" s="71" t="str">
        <x:v>TripOverviewWorkspace</x:v>
      </x:c>
      <x:c r="F1201" s="71" t="str">
        <x:v>Default</x:v>
      </x:c>
      <x:c r="G1201" s="71" t="str">
        <x:v>Body copy</x:v>
      </x:c>
      <x:c r="H1201" s="71" t="str">
        <x:v>Shape the trip day by day.</x:v>
      </x:c>
      <x:c r="I1201" s="71" t="str">
        <x:v>Shape the trip day by day.</x:v>
      </x:c>
      <x:c r="J1201" s="73"/>
      <x:c r="K1201" s="74" t="str">
        <x:f>IF(J1201="",H1201,IF(J1201=I1201,I1201,J1201))</x:f>
        <x:v>Shape the trip day by day.</x:v>
      </x:c>
      <x:c r="L1201" s="74" t="str">
        <x:f>IF(J1201="","Keep current",IF(J1201=I1201,"Use suggestion","Custom"))</x:f>
        <x:v>Keep current</x:v>
      </x:c>
      <x:c r="M1201" s="71" t="str">
        <x:v>Pending review</x:v>
      </x:c>
      <x:c r="N1201" s="71" t="str">
        <x:v>Normal</x:v>
      </x:c>
      <x:c r="O1201" s="71" t="str">
        <x:v>components/easyt/trip-overview-workspace.tsx</x:v>
      </x:c>
      <x:c r="P1201" s="71" t="str">
        <x:v>TripOverviewWorkspace:185</x:v>
      </x:c>
      <x:c r="Q1201" s="71" t="str">
        <x:v>EN (default / shared)</x:v>
      </x:c>
      <x:c r="R1201" s="71" t="str">
        <x:v>Already clear and direct; suggested wording intentionally keeps the current copy. Terminology watch: ‘trip’ and ‘journey’ both describe the same plan. Terminology watch: ‘stops’, ‘destinations’ and ‘places’ overlap.</x:v>
      </x:c>
      <x:c r="S1201" s="75" t="str">
        <x:v>Not applied — review required</x:v>
      </x:c>
    </x:row>
    <x:row r="1202">
      <x:c r="A1202" s="71" t="str">
        <x:v>MRV-BF48C01504</x:v>
      </x:c>
      <x:c r="B1202" s="71" t="str">
        <x:v>Trip workspace</x:v>
      </x:c>
      <x:c r="C1202" s="71" t="str">
        <x:v>Overview</x:v>
      </x:c>
      <x:c r="D1202" s="71" t="str">
        <x:v>Shared: Overview</x:v>
      </x:c>
      <x:c r="E1202" s="71" t="str">
        <x:v>TripOverviewWorkspace</x:v>
      </x:c>
      <x:c r="F1202" s="71" t="str">
        <x:v>Default</x:v>
      </x:c>
      <x:c r="G1202" s="71" t="str">
        <x:v>Label</x:v>
      </x:c>
      <x:c r="H1202" s="71" t="str">
        <x:v>Map</x:v>
      </x:c>
      <x:c r="I1202" s="71" t="str">
        <x:v>Map</x:v>
      </x:c>
      <x:c r="J1202" s="73"/>
      <x:c r="K1202" s="74" t="str">
        <x:f>IF(J1202="",H1202,IF(J1202=I1202,I1202,J1202))</x:f>
        <x:v>Map</x:v>
      </x:c>
      <x:c r="L1202" s="74" t="str">
        <x:f>IF(J1202="","Keep current",IF(J1202=I1202,"Use suggestion","Custom"))</x:f>
        <x:v>Keep current</x:v>
      </x:c>
      <x:c r="M1202" s="71" t="str">
        <x:v>Pending review</x:v>
      </x:c>
      <x:c r="N1202" s="71" t="str">
        <x:v>Normal</x:v>
      </x:c>
      <x:c r="O1202" s="71" t="str">
        <x:v>components/easyt/trip-overview-workspace.tsx</x:v>
      </x:c>
      <x:c r="P1202" s="71" t="str">
        <x:v>TripOverviewWorkspace:186</x:v>
      </x:c>
      <x:c r="Q1202" s="71" t="str">
        <x:v>EN (default / shared)</x:v>
      </x:c>
      <x:c r="R1202" s="71" t="str">
        <x:v>Already clear and direct; suggested wording intentionally keeps the current copy. Duplicate wording: appears 2 times.</x:v>
      </x:c>
      <x:c r="S1202" s="75" t="str">
        <x:v>Not applied — review required</x:v>
      </x:c>
    </x:row>
    <x:row r="1203">
      <x:c r="A1203" s="71" t="str">
        <x:v>MRV-7CE3A67BDD</x:v>
      </x:c>
      <x:c r="B1203" s="71" t="str">
        <x:v>Trip workspace</x:v>
      </x:c>
      <x:c r="C1203" s="71" t="str">
        <x:v>Overview</x:v>
      </x:c>
      <x:c r="D1203" s="71" t="str">
        <x:v>Shared: Overview</x:v>
      </x:c>
      <x:c r="E1203" s="71" t="str">
        <x:v>TripOverviewWorkspace</x:v>
      </x:c>
      <x:c r="F1203" s="71" t="str">
        <x:v>Default</x:v>
      </x:c>
      <x:c r="G1203" s="71" t="str">
        <x:v>CTA / button</x:v>
      </x:c>
      <x:c r="H1203" s="71" t="str">
        <x:v>Explore stays, food and places around each stop.</x:v>
      </x:c>
      <x:c r="I1203" s="71" t="str">
        <x:v>Explore stays, food and places around each stop.</x:v>
      </x:c>
      <x:c r="J1203" s="73"/>
      <x:c r="K1203" s="74" t="str">
        <x:f>IF(J1203="",H1203,IF(J1203=I1203,I1203,J1203))</x:f>
        <x:v>Explore stays, food and places around each stop.</x:v>
      </x:c>
      <x:c r="L1203" s="74" t="str">
        <x:f>IF(J1203="","Keep current",IF(J1203=I1203,"Use suggestion","Custom"))</x:f>
        <x:v>Keep current</x:v>
      </x:c>
      <x:c r="M1203" s="71" t="str">
        <x:v>Pending review</x:v>
      </x:c>
      <x:c r="N1203" s="71" t="str">
        <x:v>Medium</x:v>
      </x:c>
      <x:c r="O1203" s="71" t="str">
        <x:v>components/easyt/trip-overview-workspace.tsx</x:v>
      </x:c>
      <x:c r="P1203" s="71" t="str">
        <x:v>TripOverviewWorkspace:186</x:v>
      </x:c>
      <x:c r="Q1203" s="71" t="str">
        <x:v>EN (default / shared)</x:v>
      </x:c>
      <x:c r="R1203" s="71" t="str">
        <x:v>Already clear and direct; suggested wording intentionally keeps the current copy. Terminology watch: ‘trip’ and ‘journey’ both describe the same plan. Terminology watch: ‘stops’, ‘destinations’ and ‘places’ overlap.</x:v>
      </x:c>
      <x:c r="S1203" s="75" t="str">
        <x:v>Not applied — review required</x:v>
      </x:c>
    </x:row>
    <x:row r="1204">
      <x:c r="A1204" s="71" t="str">
        <x:v>MRV-991E5F4085</x:v>
      </x:c>
      <x:c r="B1204" s="71" t="str">
        <x:v>Trip workspace</x:v>
      </x:c>
      <x:c r="C1204" s="71" t="str">
        <x:v>Overview</x:v>
      </x:c>
      <x:c r="D1204" s="71" t="str">
        <x:v>Shared: Overview</x:v>
      </x:c>
      <x:c r="E1204" s="71" t="str">
        <x:v>TripOverviewWorkspace</x:v>
      </x:c>
      <x:c r="F1204" s="71" t="str">
        <x:v>Default</x:v>
      </x:c>
      <x:c r="G1204" s="71" t="str">
        <x:v>Label</x:v>
      </x:c>
      <x:c r="H1204" s="71" t="str">
        <x:v>Prep</x:v>
      </x:c>
      <x:c r="I1204" s="71" t="str">
        <x:v>Prep</x:v>
      </x:c>
      <x:c r="J1204" s="73"/>
      <x:c r="K1204" s="74" t="str">
        <x:f>IF(J1204="",H1204,IF(J1204=I1204,I1204,J1204))</x:f>
        <x:v>Prep</x:v>
      </x:c>
      <x:c r="L1204" s="74" t="str">
        <x:f>IF(J1204="","Keep current",IF(J1204=I1204,"Use suggestion","Custom"))</x:f>
        <x:v>Keep current</x:v>
      </x:c>
      <x:c r="M1204" s="71" t="str">
        <x:v>Pending review</x:v>
      </x:c>
      <x:c r="N1204" s="71" t="str">
        <x:v>Normal</x:v>
      </x:c>
      <x:c r="O1204" s="71" t="str">
        <x:v>components/easyt/trip-overview-workspace.tsx</x:v>
      </x:c>
      <x:c r="P1204" s="71" t="str">
        <x:v>TripOverviewWorkspace:187</x:v>
      </x:c>
      <x:c r="Q1204" s="71" t="str">
        <x:v>EN (default / shared)</x:v>
      </x:c>
      <x:c r="R1204" s="71" t="str">
        <x:v>Already clear and direct; suggested wording intentionally keeps the current copy. Duplicate wording: appears 2 times.</x:v>
      </x:c>
      <x:c r="S1204" s="75" t="str">
        <x:v>Not applied — review required</x:v>
      </x:c>
    </x:row>
    <x:row r="1205">
      <x:c r="A1205" s="71" t="str">
        <x:v>MRV-18F0D9034A</x:v>
      </x:c>
      <x:c r="B1205" s="71" t="str">
        <x:v>Trip workspace</x:v>
      </x:c>
      <x:c r="C1205" s="71" t="str">
        <x:v>Overview</x:v>
      </x:c>
      <x:c r="D1205" s="71" t="str">
        <x:v>Shared: Overview</x:v>
      </x:c>
      <x:c r="E1205" s="71" t="str">
        <x:v>TripOverviewWorkspace</x:v>
      </x:c>
      <x:c r="F1205" s="71" t="str">
        <x:v>Default</x:v>
      </x:c>
      <x:c r="G1205" s="71" t="str">
        <x:v>Body copy</x:v>
      </x:c>
      <x:c r="H1205" s="71" t="str">
        <x:v>Keep practical tasks separate from the itinerary.</x:v>
      </x:c>
      <x:c r="I1205" s="71" t="str">
        <x:v>Keep practical tasks separate from the itinerary.</x:v>
      </x:c>
      <x:c r="J1205" s="73"/>
      <x:c r="K1205" s="74" t="str">
        <x:f>IF(J1205="",H1205,IF(J1205=I1205,I1205,J1205))</x:f>
        <x:v>Keep practical tasks separate from the itinerary.</x:v>
      </x:c>
      <x:c r="L1205" s="74" t="str">
        <x:f>IF(J1205="","Keep current",IF(J1205=I1205,"Use suggestion","Custom"))</x:f>
        <x:v>Keep current</x:v>
      </x:c>
      <x:c r="M1205" s="71" t="str">
        <x:v>Pending review</x:v>
      </x:c>
      <x:c r="N1205" s="71" t="str">
        <x:v>Normal</x:v>
      </x:c>
      <x:c r="O1205" s="71" t="str">
        <x:v>components/easyt/trip-overview-workspace.tsx</x:v>
      </x:c>
      <x:c r="P1205" s="71" t="str">
        <x:v>TripOverviewWorkspace:187</x:v>
      </x:c>
      <x:c r="Q1205" s="71" t="str">
        <x:v>EN (default / shared)</x:v>
      </x:c>
      <x:c r="R1205" s="71" t="str">
        <x:v>Already clear and direct; suggested wording intentionally keeps the current copy.</x:v>
      </x:c>
      <x:c r="S1205" s="75" t="str">
        <x:v>Not applied — review required</x:v>
      </x:c>
    </x:row>
    <x:row r="1206">
      <x:c r="A1206" s="71" t="str">
        <x:v>MRV-59D696A668</x:v>
      </x:c>
      <x:c r="B1206" s="71" t="str">
        <x:v>Trip workspace</x:v>
      </x:c>
      <x:c r="C1206" s="71" t="str">
        <x:v>Overview</x:v>
      </x:c>
      <x:c r="D1206" s="71" t="str">
        <x:v>Shared: Overview</x:v>
      </x:c>
      <x:c r="E1206" s="71" t="str">
        <x:v>TripOverviewWorkspace</x:v>
      </x:c>
      <x:c r="F1206" s="71" t="str">
        <x:v>Default</x:v>
      </x:c>
      <x:c r="G1206" s="71" t="str">
        <x:v>Label</x:v>
      </x:c>
      <x:c r="H1206" s="71" t="str">
        <x:v>Your next step</x:v>
      </x:c>
      <x:c r="I1206" s="71" t="str">
        <x:v>Your next step</x:v>
      </x:c>
      <x:c r="J1206" s="73"/>
      <x:c r="K1206" s="74" t="str">
        <x:f>IF(J1206="",H1206,IF(J1206=I1206,I1206,J1206))</x:f>
        <x:v>Your next step</x:v>
      </x:c>
      <x:c r="L1206" s="74" t="str">
        <x:f>IF(J1206="","Keep current",IF(J1206=I1206,"Use suggestion","Custom"))</x:f>
        <x:v>Keep current</x:v>
      </x:c>
      <x:c r="M1206" s="71" t="str">
        <x:v>Pending review</x:v>
      </x:c>
      <x:c r="N1206" s="71" t="str">
        <x:v>Normal</x:v>
      </x:c>
      <x:c r="O1206" s="71" t="str">
        <x:v>components/easyt/trip-overview-workspace.tsx</x:v>
      </x:c>
      <x:c r="P1206" s="71" t="str">
        <x:v>TripOverviewWorkspace:193</x:v>
      </x:c>
      <x:c r="Q1206" s="71" t="str">
        <x:v>EN (default / shared)</x:v>
      </x:c>
      <x:c r="R1206" s="71" t="str">
        <x:v>Already clear and direct; suggested wording intentionally keeps the current copy.</x:v>
      </x:c>
      <x:c r="S1206" s="75" t="str">
        <x:v>Not applied — review required</x:v>
      </x:c>
    </x:row>
    <x:row r="1207">
      <x:c r="A1207" s="71" t="str">
        <x:v>MRV-EA73165EC3</x:v>
      </x:c>
      <x:c r="B1207" s="71" t="str">
        <x:v>Trip workspace</x:v>
      </x:c>
      <x:c r="C1207" s="71" t="str">
        <x:v>Overview</x:v>
      </x:c>
      <x:c r="D1207" s="71" t="str">
        <x:v>Shared: Overview</x:v>
      </x:c>
      <x:c r="E1207" s="71" t="str">
        <x:v>TripOverviewWorkspace</x:v>
      </x:c>
      <x:c r="F1207" s="71" t="str">
        <x:v>Default</x:v>
      </x:c>
      <x:c r="G1207" s="71" t="str">
        <x:v>Label</x:v>
      </x:c>
      <x:c r="H1207" s="71" t="str">
        <x:v>Trip health</x:v>
      </x:c>
      <x:c r="I1207" s="71" t="str">
        <x:v>Trip health</x:v>
      </x:c>
      <x:c r="J1207" s="73"/>
      <x:c r="K1207" s="74" t="str">
        <x:f>IF(J1207="",H1207,IF(J1207=I1207,I1207,J1207))</x:f>
        <x:v>Trip health</x:v>
      </x:c>
      <x:c r="L1207" s="74" t="str">
        <x:f>IF(J1207="","Keep current",IF(J1207=I1207,"Use suggestion","Custom"))</x:f>
        <x:v>Keep current</x:v>
      </x:c>
      <x:c r="M1207" s="71" t="str">
        <x:v>Pending review</x:v>
      </x:c>
      <x:c r="N1207" s="71" t="str">
        <x:v>Normal</x:v>
      </x:c>
      <x:c r="O1207" s="71" t="str">
        <x:v>components/easyt/trip-overview-workspace.tsx</x:v>
      </x:c>
      <x:c r="P1207" s="71" t="str">
        <x:v>TripOverviewWorkspace:207</x:v>
      </x:c>
      <x:c r="Q1207" s="71" t="str">
        <x:v>EN (default / shared)</x:v>
      </x:c>
      <x:c r="R1207" s="71" t="str">
        <x:v>Already clear and direct; suggested wording intentionally keeps the current copy. Duplicate wording: appears 2 times. Terminology watch: ‘trip’ and ‘journey’ both describe the same plan. Terminology watch: ‘stops’, ‘destinations’ and ‘places’ overlap.</x:v>
      </x:c>
      <x:c r="S1207" s="75" t="str">
        <x:v>Not applied — review required</x:v>
      </x:c>
    </x:row>
    <x:row r="1208">
      <x:c r="A1208" s="71" t="str">
        <x:v>MRV-F8578F7D1C</x:v>
      </x:c>
      <x:c r="B1208" s="71" t="str">
        <x:v>Trip workspace</x:v>
      </x:c>
      <x:c r="C1208" s="71" t="str">
        <x:v>Overview</x:v>
      </x:c>
      <x:c r="D1208" s="71" t="str">
        <x:v>Shared: Overview</x:v>
      </x:c>
      <x:c r="E1208" s="71" t="str">
        <x:v>TripOverviewWorkspace</x:v>
      </x:c>
      <x:c r="F1208" s="71" t="str">
        <x:v>Default</x:v>
      </x:c>
      <x:c r="G1208" s="71" t="str">
        <x:v>CTA / button</x:v>
      </x:c>
      <x:c r="H1208" s="71" t="str">
        <x:v>Review trip</x:v>
      </x:c>
      <x:c r="I1208" s="71" t="str">
        <x:v>Review trip</x:v>
      </x:c>
      <x:c r="J1208" s="73"/>
      <x:c r="K1208" s="74" t="str">
        <x:f>IF(J1208="",H1208,IF(J1208=I1208,I1208,J1208))</x:f>
        <x:v>Review trip</x:v>
      </x:c>
      <x:c r="L1208" s="74" t="str">
        <x:f>IF(J1208="","Keep current",IF(J1208=I1208,"Use suggestion","Custom"))</x:f>
        <x:v>Keep current</x:v>
      </x:c>
      <x:c r="M1208" s="71" t="str">
        <x:v>Pending review</x:v>
      </x:c>
      <x:c r="N1208" s="71" t="str">
        <x:v>Medium</x:v>
      </x:c>
      <x:c r="O1208" s="71" t="str">
        <x:v>components/easyt/trip-overview-workspace.tsx</x:v>
      </x:c>
      <x:c r="P1208" s="71" t="str">
        <x:v>TripOverviewWorkspace:216</x:v>
      </x:c>
      <x:c r="Q1208" s="71" t="str">
        <x:v>EN (default / shared)</x:v>
      </x:c>
      <x:c r="R1208" s="71" t="str">
        <x:v>Already clear and direct; suggested wording intentionally keeps the current copy. Terminology watch: ‘trip’ and ‘journey’ both describe the same plan. Terminology watch: ‘stops’, ‘destinations’ and ‘places’ overlap.</x:v>
      </x:c>
      <x:c r="S1208" s="75" t="str">
        <x:v>Not applied — review required</x:v>
      </x:c>
    </x:row>
    <x:row r="1209">
      <x:c r="A1209" s="71" t="str">
        <x:v>MRV-826879639F</x:v>
      </x:c>
      <x:c r="B1209" s="71" t="str">
        <x:v>Trip workspace</x:v>
      </x:c>
      <x:c r="C1209" s="71" t="str">
        <x:v>Overview</x:v>
      </x:c>
      <x:c r="D1209" s="71" t="str">
        <x:v>Shared: Overview</x:v>
      </x:c>
      <x:c r="E1209" s="71" t="str">
        <x:v>TripOverviewWorkspace</x:v>
      </x:c>
      <x:c r="F1209" s="71" t="str">
        <x:v>Default</x:v>
      </x:c>
      <x:c r="G1209" s="71" t="str">
        <x:v>Label</x:v>
      </x:c>
      <x:c r="H1209" s="71" t="str">
        <x:v>Readiness at a glance</x:v>
      </x:c>
      <x:c r="I1209" s="71" t="str">
        <x:v>Readiness at a glance</x:v>
      </x:c>
      <x:c r="J1209" s="73"/>
      <x:c r="K1209" s="74" t="str">
        <x:f>IF(J1209="",H1209,IF(J1209=I1209,I1209,J1209))</x:f>
        <x:v>Readiness at a glance</x:v>
      </x:c>
      <x:c r="L1209" s="74" t="str">
        <x:f>IF(J1209="","Keep current",IF(J1209=I1209,"Use suggestion","Custom"))</x:f>
        <x:v>Keep current</x:v>
      </x:c>
      <x:c r="M1209" s="71" t="str">
        <x:v>Pending review</x:v>
      </x:c>
      <x:c r="N1209" s="71" t="str">
        <x:v>Normal</x:v>
      </x:c>
      <x:c r="O1209" s="71" t="str">
        <x:v>components/easyt/trip-overview-workspace.tsx</x:v>
      </x:c>
      <x:c r="P1209" s="71" t="str">
        <x:v>TripOverviewWorkspace:221</x:v>
      </x:c>
      <x:c r="Q1209" s="71" t="str">
        <x:v>EN (default / shared)</x:v>
      </x:c>
      <x:c r="R1209" s="71" t="str">
        <x:v>Already clear and direct; suggested wording intentionally keeps the current copy.</x:v>
      </x:c>
      <x:c r="S1209" s="75" t="str">
        <x:v>Not applied — review required</x:v>
      </x:c>
    </x:row>
    <x:row r="1210">
      <x:c r="A1210" s="71" t="str">
        <x:v>MRV-5160790C1C</x:v>
      </x:c>
      <x:c r="B1210" s="71" t="str">
        <x:v>Trip workspace</x:v>
      </x:c>
      <x:c r="C1210" s="71" t="str">
        <x:v>Overview</x:v>
      </x:c>
      <x:c r="D1210" s="71" t="str">
        <x:v>Shared: Overview</x:v>
      </x:c>
      <x:c r="E1210" s="71" t="str">
        <x:v>TripOverviewWorkspace</x:v>
      </x:c>
      <x:c r="F1210" s="71" t="str">
        <x:v>Default</x:v>
      </x:c>
      <x:c r="G1210" s="71" t="str">
        <x:v>CTA / button</x:v>
      </x:c>
      <x:c r="H1210" s="71" t="str">
        <x:v>Planning progress</x:v>
      </x:c>
      <x:c r="I1210" s="71" t="str">
        <x:v>Planning progress</x:v>
      </x:c>
      <x:c r="J1210" s="73"/>
      <x:c r="K1210" s="74" t="str">
        <x:f>IF(J1210="",H1210,IF(J1210=I1210,I1210,J1210))</x:f>
        <x:v>Planning progress</x:v>
      </x:c>
      <x:c r="L1210" s="74" t="str">
        <x:f>IF(J1210="","Keep current",IF(J1210=I1210,"Use suggestion","Custom"))</x:f>
        <x:v>Keep current</x:v>
      </x:c>
      <x:c r="M1210" s="71" t="str">
        <x:v>Pending review</x:v>
      </x:c>
      <x:c r="N1210" s="71" t="str">
        <x:v>Medium</x:v>
      </x:c>
      <x:c r="O1210" s="71" t="str">
        <x:v>components/easyt/trip-overview-workspace.tsx</x:v>
      </x:c>
      <x:c r="P1210" s="71" t="str">
        <x:v>TripOverviewWorkspace:221</x:v>
      </x:c>
      <x:c r="Q1210" s="71" t="str">
        <x:v>EN (default / shared)</x:v>
      </x:c>
      <x:c r="R1210" s="71" t="str">
        <x:v>Already clear and direct; suggested wording intentionally keeps the current copy.</x:v>
      </x:c>
      <x:c r="S1210" s="75" t="str">
        <x:v>Not applied — review required</x:v>
      </x:c>
    </x:row>
    <x:row r="1211">
      <x:c r="A1211" s="71" t="str">
        <x:v>MRV-D72C7DD7D3</x:v>
      </x:c>
      <x:c r="B1211" s="71" t="str">
        <x:v>Trip workspace</x:v>
      </x:c>
      <x:c r="C1211" s="71" t="str">
        <x:v>Overview</x:v>
      </x:c>
      <x:c r="D1211" s="71" t="str">
        <x:v>Shared: Overview</x:v>
      </x:c>
      <x:c r="E1211" s="71" t="str">
        <x:v>TripOverviewWorkspace</x:v>
      </x:c>
      <x:c r="F1211" s="71" t="str">
        <x:v>Default</x:v>
      </x:c>
      <x:c r="G1211" s="71" t="str">
        <x:v>CTA / button</x:v>
      </x:c>
      <x:c r="H1211" s="71" t="str">
        <x:v>Review prep</x:v>
      </x:c>
      <x:c r="I1211" s="71" t="str">
        <x:v>Review prep</x:v>
      </x:c>
      <x:c r="J1211" s="73"/>
      <x:c r="K1211" s="74" t="str">
        <x:f>IF(J1211="",H1211,IF(J1211=I1211,I1211,J1211))</x:f>
        <x:v>Review prep</x:v>
      </x:c>
      <x:c r="L1211" s="74" t="str">
        <x:f>IF(J1211="","Keep current",IF(J1211=I1211,"Use suggestion","Custom"))</x:f>
        <x:v>Keep current</x:v>
      </x:c>
      <x:c r="M1211" s="71" t="str">
        <x:v>Pending review</x:v>
      </x:c>
      <x:c r="N1211" s="71" t="str">
        <x:v>Medium</x:v>
      </x:c>
      <x:c r="O1211" s="71" t="str">
        <x:v>components/easyt/trip-overview-workspace.tsx</x:v>
      </x:c>
      <x:c r="P1211" s="71" t="str">
        <x:v>TripOverviewWorkspace:222</x:v>
      </x:c>
      <x:c r="Q1211" s="71" t="str">
        <x:v>EN (default / shared)</x:v>
      </x:c>
      <x:c r="R1211" s="71" t="str">
        <x:v>Already clear and direct; suggested wording intentionally keeps the current copy. Duplicate wording: appears 2 times.</x:v>
      </x:c>
      <x:c r="S1211" s="75" t="str">
        <x:v>Not applied — review required</x:v>
      </x:c>
    </x:row>
    <x:row r="1212">
      <x:c r="A1212" s="71" t="str">
        <x:v>MRV-47F60200A5</x:v>
      </x:c>
      <x:c r="B1212" s="71" t="str">
        <x:v>Trip workspace</x:v>
      </x:c>
      <x:c r="C1212" s="71" t="str">
        <x:v>Overview</x:v>
      </x:c>
      <x:c r="D1212" s="71" t="str">
        <x:v>Shared: Overview</x:v>
      </x:c>
      <x:c r="E1212" s="71" t="str">
        <x:v>TripOverviewWorkspace</x:v>
      </x:c>
      <x:c r="F1212" s="71" t="str">
        <x:v>Default</x:v>
      </x:c>
      <x:c r="G1212" s="71" t="str">
        <x:v>Label</x:v>
      </x:c>
      <x:c r="H1212" s="71" t="str">
        <x:v>Itinerary</x:v>
      </x:c>
      <x:c r="I1212" s="71" t="str">
        <x:v>Itinerary</x:v>
      </x:c>
      <x:c r="J1212" s="73"/>
      <x:c r="K1212" s="74" t="str">
        <x:f>IF(J1212="",H1212,IF(J1212=I1212,I1212,J1212))</x:f>
        <x:v>Itinerary</x:v>
      </x:c>
      <x:c r="L1212" s="74" t="str">
        <x:f>IF(J1212="","Keep current",IF(J1212=I1212,"Use suggestion","Custom"))</x:f>
        <x:v>Keep current</x:v>
      </x:c>
      <x:c r="M1212" s="71" t="str">
        <x:v>Pending review</x:v>
      </x:c>
      <x:c r="N1212" s="71" t="str">
        <x:v>Normal</x:v>
      </x:c>
      <x:c r="O1212" s="71" t="str">
        <x:v>components/easyt/trip-overview-workspace.tsx</x:v>
      </x:c>
      <x:c r="P1212" s="71" t="str">
        <x:v>TripOverviewWorkspace:225</x:v>
      </x:c>
      <x:c r="Q1212" s="71" t="str">
        <x:v>EN (default / shared)</x:v>
      </x:c>
      <x:c r="R1212" s="71" t="str">
        <x:v>Already clear and direct; suggested wording intentionally keeps the current copy. Duplicate wording: appears 3 times.</x:v>
      </x:c>
      <x:c r="S1212" s="75" t="str">
        <x:v>Not applied — review required</x:v>
      </x:c>
    </x:row>
    <x:row r="1213">
      <x:c r="A1213" s="71" t="str">
        <x:v>MRV-7A4711A54B</x:v>
      </x:c>
      <x:c r="B1213" s="71" t="str">
        <x:v>Trip workspace</x:v>
      </x:c>
      <x:c r="C1213" s="71" t="str">
        <x:v>Overview</x:v>
      </x:c>
      <x:c r="D1213" s="71" t="str">
        <x:v>Shared: Overview</x:v>
      </x:c>
      <x:c r="E1213" s="71" t="str">
        <x:v>TripOverviewWorkspace</x:v>
      </x:c>
      <x:c r="F1213" s="71" t="str">
        <x:v>Default</x:v>
      </x:c>
      <x:c r="G1213" s="71" t="str">
        <x:v>Label</x:v>
      </x:c>
      <x:c r="H1213" s="71" t="str">
        <x:v>Stays</x:v>
      </x:c>
      <x:c r="I1213" s="71" t="str">
        <x:v>Stays</x:v>
      </x:c>
      <x:c r="J1213" s="73"/>
      <x:c r="K1213" s="74" t="str">
        <x:f>IF(J1213="",H1213,IF(J1213=I1213,I1213,J1213))</x:f>
        <x:v>Stays</x:v>
      </x:c>
      <x:c r="L1213" s="74" t="str">
        <x:f>IF(J1213="","Keep current",IF(J1213=I1213,"Use suggestion","Custom"))</x:f>
        <x:v>Keep current</x:v>
      </x:c>
      <x:c r="M1213" s="71" t="str">
        <x:v>Pending review</x:v>
      </x:c>
      <x:c r="N1213" s="71" t="str">
        <x:v>Normal</x:v>
      </x:c>
      <x:c r="O1213" s="71" t="str">
        <x:v>components/easyt/trip-overview-workspace.tsx</x:v>
      </x:c>
      <x:c r="P1213" s="71" t="str">
        <x:v>TripOverviewWorkspace:226</x:v>
      </x:c>
      <x:c r="Q1213" s="71" t="str">
        <x:v>EN (default / shared)</x:v>
      </x:c>
      <x:c r="R1213" s="71" t="str">
        <x:v>Already clear and direct; suggested wording intentionally keeps the current copy.</x:v>
      </x:c>
      <x:c r="S1213" s="75" t="str">
        <x:v>Not applied — review required</x:v>
      </x:c>
    </x:row>
    <x:row r="1214">
      <x:c r="A1214" s="71" t="str">
        <x:v>MRV-64D3D9D67F</x:v>
      </x:c>
      <x:c r="B1214" s="71" t="str">
        <x:v>Trip workspace</x:v>
      </x:c>
      <x:c r="C1214" s="71" t="str">
        <x:v>Overview</x:v>
      </x:c>
      <x:c r="D1214" s="71" t="str">
        <x:v>Shared: Overview</x:v>
      </x:c>
      <x:c r="E1214" s="71" t="str">
        <x:v>TripOverviewWorkspace</x:v>
      </x:c>
      <x:c r="F1214" s="71" t="str">
        <x:v>Default</x:v>
      </x:c>
      <x:c r="G1214" s="71" t="str">
        <x:v>CTA / button</x:v>
      </x:c>
      <x:c r="H1214" s="71" t="str">
        <x:v>Saved checklist</x:v>
      </x:c>
      <x:c r="I1214" s="71" t="str">
        <x:v>Saved checklist</x:v>
      </x:c>
      <x:c r="J1214" s="73"/>
      <x:c r="K1214" s="74" t="str">
        <x:f>IF(J1214="",H1214,IF(J1214=I1214,I1214,J1214))</x:f>
        <x:v>Saved checklist</x:v>
      </x:c>
      <x:c r="L1214" s="74" t="str">
        <x:f>IF(J1214="","Keep current",IF(J1214=I1214,"Use suggestion","Custom"))</x:f>
        <x:v>Keep current</x:v>
      </x:c>
      <x:c r="M1214" s="71" t="str">
        <x:v>Pending review</x:v>
      </x:c>
      <x:c r="N1214" s="71" t="str">
        <x:v>Medium</x:v>
      </x:c>
      <x:c r="O1214" s="71" t="str">
        <x:v>components/easyt/trip-overview-workspace.tsx</x:v>
      </x:c>
      <x:c r="P1214" s="71" t="str">
        <x:v>TripOverviewWorkspace:227</x:v>
      </x:c>
      <x:c r="Q1214" s="71" t="str">
        <x:v>EN (default / shared)</x:v>
      </x:c>
      <x:c r="R1214" s="71" t="str">
        <x:v>Already clear and direct; suggested wording intentionally keeps the current copy.</x:v>
      </x:c>
      <x:c r="S1214" s="75" t="str">
        <x:v>Not applied — review required</x:v>
      </x:c>
    </x:row>
    <x:row r="1215">
      <x:c r="A1215" s="71" t="str">
        <x:v>MRV-EB5BF0A408</x:v>
      </x:c>
      <x:c r="B1215" s="71" t="str">
        <x:v>Trip workspace</x:v>
      </x:c>
      <x:c r="C1215" s="71" t="str">
        <x:v>Overview</x:v>
      </x:c>
      <x:c r="D1215" s="71" t="str">
        <x:v>Shared: Overview</x:v>
      </x:c>
      <x:c r="E1215" s="71" t="str">
        <x:v>TripOverviewWorkspace</x:v>
      </x:c>
      <x:c r="F1215" s="71" t="str">
        <x:v>Default</x:v>
      </x:c>
      <x:c r="G1215" s="71" t="str">
        <x:v>Label</x:v>
      </x:c>
      <x:c r="H1215" s="71" t="str">
        <x:v>Your route</x:v>
      </x:c>
      <x:c r="I1215" s="71" t="str">
        <x:v>Your route</x:v>
      </x:c>
      <x:c r="J1215" s="73"/>
      <x:c r="K1215" s="74" t="str">
        <x:f>IF(J1215="",H1215,IF(J1215=I1215,I1215,J1215))</x:f>
        <x:v>Your route</x:v>
      </x:c>
      <x:c r="L1215" s="74" t="str">
        <x:f>IF(J1215="","Keep current",IF(J1215=I1215,"Use suggestion","Custom"))</x:f>
        <x:v>Keep current</x:v>
      </x:c>
      <x:c r="M1215" s="71" t="str">
        <x:v>Pending review</x:v>
      </x:c>
      <x:c r="N1215" s="71" t="str">
        <x:v>Normal</x:v>
      </x:c>
      <x:c r="O1215" s="71" t="str">
        <x:v>components/easyt/trip-overview-workspace.tsx</x:v>
      </x:c>
      <x:c r="P1215" s="71" t="str">
        <x:v>TripOverviewWorkspace:233</x:v>
      </x:c>
      <x:c r="Q1215" s="71" t="str">
        <x:v>EN (default / shared)</x:v>
      </x:c>
      <x:c r="R1215" s="71" t="str">
        <x:v>Already clear and direct; suggested wording intentionally keeps the current copy.</x:v>
      </x:c>
      <x:c r="S1215" s="75" t="str">
        <x:v>Not applied — review required</x:v>
      </x:c>
    </x:row>
    <x:row r="1216">
      <x:c r="A1216" s="71" t="str">
        <x:v>MRV-99B1CFD810</x:v>
      </x:c>
      <x:c r="B1216" s="71" t="str">
        <x:v>Trip workspace</x:v>
      </x:c>
      <x:c r="C1216" s="71" t="str">
        <x:v>Overview</x:v>
      </x:c>
      <x:c r="D1216" s="71" t="str">
        <x:v>Shared: Overview</x:v>
      </x:c>
      <x:c r="E1216" s="71" t="str">
        <x:v>TripOverviewWorkspace</x:v>
      </x:c>
      <x:c r="F1216" s="71" t="str">
        <x:v>Default</x:v>
      </x:c>
      <x:c r="G1216" s="71" t="str">
        <x:v>Label</x:v>
      </x:c>
      <x:c r="H1216" s="71" t="str">
        <x:v>, one connected trip</x:v>
      </x:c>
      <x:c r="I1216" s="71" t="str">
        <x:v>, one connected trip</x:v>
      </x:c>
      <x:c r="J1216" s="73"/>
      <x:c r="K1216" s="74" t="str">
        <x:f>IF(J1216="",H1216,IF(J1216=I1216,I1216,J1216))</x:f>
        <x:v>, one connected trip</x:v>
      </x:c>
      <x:c r="L1216" s="74" t="str">
        <x:f>IF(J1216="","Keep current",IF(J1216=I1216,"Use suggestion","Custom"))</x:f>
        <x:v>Keep current</x:v>
      </x:c>
      <x:c r="M1216" s="71" t="str">
        <x:v>Pending review</x:v>
      </x:c>
      <x:c r="N1216" s="71" t="str">
        <x:v>Normal</x:v>
      </x:c>
      <x:c r="O1216" s="71" t="str">
        <x:v>components/easyt/trip-overview-workspace.tsx</x:v>
      </x:c>
      <x:c r="P1216" s="71" t="str">
        <x:v>TripOverviewWorkspace:233</x:v>
      </x:c>
      <x:c r="Q1216" s="71" t="str">
        <x:v>EN (default / shared)</x:v>
      </x:c>
      <x:c r="R1216" s="71" t="str">
        <x:v>Already clear and direct; suggested wording intentionally keeps the current copy. Terminology watch: ‘trip’ and ‘journey’ both describe the same plan. Terminology watch: ‘stops’, ‘destinations’ and ‘places’ overlap.</x:v>
      </x:c>
      <x:c r="S1216" s="75" t="str">
        <x:v>Not applied — review required</x:v>
      </x:c>
    </x:row>
    <x:row r="1217">
      <x:c r="A1217" s="71" t="str">
        <x:v>MRV-AACB24B24E</x:v>
      </x:c>
      <x:c r="B1217" s="71" t="str">
        <x:v>Trip workspace</x:v>
      </x:c>
      <x:c r="C1217" s="71" t="str">
        <x:v>Overview</x:v>
      </x:c>
      <x:c r="D1217" s="71" t="str">
        <x:v>Shared: Overview</x:v>
      </x:c>
      <x:c r="E1217" s="71" t="str">
        <x:v>TripOverviewWorkspace</x:v>
      </x:c>
      <x:c r="F1217" s="71" t="str">
        <x:v>Default</x:v>
      </x:c>
      <x:c r="G1217" s="71" t="str">
        <x:v>CTA / button</x:v>
      </x:c>
      <x:c r="H1217" s="71" t="str">
        <x:v>View itinerary</x:v>
      </x:c>
      <x:c r="I1217" s="71" t="str">
        <x:v>View itinerary</x:v>
      </x:c>
      <x:c r="J1217" s="73"/>
      <x:c r="K1217" s="74" t="str">
        <x:f>IF(J1217="",H1217,IF(J1217=I1217,I1217,J1217))</x:f>
        <x:v>View itinerary</x:v>
      </x:c>
      <x:c r="L1217" s="74" t="str">
        <x:f>IF(J1217="","Keep current",IF(J1217=I1217,"Use suggestion","Custom"))</x:f>
        <x:v>Keep current</x:v>
      </x:c>
      <x:c r="M1217" s="71" t="str">
        <x:v>Pending review</x:v>
      </x:c>
      <x:c r="N1217" s="71" t="str">
        <x:v>Medium</x:v>
      </x:c>
      <x:c r="O1217" s="71" t="str">
        <x:v>components/easyt/trip-overview-workspace.tsx</x:v>
      </x:c>
      <x:c r="P1217" s="71" t="str">
        <x:v>TripOverviewWorkspace:235</x:v>
      </x:c>
      <x:c r="Q1217" s="71" t="str">
        <x:v>EN (default / shared)</x:v>
      </x:c>
      <x:c r="R1217" s="71" t="str">
        <x:v>Already clear and direct; suggested wording intentionally keeps the current copy. Duplicate wording: appears 2 times.</x:v>
      </x:c>
      <x:c r="S1217" s="75" t="str">
        <x:v>Not applied — review required</x:v>
      </x:c>
    </x:row>
    <x:row r="1218">
      <x:c r="A1218" s="71" t="str">
        <x:v>MRV-6120BA909A</x:v>
      </x:c>
      <x:c r="B1218" s="71" t="str">
        <x:v>Trip workspace</x:v>
      </x:c>
      <x:c r="C1218" s="71" t="str">
        <x:v>Overview</x:v>
      </x:c>
      <x:c r="D1218" s="71" t="str">
        <x:v>Shared: Overview</x:v>
      </x:c>
      <x:c r="E1218" s="71" t="str">
        <x:v>TripOverviewWorkspace</x:v>
      </x:c>
      <x:c r="F1218" s="71" t="str">
        <x:v>Default</x:v>
      </x:c>
      <x:c r="G1218" s="71" t="str">
        <x:v>CTA / button</x:v>
      </x:c>
      <x:c r="H1218" s="71" t="str">
        <x:v>Open map</x:v>
      </x:c>
      <x:c r="I1218" s="71" t="str">
        <x:v>Open map</x:v>
      </x:c>
      <x:c r="J1218" s="73"/>
      <x:c r="K1218" s="74" t="str">
        <x:f>IF(J1218="",H1218,IF(J1218=I1218,I1218,J1218))</x:f>
        <x:v>Open map</x:v>
      </x:c>
      <x:c r="L1218" s="74" t="str">
        <x:f>IF(J1218="","Keep current",IF(J1218=I1218,"Use suggestion","Custom"))</x:f>
        <x:v>Keep current</x:v>
      </x:c>
      <x:c r="M1218" s="71" t="str">
        <x:v>Pending review</x:v>
      </x:c>
      <x:c r="N1218" s="71" t="str">
        <x:v>Medium</x:v>
      </x:c>
      <x:c r="O1218" s="71" t="str">
        <x:v>components/easyt/trip-overview-workspace.tsx</x:v>
      </x:c>
      <x:c r="P1218" s="71" t="str">
        <x:v>TripOverviewWorkspace:236</x:v>
      </x:c>
      <x:c r="Q1218" s="71" t="str">
        <x:v>EN (default / shared)</x:v>
      </x:c>
      <x:c r="R1218" s="71" t="str">
        <x:v>Already clear and direct; suggested wording intentionally keeps the current copy. Duplicate wording: appears 2 times.</x:v>
      </x:c>
      <x:c r="S1218" s="75" t="str">
        <x:v>Not applied — review required</x:v>
      </x:c>
    </x:row>
    <x:row r="1219">
      <x:c r="A1219" s="71" t="str">
        <x:v>MRV-B4094BC86B</x:v>
      </x:c>
      <x:c r="B1219" s="71" t="str">
        <x:v>Trip workspace</x:v>
      </x:c>
      <x:c r="C1219" s="71" t="str">
        <x:v>Overview</x:v>
      </x:c>
      <x:c r="D1219" s="71" t="str">
        <x:v>Shared: Overview</x:v>
      </x:c>
      <x:c r="E1219" s="71" t="str">
        <x:v>TripOverviewWorkspace</x:v>
      </x:c>
      <x:c r="F1219" s="71" t="str">
        <x:v>Default</x:v>
      </x:c>
      <x:c r="G1219" s="71" t="str">
        <x:v>Label</x:v>
      </x:c>
      <x:c r="H1219" s="71" t="str">
        <x:v>Transfer to confirm</x:v>
      </x:c>
      <x:c r="I1219" s="71" t="str">
        <x:v>Transfer to confirm</x:v>
      </x:c>
      <x:c r="J1219" s="73"/>
      <x:c r="K1219" s="74" t="str">
        <x:f>IF(J1219="",H1219,IF(J1219=I1219,I1219,J1219))</x:f>
        <x:v>Transfer to confirm</x:v>
      </x:c>
      <x:c r="L1219" s="74" t="str">
        <x:f>IF(J1219="","Keep current",IF(J1219=I1219,"Use suggestion","Custom"))</x:f>
        <x:v>Keep current</x:v>
      </x:c>
      <x:c r="M1219" s="71" t="str">
        <x:v>Pending review</x:v>
      </x:c>
      <x:c r="N1219" s="71" t="str">
        <x:v>Normal</x:v>
      </x:c>
      <x:c r="O1219" s="71" t="str">
        <x:v>components/easyt/trip-overview-workspace.tsx</x:v>
      </x:c>
      <x:c r="P1219" s="71" t="str">
        <x:v>TripOverviewWorkspace:255</x:v>
      </x:c>
      <x:c r="Q1219" s="71" t="str">
        <x:v>EN (default / shared)</x:v>
      </x:c>
      <x:c r="R1219" s="71" t="str">
        <x:v>Already clear and direct; suggested wording intentionally keeps the current copy. Duplicate wording: appears 2 times.</x:v>
      </x:c>
      <x:c r="S1219" s="75" t="str">
        <x:v>Not applied — review required</x:v>
      </x:c>
    </x:row>
    <x:row r="1220">
      <x:c r="A1220" s="71" t="str">
        <x:v>MRV-A673C96678</x:v>
      </x:c>
      <x:c r="B1220" s="71" t="str">
        <x:v>Trip workspace</x:v>
      </x:c>
      <x:c r="C1220" s="71" t="str">
        <x:v>Overview</x:v>
      </x:c>
      <x:c r="D1220" s="71" t="str">
        <x:v>Shared: Overview</x:v>
      </x:c>
      <x:c r="E1220" s="71" t="str">
        <x:v>TripOverviewWorkspace</x:v>
      </x:c>
      <x:c r="F1220" s="71" t="str">
        <x:v>Default</x:v>
      </x:c>
      <x:c r="G1220" s="71" t="str">
        <x:v>CTA / button</x:v>
      </x:c>
      <x:c r="H1220" s="71" t="str">
        <x:v>Add a destination to start shaping this trip.</x:v>
      </x:c>
      <x:c r="I1220" s="71" t="str">
        <x:v>Add a destination to start shaping this trip.</x:v>
      </x:c>
      <x:c r="J1220" s="73"/>
      <x:c r="K1220" s="74" t="str">
        <x:f>IF(J1220="",H1220,IF(J1220=I1220,I1220,J1220))</x:f>
        <x:v>Add a destination to start shaping this trip.</x:v>
      </x:c>
      <x:c r="L1220" s="74" t="str">
        <x:f>IF(J1220="","Keep current",IF(J1220=I1220,"Use suggestion","Custom"))</x:f>
        <x:v>Keep current</x:v>
      </x:c>
      <x:c r="M1220" s="71" t="str">
        <x:v>Pending review</x:v>
      </x:c>
      <x:c r="N1220" s="71" t="str">
        <x:v>Medium</x:v>
      </x:c>
      <x:c r="O1220" s="71" t="str">
        <x:v>components/easyt/trip-overview-workspace.tsx</x:v>
      </x:c>
      <x:c r="P1220" s="71" t="str">
        <x:v>TripOverviewWorkspace:258</x:v>
      </x:c>
      <x:c r="Q1220" s="71" t="str">
        <x:v>EN (default / shared)</x:v>
      </x:c>
      <x:c r="R1220" s="71" t="str">
        <x:v>Already clear and direct; suggested wording intentionally keeps the current copy. Terminology watch: ‘trip’ and ‘journey’ both describe the same plan. Terminology watch: ‘stops’, ‘destinations’ and ‘places’ overlap.</x:v>
      </x:c>
      <x:c r="S1220" s="75" t="str">
        <x:v>Not applied — review required</x:v>
      </x:c>
    </x:row>
    <x:row r="1221">
      <x:c r="A1221" s="71" t="str">
        <x:v>MRV-68A6576601</x:v>
      </x:c>
      <x:c r="B1221" s="71" t="str">
        <x:v>Trip workspace</x:v>
      </x:c>
      <x:c r="C1221" s="71" t="str">
        <x:v>Overview</x:v>
      </x:c>
      <x:c r="D1221" s="71" t="str">
        <x:v>Shared: Overview</x:v>
      </x:c>
      <x:c r="E1221" s="71" t="str">
        <x:v>TripOverviewWorkspace</x:v>
      </x:c>
      <x:c r="F1221" s="71" t="str">
        <x:v>Default</x:v>
      </x:c>
      <x:c r="G1221" s="71" t="str">
        <x:v>Label</x:v>
      </x:c>
      <x:c r="H1221" s="71" t="str">
        <x:v>Why this order</x:v>
      </x:c>
      <x:c r="I1221" s="71" t="str">
        <x:v>Why this order</x:v>
      </x:c>
      <x:c r="J1221" s="73"/>
      <x:c r="K1221" s="74" t="str">
        <x:f>IF(J1221="",H1221,IF(J1221=I1221,I1221,J1221))</x:f>
        <x:v>Why this order</x:v>
      </x:c>
      <x:c r="L1221" s="74" t="str">
        <x:f>IF(J1221="","Keep current",IF(J1221=I1221,"Use suggestion","Custom"))</x:f>
        <x:v>Keep current</x:v>
      </x:c>
      <x:c r="M1221" s="71" t="str">
        <x:v>Pending review</x:v>
      </x:c>
      <x:c r="N1221" s="71" t="str">
        <x:v>Normal</x:v>
      </x:c>
      <x:c r="O1221" s="71" t="str">
        <x:v>components/easyt/trip-overview-workspace.tsx</x:v>
      </x:c>
      <x:c r="P1221" s="71" t="str">
        <x:v>TripOverviewWorkspace:259</x:v>
      </x:c>
      <x:c r="Q1221" s="71" t="str">
        <x:v>EN (default / shared)</x:v>
      </x:c>
      <x:c r="R1221" s="71" t="str">
        <x:v>Already clear and direct; suggested wording intentionally keeps the current copy. Duplicate wording: appears 2 times.</x:v>
      </x:c>
      <x:c r="S1221" s="75" t="str">
        <x:v>Not applied — review required</x:v>
      </x:c>
    </x:row>
    <x:row r="1222">
      <x:c r="A1222" s="71" t="str">
        <x:v>MRV-ACC1E04CF0</x:v>
      </x:c>
      <x:c r="B1222" s="71" t="str">
        <x:v>Trip workspace</x:v>
      </x:c>
      <x:c r="C1222" s="71" t="str">
        <x:v>Overview</x:v>
      </x:c>
      <x:c r="D1222" s="71" t="str">
        <x:v>Shared: Overview</x:v>
      </x:c>
      <x:c r="E1222" s="71" t="str">
        <x:v>TripOverviewWorkspace</x:v>
      </x:c>
      <x:c r="F1222" s="71" t="str">
        <x:v>Default</x:v>
      </x:c>
      <x:c r="G1222" s="71" t="str">
        <x:v>Label</x:v>
      </x:c>
      <x:c r="H1222" s="71" t="str">
        <x:v>Main trade-off:</x:v>
      </x:c>
      <x:c r="I1222" s="71" t="str">
        <x:v>Main trade-off:</x:v>
      </x:c>
      <x:c r="J1222" s="73"/>
      <x:c r="K1222" s="74" t="str">
        <x:f>IF(J1222="",H1222,IF(J1222=I1222,I1222,J1222))</x:f>
        <x:v>Main trade-off:</x:v>
      </x:c>
      <x:c r="L1222" s="74" t="str">
        <x:f>IF(J1222="","Keep current",IF(J1222=I1222,"Use suggestion","Custom"))</x:f>
        <x:v>Keep current</x:v>
      </x:c>
      <x:c r="M1222" s="71" t="str">
        <x:v>Pending review</x:v>
      </x:c>
      <x:c r="N1222" s="71" t="str">
        <x:v>Normal</x:v>
      </x:c>
      <x:c r="O1222" s="71" t="str">
        <x:v>components/easyt/trip-overview-workspace.tsx</x:v>
      </x:c>
      <x:c r="P1222" s="71" t="str">
        <x:v>TripOverviewWorkspace:259</x:v>
      </x:c>
      <x:c r="Q1222" s="71" t="str">
        <x:v>EN (default / shared)</x:v>
      </x:c>
      <x:c r="R1222" s="71" t="str">
        <x:v>Already clear and direct; suggested wording intentionally keeps the current copy.</x:v>
      </x:c>
      <x:c r="S1222" s="75" t="str">
        <x:v>Not applied — review required</x:v>
      </x:c>
    </x:row>
    <x:row r="1223">
      <x:c r="A1223" s="71" t="str">
        <x:v>MRV-9246D1131D</x:v>
      </x:c>
      <x:c r="B1223" s="71" t="str">
        <x:v>Trip workspace</x:v>
      </x:c>
      <x:c r="C1223" s="71" t="str">
        <x:v>Overview</x:v>
      </x:c>
      <x:c r="D1223" s="71" t="str">
        <x:v>Shared: Overview</x:v>
      </x:c>
      <x:c r="E1223" s="71" t="str">
        <x:v>ProgressItem</x:v>
      </x:c>
      <x:c r="F1223" s="71" t="str">
        <x:v>Accessibility / input support</x:v>
      </x:c>
      <x:c r="G1223" s="71" t="str">
        <x:v>Accessibility label</x:v>
      </x:c>
      <x:c r="H1223" s="71" t="str">
        <x:v>{label}: {percent}%</x:v>
      </x:c>
      <x:c r="I1223" s="71" t="str">
        <x:v>{label}: {percent}%</x:v>
      </x:c>
      <x:c r="J1223" s="73"/>
      <x:c r="K1223" s="74" t="str">
        <x:f>IF(J1223="",H1223,IF(J1223=I1223,I1223,J1223))</x:f>
        <x:v>{label}: {percent}%</x:v>
      </x:c>
      <x:c r="L1223" s="74" t="str">
        <x:f>IF(J1223="","Keep current",IF(J1223=I1223,"Use suggestion","Custom"))</x:f>
        <x:v>Keep current</x:v>
      </x:c>
      <x:c r="M1223" s="71" t="str">
        <x:v>Pending review</x:v>
      </x:c>
      <x:c r="N1223" s="71" t="str">
        <x:v>Medium</x:v>
      </x:c>
      <x:c r="O1223" s="71" t="str">
        <x:v>components/easyt/trip-overview-workspace.tsx</x:v>
      </x:c>
      <x:c r="P1223" s="71" t="str">
        <x:v>ProgressItem:276</x:v>
      </x:c>
      <x:c r="Q1223" s="71" t="str">
        <x:v>EN (default / shared)</x:v>
      </x:c>
      <x:c r="R1223" s="71" t="str">
        <x:v>Already clear and direct; suggested wording intentionally keeps the current copy. Dynamic traveller or trip value is represented as a token; user-generated values are excluded.</x:v>
      </x:c>
      <x:c r="S1223" s="75" t="str">
        <x:v>Not applied — review required</x:v>
      </x:c>
    </x:row>
    <x:row r="1224">
      <x:c r="A1224" s="71" t="str">
        <x:v>MRV-497CE19AB2</x:v>
      </x:c>
      <x:c r="B1224" s="71" t="str">
        <x:v>Trip workspace</x:v>
      </x:c>
      <x:c r="C1224" s="71" t="str">
        <x:v>Overview</x:v>
      </x:c>
      <x:c r="D1224" s="71" t="str">
        <x:v>Shared: Overview</x:v>
      </x:c>
      <x:c r="E1224" s="71" t="str">
        <x:v>ProgressItem</x:v>
      </x:c>
      <x:c r="F1224" s="71" t="str">
        <x:v>Default</x:v>
      </x:c>
      <x:c r="G1224" s="71" t="str">
        <x:v>Label</x:v>
      </x:c>
      <x:c r="H1224" s="71" t="str">
        <x:v>Ready</x:v>
      </x:c>
      <x:c r="I1224" s="71" t="str">
        <x:v>Ready</x:v>
      </x:c>
      <x:c r="J1224" s="73"/>
      <x:c r="K1224" s="74" t="str">
        <x:f>IF(J1224="",H1224,IF(J1224=I1224,I1224,J1224))</x:f>
        <x:v>Ready</x:v>
      </x:c>
      <x:c r="L1224" s="74" t="str">
        <x:f>IF(J1224="","Keep current",IF(J1224=I1224,"Use suggestion","Custom"))</x:f>
        <x:v>Keep current</x:v>
      </x:c>
      <x:c r="M1224" s="71" t="str">
        <x:v>Pending review</x:v>
      </x:c>
      <x:c r="N1224" s="71" t="str">
        <x:v>Normal</x:v>
      </x:c>
      <x:c r="O1224" s="71" t="str">
        <x:v>components/easyt/trip-overview-workspace.tsx</x:v>
      </x:c>
      <x:c r="P1224" s="71" t="str">
        <x:v>ProgressItem:277</x:v>
      </x:c>
      <x:c r="Q1224" s="71" t="str">
        <x:v>EN (default / shared)</x:v>
      </x:c>
      <x:c r="R1224" s="71" t="str">
        <x:v>Already clear and direct; suggested wording intentionally keeps the current copy.</x:v>
      </x:c>
      <x:c r="S1224" s="75" t="str">
        <x:v>Not applied — review required</x:v>
      </x:c>
    </x:row>
    <x:row r="1225">
      <x:c r="A1225" s="71" t="str">
        <x:v>MRV-54B41CD10A</x:v>
      </x:c>
      <x:c r="B1225" s="71" t="str">
        <x:v>Trip workspace</x:v>
      </x:c>
      <x:c r="C1225" s="71" t="str">
        <x:v>Overview</x:v>
      </x:c>
      <x:c r="D1225" s="71" t="str">
        <x:v>Shared: Overview</x:v>
      </x:c>
      <x:c r="E1225" s="71" t="str">
        <x:v>ProgressItem</x:v>
      </x:c>
      <x:c r="F1225" s="71" t="str">
        <x:v>Default</x:v>
      </x:c>
      <x:c r="G1225" s="71" t="str">
        <x:v>Label</x:v>
      </x:c>
      <x:c r="H1225" s="71" t="str">
        <x:v>{percent}%</x:v>
      </x:c>
      <x:c r="I1225" s="71" t="str">
        <x:v>{percent}%</x:v>
      </x:c>
      <x:c r="J1225" s="73"/>
      <x:c r="K1225" s="74" t="str">
        <x:f>IF(J1225="",H1225,IF(J1225=I1225,I1225,J1225))</x:f>
        <x:v>{percent}%</x:v>
      </x:c>
      <x:c r="L1225" s="74" t="str">
        <x:f>IF(J1225="","Keep current",IF(J1225=I1225,"Use suggestion","Custom"))</x:f>
        <x:v>Keep current</x:v>
      </x:c>
      <x:c r="M1225" s="71" t="str">
        <x:v>Pending review</x:v>
      </x:c>
      <x:c r="N1225" s="71" t="str">
        <x:v>Normal</x:v>
      </x:c>
      <x:c r="O1225" s="71" t="str">
        <x:v>components/easyt/trip-overview-workspace.tsx</x:v>
      </x:c>
      <x:c r="P1225" s="71" t="str">
        <x:v>ProgressItem:277</x:v>
      </x:c>
      <x:c r="Q1225" s="71" t="str">
        <x:v>EN (default / shared)</x:v>
      </x:c>
      <x:c r="R1225" s="71" t="str">
        <x:v>Already clear and direct; suggested wording intentionally keeps the current copy. Dynamic traveller or trip value is represented as a token; user-generated values are excluded.</x:v>
      </x:c>
      <x:c r="S1225" s="75" t="str">
        <x:v>Not applied — review required</x:v>
      </x:c>
    </x:row>
    <x:row r="1226">
      <x:c r="A1226" s="71" t="str">
        <x:v>MRV-C0B81E5905</x:v>
      </x:c>
      <x:c r="B1226" s="71" t="str">
        <x:v>Trip workspace</x:v>
      </x:c>
      <x:c r="C1226" s="71" t="str">
        <x:v>Overview</x:v>
      </x:c>
      <x:c r="D1226" s="71" t="str">
        <x:v>Shared: Overview</x:v>
      </x:c>
      <x:c r="E1226" s="71" t="str">
        <x:v>ProgressItem</x:v>
      </x:c>
      <x:c r="F1226" s="71" t="str">
        <x:v>Default</x:v>
      </x:c>
      <x:c r="G1226" s="71" t="str">
        <x:v>Label</x:v>
      </x:c>
      <x:c r="H1226" s="71" t="str">
        <x:v>To do</x:v>
      </x:c>
      <x:c r="I1226" s="71" t="str">
        <x:v>To do</x:v>
      </x:c>
      <x:c r="J1226" s="73"/>
      <x:c r="K1226" s="74" t="str">
        <x:f>IF(J1226="",H1226,IF(J1226=I1226,I1226,J1226))</x:f>
        <x:v>To do</x:v>
      </x:c>
      <x:c r="L1226" s="74" t="str">
        <x:f>IF(J1226="","Keep current",IF(J1226=I1226,"Use suggestion","Custom"))</x:f>
        <x:v>Keep current</x:v>
      </x:c>
      <x:c r="M1226" s="71" t="str">
        <x:v>Pending review</x:v>
      </x:c>
      <x:c r="N1226" s="71" t="str">
        <x:v>Normal</x:v>
      </x:c>
      <x:c r="O1226" s="71" t="str">
        <x:v>components/easyt/trip-overview-workspace.tsx</x:v>
      </x:c>
      <x:c r="P1226" s="71" t="str">
        <x:v>ProgressItem:277</x:v>
      </x:c>
      <x:c r="Q1226" s="71" t="str">
        <x:v>EN (default / shared)</x:v>
      </x:c>
      <x:c r="R1226" s="71" t="str">
        <x:v>Already clear and direct; suggested wording intentionally keeps the current copy. Duplicate wording: appears 2 times.</x:v>
      </x:c>
      <x:c r="S1226" s="75" t="str">
        <x:v>Not applied — review required</x:v>
      </x:c>
    </x:row>
    <x:row r="1227">
      <x:c r="A1227" s="71" t="str">
        <x:v>MRV-4D03893587</x:v>
      </x:c>
      <x:c r="B1227" s="71" t="str">
        <x:v>Trip workspace</x:v>
      </x:c>
      <x:c r="C1227" s="71" t="str">
        <x:v>Prep</x:v>
      </x:c>
      <x:c r="D1227" s="71" t="str">
        <x:v>Shared: Prep</x:v>
      </x:c>
      <x:c r="E1227" s="71" t="str">
        <x:v>taskSummary</x:v>
      </x:c>
      <x:c r="F1227" s="71" t="str">
        <x:v>Default</x:v>
      </x:c>
      <x:c r="G1227" s="71" t="str">
        <x:v>Body copy</x:v>
      </x:c>
      <x:c r="H1227" s="71" t="str">
        <x:v>Compare medical, cancellation and activity exclusions before travel.</x:v>
      </x:c>
      <x:c r="I1227" s="71" t="str">
        <x:v>Compare medical, cancellation and activity exclusions before travel.</x:v>
      </x:c>
      <x:c r="J1227" s="73"/>
      <x:c r="K1227" s="74" t="str">
        <x:f>IF(J1227="",H1227,IF(J1227=I1227,I1227,J1227))</x:f>
        <x:v>Compare medical, cancellation and activity exclusions before travel.</x:v>
      </x:c>
      <x:c r="L1227" s="74" t="str">
        <x:f>IF(J1227="","Keep current",IF(J1227=I1227,"Use suggestion","Custom"))</x:f>
        <x:v>Keep current</x:v>
      </x:c>
      <x:c r="M1227" s="71" t="str">
        <x:v>Pending review</x:v>
      </x:c>
      <x:c r="N1227" s="71" t="str">
        <x:v>Normal</x:v>
      </x:c>
      <x:c r="O1227" s="71" t="str">
        <x:v>components/easyt/trip-prep-workspace.tsx</x:v>
      </x:c>
      <x:c r="P1227" s="71" t="str">
        <x:v>taskSummary:87</x:v>
      </x:c>
      <x:c r="Q1227" s="71" t="str">
        <x:v>EN (default / shared)</x:v>
      </x:c>
      <x:c r="R1227" s="71" t="str">
        <x:v>Already clear and direct; suggested wording intentionally keeps the current copy.</x:v>
      </x:c>
      <x:c r="S1227" s="75" t="str">
        <x:v>Not applied — review required</x:v>
      </x:c>
    </x:row>
    <x:row r="1228">
      <x:c r="A1228" s="71" t="str">
        <x:v>MRV-995878B9E0</x:v>
      </x:c>
      <x:c r="B1228" s="71" t="str">
        <x:v>Trip workspace</x:v>
      </x:c>
      <x:c r="C1228" s="71" t="str">
        <x:v>Prep</x:v>
      </x:c>
      <x:c r="D1228" s="71" t="str">
        <x:v>Shared: Prep</x:v>
      </x:c>
      <x:c r="E1228" s="71" t="str">
        <x:v>taskSummary</x:v>
      </x:c>
      <x:c r="F1228" s="71" t="str">
        <x:v>Default</x:v>
      </x:c>
      <x:c r="G1228" s="71" t="str">
        <x:v>CTA / button</x:v>
      </x:c>
      <x:c r="H1228" s="71" t="str">
        <x:v>Check the route and dates with the flight provider.</x:v>
      </x:c>
      <x:c r="I1228" s="71" t="str">
        <x:v>Check the route and dates with the flight provider.</x:v>
      </x:c>
      <x:c r="J1228" s="73"/>
      <x:c r="K1228" s="74" t="str">
        <x:f>IF(J1228="",H1228,IF(J1228=I1228,I1228,J1228))</x:f>
        <x:v>Check the route and dates with the flight provider.</x:v>
      </x:c>
      <x:c r="L1228" s="74" t="str">
        <x:f>IF(J1228="","Keep current",IF(J1228=I1228,"Use suggestion","Custom"))</x:f>
        <x:v>Keep current</x:v>
      </x:c>
      <x:c r="M1228" s="71" t="str">
        <x:v>Pending review</x:v>
      </x:c>
      <x:c r="N1228" s="71" t="str">
        <x:v>Medium</x:v>
      </x:c>
      <x:c r="O1228" s="71" t="str">
        <x:v>components/easyt/trip-prep-workspace.tsx</x:v>
      </x:c>
      <x:c r="P1228" s="71" t="str">
        <x:v>taskSummary:88</x:v>
      </x:c>
      <x:c r="Q1228" s="71" t="str">
        <x:v>EN (default / shared)</x:v>
      </x:c>
      <x:c r="R1228" s="71" t="str">
        <x:v>Already clear and direct; suggested wording intentionally keeps the current copy.</x:v>
      </x:c>
      <x:c r="S1228" s="75" t="str">
        <x:v>Not applied — review required</x:v>
      </x:c>
    </x:row>
    <x:row r="1229">
      <x:c r="A1229" s="71" t="str">
        <x:v>MRV-23F07D2E1A</x:v>
      </x:c>
      <x:c r="B1229" s="71" t="str">
        <x:v>Trip workspace</x:v>
      </x:c>
      <x:c r="C1229" s="71" t="str">
        <x:v>Prep</x:v>
      </x:c>
      <x:c r="D1229" s="71" t="str">
        <x:v>Shared: Prep</x:v>
      </x:c>
      <x:c r="E1229" s="71" t="str">
        <x:v>taskSummary</x:v>
      </x:c>
      <x:c r="F1229" s="71" t="str">
        <x:v>Default</x:v>
      </x:c>
      <x:c r="G1229" s="71" t="str">
        <x:v>Body copy</x:v>
      </x:c>
      <x:c r="H1229" s="71" t="str">
        <x:v>Compare data coverage before purchasing.</x:v>
      </x:c>
      <x:c r="I1229" s="71" t="str">
        <x:v>Compare data coverage before purchasing.</x:v>
      </x:c>
      <x:c r="J1229" s="73"/>
      <x:c r="K1229" s="74" t="str">
        <x:f>IF(J1229="",H1229,IF(J1229=I1229,I1229,J1229))</x:f>
        <x:v>Compare data coverage before purchasing.</x:v>
      </x:c>
      <x:c r="L1229" s="74" t="str">
        <x:f>IF(J1229="","Keep current",IF(J1229=I1229,"Use suggestion","Custom"))</x:f>
        <x:v>Keep current</x:v>
      </x:c>
      <x:c r="M1229" s="71" t="str">
        <x:v>Pending review</x:v>
      </x:c>
      <x:c r="N1229" s="71" t="str">
        <x:v>Normal</x:v>
      </x:c>
      <x:c r="O1229" s="71" t="str">
        <x:v>components/easyt/trip-prep-workspace.tsx</x:v>
      </x:c>
      <x:c r="P1229" s="71" t="str">
        <x:v>taskSummary:89</x:v>
      </x:c>
      <x:c r="Q1229" s="71" t="str">
        <x:v>EN (default / shared)</x:v>
      </x:c>
      <x:c r="R1229" s="71" t="str">
        <x:v>Already clear and direct; suggested wording intentionally keeps the current copy.</x:v>
      </x:c>
      <x:c r="S1229" s="75" t="str">
        <x:v>Not applied — review required</x:v>
      </x:c>
    </x:row>
    <x:row r="1230">
      <x:c r="A1230" s="71" t="str">
        <x:v>MRV-A33189D7C0</x:v>
      </x:c>
      <x:c r="B1230" s="71" t="str">
        <x:v>Trip workspace</x:v>
      </x:c>
      <x:c r="C1230" s="71" t="str">
        <x:v>Prep</x:v>
      </x:c>
      <x:c r="D1230" s="71" t="str">
        <x:v>Shared: Prep</x:v>
      </x:c>
      <x:c r="E1230" s="71" t="str">
        <x:v>taskSummary</x:v>
      </x:c>
      <x:c r="F1230" s="71" t="str">
        <x:v>Default</x:v>
      </x:c>
      <x:c r="G1230" s="71" t="str">
        <x:v>Body copy</x:v>
      </x:c>
      <x:c r="H1230" s="71" t="str">
        <x:v>Confirm dates and opening days before booking.</x:v>
      </x:c>
      <x:c r="I1230" s="71" t="str">
        <x:v>Confirm dates and opening days before booking.</x:v>
      </x:c>
      <x:c r="J1230" s="73"/>
      <x:c r="K1230" s="74" t="str">
        <x:f>IF(J1230="",H1230,IF(J1230=I1230,I1230,J1230))</x:f>
        <x:v>Confirm dates and opening days before booking.</x:v>
      </x:c>
      <x:c r="L1230" s="74" t="str">
        <x:f>IF(J1230="","Keep current",IF(J1230=I1230,"Use suggestion","Custom"))</x:f>
        <x:v>Keep current</x:v>
      </x:c>
      <x:c r="M1230" s="71" t="str">
        <x:v>Pending review</x:v>
      </x:c>
      <x:c r="N1230" s="71" t="str">
        <x:v>Normal</x:v>
      </x:c>
      <x:c r="O1230" s="71" t="str">
        <x:v>components/easyt/trip-prep-workspace.tsx</x:v>
      </x:c>
      <x:c r="P1230" s="71" t="str">
        <x:v>taskSummary:90</x:v>
      </x:c>
      <x:c r="Q1230" s="71" t="str">
        <x:v>EN (default / shared)</x:v>
      </x:c>
      <x:c r="R1230" s="71" t="str">
        <x:v>Already clear and direct; suggested wording intentionally keeps the current copy.</x:v>
      </x:c>
      <x:c r="S1230" s="75" t="str">
        <x:v>Not applied — review required</x:v>
      </x:c>
    </x:row>
    <x:row r="1231">
      <x:c r="A1231" s="71" t="str">
        <x:v>MRV-0F3C69ED61</x:v>
      </x:c>
      <x:c r="B1231" s="71" t="str">
        <x:v>Trip workspace</x:v>
      </x:c>
      <x:c r="C1231" s="71" t="str">
        <x:v>Prep</x:v>
      </x:c>
      <x:c r="D1231" s="71" t="str">
        <x:v>Shared: Prep</x:v>
      </x:c>
      <x:c r="E1231" s="71" t="str">
        <x:v>TripPrepWorkspace</x:v>
      </x:c>
      <x:c r="F1231" s="71" t="str">
        <x:v>Failure / recovery</x:v>
      </x:c>
      <x:c r="G1231" s="71" t="str">
        <x:v>Body copy</x:v>
      </x:c>
      <x:c r="H1231" s="71" t="str">
        <x:v>Booking readiness unavailable</x:v>
      </x:c>
      <x:c r="I1231" s="71" t="str">
        <x:v>Booking readiness unavailable</x:v>
      </x:c>
      <x:c r="J1231" s="73"/>
      <x:c r="K1231" s="74" t="str">
        <x:f>IF(J1231="",H1231,IF(J1231=I1231,I1231,J1231))</x:f>
        <x:v>Booking readiness unavailable</x:v>
      </x:c>
      <x:c r="L1231" s="74" t="str">
        <x:f>IF(J1231="","Keep current",IF(J1231=I1231,"Use suggestion","Custom"))</x:f>
        <x:v>Keep current</x:v>
      </x:c>
      <x:c r="M1231" s="71" t="str">
        <x:v>Pending review</x:v>
      </x:c>
      <x:c r="N1231" s="71" t="str">
        <x:v>High</x:v>
      </x:c>
      <x:c r="O1231" s="71" t="str">
        <x:v>components/easyt/trip-prep-workspace.tsx</x:v>
      </x:c>
      <x:c r="P1231" s="71" t="str">
        <x:v>TripPrepWorkspace:225</x:v>
      </x:c>
      <x:c r="Q1231" s="71" t="str">
        <x:v>EN (default / shared)</x:v>
      </x:c>
      <x:c r="R1231" s="71" t="str">
        <x:v>Already clear and direct; suggested wording intentionally keeps the current copy.</x:v>
      </x:c>
      <x:c r="S1231" s="75" t="str">
        <x:v>Not applied — review required</x:v>
      </x:c>
    </x:row>
    <x:row r="1232">
      <x:c r="A1232" s="71" t="str">
        <x:v>MRV-773E746F54</x:v>
      </x:c>
      <x:c r="B1232" s="71" t="str">
        <x:v>Trip workspace</x:v>
      </x:c>
      <x:c r="C1232" s="71" t="str">
        <x:v>Prep</x:v>
      </x:c>
      <x:c r="D1232" s="71" t="str">
        <x:v>Shared: Prep</x:v>
      </x:c>
      <x:c r="E1232" s="71" t="str">
        <x:v>TripPrepWorkspace</x:v>
      </x:c>
      <x:c r="F1232" s="71" t="str">
        <x:v>Failure / recovery</x:v>
      </x:c>
      <x:c r="G1232" s="71" t="str">
        <x:v>Body copy</x:v>
      </x:c>
      <x:c r="H1232" s="71" t="str">
        <x:v>Booking readiness response was incomplete</x:v>
      </x:c>
      <x:c r="I1232" s="71" t="str">
        <x:v>Booking readiness response was incomplete</x:v>
      </x:c>
      <x:c r="J1232" s="73"/>
      <x:c r="K1232" s="74" t="str">
        <x:f>IF(J1232="",H1232,IF(J1232=I1232,I1232,J1232))</x:f>
        <x:v>Booking readiness response was incomplete</x:v>
      </x:c>
      <x:c r="L1232" s="74" t="str">
        <x:f>IF(J1232="","Keep current",IF(J1232=I1232,"Use suggestion","Custom"))</x:f>
        <x:v>Keep current</x:v>
      </x:c>
      <x:c r="M1232" s="71" t="str">
        <x:v>Pending review</x:v>
      </x:c>
      <x:c r="N1232" s="71" t="str">
        <x:v>High</x:v>
      </x:c>
      <x:c r="O1232" s="71" t="str">
        <x:v>components/easyt/trip-prep-workspace.tsx</x:v>
      </x:c>
      <x:c r="P1232" s="71" t="str">
        <x:v>TripPrepWorkspace:227</x:v>
      </x:c>
      <x:c r="Q1232" s="71" t="str">
        <x:v>EN (default / shared)</x:v>
      </x:c>
      <x:c r="R1232" s="71" t="str">
        <x:v>Already clear and direct; suggested wording intentionally keeps the current copy.</x:v>
      </x:c>
      <x:c r="S1232" s="75" t="str">
        <x:v>Not applied — review required</x:v>
      </x:c>
    </x:row>
    <x:row r="1233">
      <x:c r="A1233" s="71" t="str">
        <x:v>MRV-D490466E5A</x:v>
      </x:c>
      <x:c r="B1233" s="71" t="str">
        <x:v>Trip workspace</x:v>
      </x:c>
      <x:c r="C1233" s="71" t="str">
        <x:v>Prep</x:v>
      </x:c>
      <x:c r="D1233" s="71" t="str">
        <x:v>Shared: Prep</x:v>
      </x:c>
      <x:c r="E1233" s="71" t="str">
        <x:v>TripPrepWorkspace</x:v>
      </x:c>
      <x:c r="F1233" s="71" t="str">
        <x:v>Failure / recovery</x:v>
      </x:c>
      <x:c r="G1233" s="71" t="str">
        <x:v>Label</x:v>
      </x:c>
      <x:c r="H1233" s="71" t="str">
        <x:v>Travel readiness unavailable</x:v>
      </x:c>
      <x:c r="I1233" s="71" t="str">
        <x:v>Travel readiness unavailable</x:v>
      </x:c>
      <x:c r="J1233" s="73"/>
      <x:c r="K1233" s="74" t="str">
        <x:f>IF(J1233="",H1233,IF(J1233=I1233,I1233,J1233))</x:f>
        <x:v>Travel readiness unavailable</x:v>
      </x:c>
      <x:c r="L1233" s="74" t="str">
        <x:f>IF(J1233="","Keep current",IF(J1233=I1233,"Use suggestion","Custom"))</x:f>
        <x:v>Keep current</x:v>
      </x:c>
      <x:c r="M1233" s="71" t="str">
        <x:v>Pending review</x:v>
      </x:c>
      <x:c r="N1233" s="71" t="str">
        <x:v>High</x:v>
      </x:c>
      <x:c r="O1233" s="71" t="str">
        <x:v>components/easyt/trip-prep-workspace.tsx</x:v>
      </x:c>
      <x:c r="P1233" s="71" t="str">
        <x:v>TripPrepWorkspace:256</x:v>
      </x:c>
      <x:c r="Q1233" s="71" t="str">
        <x:v>EN (default / shared)</x:v>
      </x:c>
      <x:c r="R1233" s="71" t="str">
        <x:v>Already clear and direct; suggested wording intentionally keeps the current copy.</x:v>
      </x:c>
      <x:c r="S1233" s="75" t="str">
        <x:v>Not applied — review required</x:v>
      </x:c>
    </x:row>
    <x:row r="1234">
      <x:c r="A1234" s="71" t="str">
        <x:v>MRV-B117B67912</x:v>
      </x:c>
      <x:c r="B1234" s="71" t="str">
        <x:v>Trip workspace</x:v>
      </x:c>
      <x:c r="C1234" s="71" t="str">
        <x:v>Prep</x:v>
      </x:c>
      <x:c r="D1234" s="71" t="str">
        <x:v>Shared: Prep</x:v>
      </x:c>
      <x:c r="E1234" s="71" t="str">
        <x:v>TripPrepWorkspace</x:v>
      </x:c>
      <x:c r="F1234" s="71" t="str">
        <x:v>Failure / recovery</x:v>
      </x:c>
      <x:c r="G1234" s="71" t="str">
        <x:v>Body copy</x:v>
      </x:c>
      <x:c r="H1234" s="71" t="str">
        <x:v>Travel readiness response was incomplete</x:v>
      </x:c>
      <x:c r="I1234" s="71" t="str">
        <x:v>Travel readiness response was incomplete</x:v>
      </x:c>
      <x:c r="J1234" s="73"/>
      <x:c r="K1234" s="74" t="str">
        <x:f>IF(J1234="",H1234,IF(J1234=I1234,I1234,J1234))</x:f>
        <x:v>Travel readiness response was incomplete</x:v>
      </x:c>
      <x:c r="L1234" s="74" t="str">
        <x:f>IF(J1234="","Keep current",IF(J1234=I1234,"Use suggestion","Custom"))</x:f>
        <x:v>Keep current</x:v>
      </x:c>
      <x:c r="M1234" s="71" t="str">
        <x:v>Pending review</x:v>
      </x:c>
      <x:c r="N1234" s="71" t="str">
        <x:v>High</x:v>
      </x:c>
      <x:c r="O1234" s="71" t="str">
        <x:v>components/easyt/trip-prep-workspace.tsx</x:v>
      </x:c>
      <x:c r="P1234" s="71" t="str">
        <x:v>TripPrepWorkspace:258</x:v>
      </x:c>
      <x:c r="Q1234" s="71" t="str">
        <x:v>EN (default / shared)</x:v>
      </x:c>
      <x:c r="R1234" s="71" t="str">
        <x:v>Already clear and direct; suggested wording intentionally keeps the current copy.</x:v>
      </x:c>
      <x:c r="S1234" s="75" t="str">
        <x:v>Not applied — review required</x:v>
      </x:c>
    </x:row>
    <x:row r="1235">
      <x:c r="A1235" s="71" t="str">
        <x:v>MRV-9FC68AE6DB</x:v>
      </x:c>
      <x:c r="B1235" s="71" t="str">
        <x:v>Trip workspace</x:v>
      </x:c>
      <x:c r="C1235" s="71" t="str">
        <x:v>Prep</x:v>
      </x:c>
      <x:c r="D1235" s="71" t="str">
        <x:v>Shared: Prep</x:v>
      </x:c>
      <x:c r="E1235" s="71" t="str">
        <x:v>providerMessage</x:v>
      </x:c>
      <x:c r="F1235" s="71" t="str">
        <x:v>Loading / in progress</x:v>
      </x:c>
      <x:c r="G1235" s="71" t="str">
        <x:v>Body copy</x:v>
      </x:c>
      <x:c r="H1235" s="71" t="str">
        <x:v>Some provider-backed Prep checks are unavailable. Retry before treating this as final.</x:v>
      </x:c>
      <x:c r="I1235" s="71" t="str">
        <x:v>Some provider-backed Prep checks are unavailable. Retry before treating this as final.</x:v>
      </x:c>
      <x:c r="J1235" s="73"/>
      <x:c r="K1235" s="74" t="str">
        <x:f>IF(J1235="",H1235,IF(J1235=I1235,I1235,J1235))</x:f>
        <x:v>Some provider-backed Prep checks are unavailable. Retry before treating this as final.</x:v>
      </x:c>
      <x:c r="L1235" s="74" t="str">
        <x:f>IF(J1235="","Keep current",IF(J1235=I1235,"Use suggestion","Custom"))</x:f>
        <x:v>Keep current</x:v>
      </x:c>
      <x:c r="M1235" s="71" t="str">
        <x:v>Pending review</x:v>
      </x:c>
      <x:c r="N1235" s="71" t="str">
        <x:v>Normal</x:v>
      </x:c>
      <x:c r="O1235" s="71" t="str">
        <x:v>components/easyt/trip-prep-workspace.tsx</x:v>
      </x:c>
      <x:c r="P1235" s="71" t="str">
        <x:v>providerMessage:282</x:v>
      </x:c>
      <x:c r="Q1235" s="71" t="str">
        <x:v>EN (default / shared)</x:v>
      </x:c>
      <x:c r="R1235" s="71" t="str">
        <x:v>Already clear and direct; suggested wording intentionally keeps the current copy.</x:v>
      </x:c>
      <x:c r="S1235" s="75" t="str">
        <x:v>Not applied — review required</x:v>
      </x:c>
    </x:row>
    <x:row r="1236">
      <x:c r="A1236" s="71" t="str">
        <x:v>MRV-A14224F236</x:v>
      </x:c>
      <x:c r="B1236" s="71" t="str">
        <x:v>Trip workspace</x:v>
      </x:c>
      <x:c r="C1236" s="71" t="str">
        <x:v>Prep</x:v>
      </x:c>
      <x:c r="D1236" s="71" t="str">
        <x:v>Shared: Prep</x:v>
      </x:c>
      <x:c r="E1236" s="71" t="str">
        <x:v>providerMessage</x:v>
      </x:c>
      <x:c r="F1236" s="71" t="str">
        <x:v>Loading / in progress</x:v>
      </x:c>
      <x:c r="G1236" s="71" t="str">
        <x:v>CTA / button</x:v>
      </x:c>
      <x:c r="H1236" s="71" t="str">
        <x:v>Checking provider-backed Prep tasks…</x:v>
      </x:c>
      <x:c r="I1236" s="71" t="str">
        <x:v>Checking provider-backed Prep tasks…</x:v>
      </x:c>
      <x:c r="J1236" s="73"/>
      <x:c r="K1236" s="74" t="str">
        <x:f>IF(J1236="",H1236,IF(J1236=I1236,I1236,J1236))</x:f>
        <x:v>Checking provider-backed Prep tasks…</x:v>
      </x:c>
      <x:c r="L1236" s="74" t="str">
        <x:f>IF(J1236="","Keep current",IF(J1236=I1236,"Use suggestion","Custom"))</x:f>
        <x:v>Keep current</x:v>
      </x:c>
      <x:c r="M1236" s="71" t="str">
        <x:v>Pending review</x:v>
      </x:c>
      <x:c r="N1236" s="71" t="str">
        <x:v>Medium</x:v>
      </x:c>
      <x:c r="O1236" s="71" t="str">
        <x:v>components/easyt/trip-prep-workspace.tsx</x:v>
      </x:c>
      <x:c r="P1236" s="71" t="str">
        <x:v>providerMessage:283</x:v>
      </x:c>
      <x:c r="Q1236" s="71" t="str">
        <x:v>EN (default / shared)</x:v>
      </x:c>
      <x:c r="R1236" s="71" t="str">
        <x:v>Already clear and direct; suggested wording intentionally keeps the current copy.</x:v>
      </x:c>
      <x:c r="S1236" s="75" t="str">
        <x:v>Not applied — review required</x:v>
      </x:c>
    </x:row>
    <x:row r="1237">
      <x:c r="A1237" s="71" t="str">
        <x:v>MRV-94F356F858</x:v>
      </x:c>
      <x:c r="B1237" s="71" t="str">
        <x:v>Trip workspace</x:v>
      </x:c>
      <x:c r="C1237" s="71" t="str">
        <x:v>Prep</x:v>
      </x:c>
      <x:c r="D1237" s="71" t="str">
        <x:v>Shared: Prep</x:v>
      </x:c>
      <x:c r="E1237" s="71" t="str">
        <x:v>departureDate</x:v>
      </x:c>
      <x:c r="F1237" s="71" t="str">
        <x:v>Default</x:v>
      </x:c>
      <x:c r="G1237" s="71" t="str">
        <x:v>Label</x:v>
      </x:c>
      <x:c r="H1237" s="71" t="str">
        <x:v>en-GB</x:v>
      </x:c>
      <x:c r="I1237" s="71" t="str">
        <x:v>en-GB</x:v>
      </x:c>
      <x:c r="J1237" s="73"/>
      <x:c r="K1237" s="74" t="str">
        <x:f>IF(J1237="",H1237,IF(J1237=I1237,I1237,J1237))</x:f>
        <x:v>en-GB</x:v>
      </x:c>
      <x:c r="L1237" s="74" t="str">
        <x:f>IF(J1237="","Keep current",IF(J1237=I1237,"Use suggestion","Custom"))</x:f>
        <x:v>Keep current</x:v>
      </x:c>
      <x:c r="M1237" s="71" t="str">
        <x:v>Pending review</x:v>
      </x:c>
      <x:c r="N1237" s="71" t="str">
        <x:v>Normal</x:v>
      </x:c>
      <x:c r="O1237" s="71" t="str">
        <x:v>components/easyt/trip-prep-workspace.tsx</x:v>
      </x:c>
      <x:c r="P1237" s="71" t="str">
        <x:v>departureDate:284</x:v>
      </x:c>
      <x:c r="Q1237" s="71" t="str">
        <x:v>EN (default / shared)</x:v>
      </x:c>
      <x:c r="R1237" s="71" t="str">
        <x:v>Already clear and direct; suggested wording intentionally keeps the current copy. Duplicate wording: appears 2 times.</x:v>
      </x:c>
      <x:c r="S1237" s="75" t="str">
        <x:v>Not applied — review required</x:v>
      </x:c>
    </x:row>
    <x:row r="1238">
      <x:c r="A1238" s="71" t="str">
        <x:v>MRV-AD7715B76E</x:v>
      </x:c>
      <x:c r="B1238" s="71" t="str">
        <x:v>Trip workspace</x:v>
      </x:c>
      <x:c r="C1238" s="71" t="str">
        <x:v>Prep</x:v>
      </x:c>
      <x:c r="D1238" s="71" t="str">
        <x:v>Shared: Prep</x:v>
      </x:c>
      <x:c r="E1238" s="71" t="str">
        <x:v>TripPrepWorkspace</x:v>
      </x:c>
      <x:c r="F1238" s="71" t="str">
        <x:v>Default</x:v>
      </x:c>
      <x:c r="G1238" s="71" t="str">
        <x:v>Label</x:v>
      </x:c>
      <x:c r="H1238" s="71" t="str">
        <x:v>Trip prep</x:v>
      </x:c>
      <x:c r="I1238" s="71" t="str">
        <x:v>Trip prep</x:v>
      </x:c>
      <x:c r="J1238" s="73"/>
      <x:c r="K1238" s="74" t="str">
        <x:f>IF(J1238="",H1238,IF(J1238=I1238,I1238,J1238))</x:f>
        <x:v>Trip prep</x:v>
      </x:c>
      <x:c r="L1238" s="74" t="str">
        <x:f>IF(J1238="","Keep current",IF(J1238=I1238,"Use suggestion","Custom"))</x:f>
        <x:v>Keep current</x:v>
      </x:c>
      <x:c r="M1238" s="71" t="str">
        <x:v>Pending review</x:v>
      </x:c>
      <x:c r="N1238" s="71" t="str">
        <x:v>Normal</x:v>
      </x:c>
      <x:c r="O1238" s="71" t="str">
        <x:v>components/easyt/trip-prep-workspace.tsx</x:v>
      </x:c>
      <x:c r="P1238" s="71" t="str">
        <x:v>TripPrepWorkspace:297</x:v>
      </x:c>
      <x:c r="Q1238" s="71" t="str">
        <x:v>EN (default / shared)</x:v>
      </x:c>
      <x:c r="R1238" s="71" t="str">
        <x:v>Already clear and direct; suggested wording intentionally keeps the current copy. Duplicate wording: appears 5 times. Terminology watch: ‘trip’ and ‘journey’ both describe the same plan. Terminology watch: ‘stops’, ‘destinations’ and ‘places’ overlap.</x:v>
      </x:c>
      <x:c r="S1238" s="75" t="str">
        <x:v>Not applied — review required</x:v>
      </x:c>
    </x:row>
    <x:row r="1239">
      <x:c r="A1239" s="71" t="str">
        <x:v>MRV-C0F4B0F3F6</x:v>
      </x:c>
      <x:c r="B1239" s="71" t="str">
        <x:v>Trip workspace</x:v>
      </x:c>
      <x:c r="C1239" s="71" t="str">
        <x:v>Prep</x:v>
      </x:c>
      <x:c r="D1239" s="71" t="str">
        <x:v>Shared: Prep</x:v>
      </x:c>
      <x:c r="E1239" s="71" t="str">
        <x:v>TripPrepWorkspace</x:v>
      </x:c>
      <x:c r="F1239" s="71" t="str">
        <x:v>Default</x:v>
      </x:c>
      <x:c r="G1239" s="71" t="str">
        <x:v>Body copy</x:v>
      </x:c>
      <x:c r="H1239" s="71" t="str">
        <x:v>Complete key tasks to travel with confidence.</x:v>
      </x:c>
      <x:c r="I1239" s="71" t="str">
        <x:v>Complete key tasks to travel with confidence.</x:v>
      </x:c>
      <x:c r="J1239" s="73"/>
      <x:c r="K1239" s="74" t="str">
        <x:f>IF(J1239="",H1239,IF(J1239=I1239,I1239,J1239))</x:f>
        <x:v>Complete key tasks to travel with confidence.</x:v>
      </x:c>
      <x:c r="L1239" s="74" t="str">
        <x:f>IF(J1239="","Keep current",IF(J1239=I1239,"Use suggestion","Custom"))</x:f>
        <x:v>Keep current</x:v>
      </x:c>
      <x:c r="M1239" s="71" t="str">
        <x:v>Pending review</x:v>
      </x:c>
      <x:c r="N1239" s="71" t="str">
        <x:v>Normal</x:v>
      </x:c>
      <x:c r="O1239" s="71" t="str">
        <x:v>components/easyt/trip-prep-workspace.tsx</x:v>
      </x:c>
      <x:c r="P1239" s="71" t="str">
        <x:v>TripPrepWorkspace:298</x:v>
      </x:c>
      <x:c r="Q1239" s="71" t="str">
        <x:v>EN (default / shared)</x:v>
      </x:c>
      <x:c r="R1239" s="71" t="str">
        <x:v>Already clear and direct; suggested wording intentionally keeps the current copy.</x:v>
      </x:c>
      <x:c r="S1239" s="75" t="str">
        <x:v>Not applied — review required</x:v>
      </x:c>
    </x:row>
    <x:row r="1240">
      <x:c r="A1240" s="71" t="str">
        <x:v>MRV-1B0E797094</x:v>
      </x:c>
      <x:c r="B1240" s="71" t="str">
        <x:v>Trip workspace</x:v>
      </x:c>
      <x:c r="C1240" s="71" t="str">
        <x:v>Prep</x:v>
      </x:c>
      <x:c r="D1240" s="71" t="str">
        <x:v>Shared: Prep</x:v>
      </x:c>
      <x:c r="E1240" s="71" t="str">
        <x:v>TripPrepWorkspace</x:v>
      </x:c>
      <x:c r="F1240" s="71" t="str">
        <x:v>Default</x:v>
      </x:c>
      <x:c r="G1240" s="71" t="str">
        <x:v>Label</x:v>
      </x:c>
      <x:c r="H1240" s="71" t="str">
        <x:v>OVERALL PROGRESS</x:v>
      </x:c>
      <x:c r="I1240" s="71" t="str">
        <x:v>OVERALL PROGRESS</x:v>
      </x:c>
      <x:c r="J1240" s="73"/>
      <x:c r="K1240" s="74" t="str">
        <x:f>IF(J1240="",H1240,IF(J1240=I1240,I1240,J1240))</x:f>
        <x:v>OVERALL PROGRESS</x:v>
      </x:c>
      <x:c r="L1240" s="74" t="str">
        <x:f>IF(J1240="","Keep current",IF(J1240=I1240,"Use suggestion","Custom"))</x:f>
        <x:v>Keep current</x:v>
      </x:c>
      <x:c r="M1240" s="71" t="str">
        <x:v>Pending review</x:v>
      </x:c>
      <x:c r="N1240" s="71" t="str">
        <x:v>Normal</x:v>
      </x:c>
      <x:c r="O1240" s="71" t="str">
        <x:v>components/easyt/trip-prep-workspace.tsx</x:v>
      </x:c>
      <x:c r="P1240" s="71" t="str">
        <x:v>TripPrepWorkspace:304</x:v>
      </x:c>
      <x:c r="Q1240" s="71" t="str">
        <x:v>EN (default / shared)</x:v>
      </x:c>
      <x:c r="R1240" s="71" t="str">
        <x:v>Already clear and direct; suggested wording intentionally keeps the current copy.</x:v>
      </x:c>
      <x:c r="S1240" s="75" t="str">
        <x:v>Not applied — review required</x:v>
      </x:c>
    </x:row>
    <x:row r="1241">
      <x:c r="A1241" s="71" t="str">
        <x:v>MRV-2A8F337EB3</x:v>
      </x:c>
      <x:c r="B1241" s="71" t="str">
        <x:v>Trip workspace</x:v>
      </x:c>
      <x:c r="C1241" s="71" t="str">
        <x:v>Prep</x:v>
      </x:c>
      <x:c r="D1241" s="71" t="str">
        <x:v>Shared: Prep</x:v>
      </x:c>
      <x:c r="E1241" s="71" t="str">
        <x:v>TripPrepWorkspace</x:v>
      </x:c>
      <x:c r="F1241" s="71" t="str">
        <x:v>Default</x:v>
      </x:c>
      <x:c r="G1241" s="71" t="str">
        <x:v>Body copy</x:v>
      </x:c>
      <x:c r="H1241" s="71" t="str">
        <x:v>{progress.percent}%</x:v>
      </x:c>
      <x:c r="I1241" s="71" t="str">
        <x:v>{progress.percent}%</x:v>
      </x:c>
      <x:c r="J1241" s="73"/>
      <x:c r="K1241" s="74" t="str">
        <x:f>IF(J1241="",H1241,IF(J1241=I1241,I1241,J1241))</x:f>
        <x:v>{progress.percent}%</x:v>
      </x:c>
      <x:c r="L1241" s="74" t="str">
        <x:f>IF(J1241="","Keep current",IF(J1241=I1241,"Use suggestion","Custom"))</x:f>
        <x:v>Keep current</x:v>
      </x:c>
      <x:c r="M1241" s="71" t="str">
        <x:v>Pending review</x:v>
      </x:c>
      <x:c r="N1241" s="71" t="str">
        <x:v>Normal</x:v>
      </x:c>
      <x:c r="O1241" s="71" t="str">
        <x:v>components/easyt/trip-prep-workspace.tsx</x:v>
      </x:c>
      <x:c r="P1241" s="71" t="str">
        <x:v>TripPrepWorkspace:305</x:v>
      </x:c>
      <x:c r="Q1241" s="71" t="str">
        <x:v>EN (default / shared)</x:v>
      </x:c>
      <x:c r="R1241" s="71" t="str">
        <x:v>Already clear and direct; suggested wording intentionally keeps the current copy. Dynamic traveller or trip value is represented as a token; user-generated values are excluded.</x:v>
      </x:c>
      <x:c r="S1241" s="75" t="str">
        <x:v>Not applied — review required</x:v>
      </x:c>
    </x:row>
    <x:row r="1242">
      <x:c r="A1242" s="71" t="str">
        <x:v>MRV-41C07D8C1A</x:v>
      </x:c>
      <x:c r="B1242" s="71" t="str">
        <x:v>Trip workspace</x:v>
      </x:c>
      <x:c r="C1242" s="71" t="str">
        <x:v>Prep</x:v>
      </x:c>
      <x:c r="D1242" s="71" t="str">
        <x:v>Shared: Prep</x:v>
      </x:c>
      <x:c r="E1242" s="71" t="str">
        <x:v>TripPrepWorkspace</x:v>
      </x:c>
      <x:c r="F1242" s="71" t="str">
        <x:v>Default</x:v>
      </x:c>
      <x:c r="G1242" s="71" t="str">
        <x:v>Body copy</x:v>
      </x:c>
      <x:c r="H1242" s="71" t="str">
        <x:v>{progress.complete} of {progress.total} tasks complete</x:v>
      </x:c>
      <x:c r="I1242" s="71" t="str">
        <x:v>{progress.complete} of {progress.total} tasks complete</x:v>
      </x:c>
      <x:c r="J1242" s="73"/>
      <x:c r="K1242" s="74" t="str">
        <x:f>IF(J1242="",H1242,IF(J1242=I1242,I1242,J1242))</x:f>
        <x:v>{progress.complete} of {progress.total} tasks complete</x:v>
      </x:c>
      <x:c r="L1242" s="74" t="str">
        <x:f>IF(J1242="","Keep current",IF(J1242=I1242,"Use suggestion","Custom"))</x:f>
        <x:v>Keep current</x:v>
      </x:c>
      <x:c r="M1242" s="71" t="str">
        <x:v>Pending review</x:v>
      </x:c>
      <x:c r="N1242" s="71" t="str">
        <x:v>Normal</x:v>
      </x:c>
      <x:c r="O1242" s="71" t="str">
        <x:v>components/easyt/trip-prep-workspace.tsx</x:v>
      </x:c>
      <x:c r="P1242" s="71" t="str">
        <x:v>TripPrepWorkspace:306</x:v>
      </x:c>
      <x:c r="Q1242" s="71" t="str">
        <x:v>EN (default / shared)</x:v>
      </x:c>
      <x:c r="R1242" s="71" t="str">
        <x:v>Already clear and direct; suggested wording intentionally keeps the current copy. Dynamic traveller or trip value is represented as a token; user-generated values are excluded.</x:v>
      </x:c>
      <x:c r="S1242" s="75" t="str">
        <x:v>Not applied — review required</x:v>
      </x:c>
    </x:row>
    <x:row r="1243">
      <x:c r="A1243" s="71" t="str">
        <x:v>MRV-BDCBA3BA98</x:v>
      </x:c>
      <x:c r="B1243" s="71" t="str">
        <x:v>Trip workspace</x:v>
      </x:c>
      <x:c r="C1243" s="71" t="str">
        <x:v>Prep</x:v>
      </x:c>
      <x:c r="D1243" s="71" t="str">
        <x:v>Shared: Prep</x:v>
      </x:c>
      <x:c r="E1243" s="71" t="str">
        <x:v>TripPrepWorkspace</x:v>
      </x:c>
      <x:c r="F1243" s="71" t="str">
        <x:v>Accessibility / input support</x:v>
      </x:c>
      <x:c r="G1243" s="71" t="str">
        <x:v>Accessibility label</x:v>
      </x:c>
      <x:c r="H1243" s="71" t="str">
        <x:v>Trip preparation progress</x:v>
      </x:c>
      <x:c r="I1243" s="71" t="str">
        <x:v>Trip preparation progress</x:v>
      </x:c>
      <x:c r="J1243" s="73"/>
      <x:c r="K1243" s="74" t="str">
        <x:f>IF(J1243="",H1243,IF(J1243=I1243,I1243,J1243))</x:f>
        <x:v>Trip preparation progress</x:v>
      </x:c>
      <x:c r="L1243" s="74" t="str">
        <x:f>IF(J1243="","Keep current",IF(J1243=I1243,"Use suggestion","Custom"))</x:f>
        <x:v>Keep current</x:v>
      </x:c>
      <x:c r="M1243" s="71" t="str">
        <x:v>Pending review</x:v>
      </x:c>
      <x:c r="N1243" s="71" t="str">
        <x:v>Medium</x:v>
      </x:c>
      <x:c r="O1243" s="71" t="str">
        <x:v>components/easyt/trip-prep-workspace.tsx</x:v>
      </x:c>
      <x:c r="P1243" s="71" t="str">
        <x:v>TripPrepWorkspace:309</x:v>
      </x:c>
      <x:c r="Q1243" s="71" t="str">
        <x:v>EN (default / shared)</x:v>
      </x:c>
      <x:c r="R1243" s="71" t="str">
        <x:v>Already clear and direct; suggested wording intentionally keeps the current copy. Terminology watch: ‘trip’ and ‘journey’ both describe the same plan. Terminology watch: ‘stops’, ‘destinations’ and ‘places’ overlap.</x:v>
      </x:c>
      <x:c r="S1243" s="75" t="str">
        <x:v>Not applied — review required</x:v>
      </x:c>
    </x:row>
    <x:row r="1244">
      <x:c r="A1244" s="71" t="str">
        <x:v>MRV-77E3B0B027</x:v>
      </x:c>
      <x:c r="B1244" s="71" t="str">
        <x:v>Trip workspace</x:v>
      </x:c>
      <x:c r="C1244" s="71" t="str">
        <x:v>Prep</x:v>
      </x:c>
      <x:c r="D1244" s="71" t="str">
        <x:v>Shared: Prep</x:v>
      </x:c>
      <x:c r="E1244" s="71" t="str">
        <x:v>TripPrepWorkspace</x:v>
      </x:c>
      <x:c r="F1244" s="71" t="str">
        <x:v>Default</x:v>
      </x:c>
      <x:c r="G1244" s="71" t="str">
        <x:v>Label</x:v>
      </x:c>
      <x:c r="H1244" s="71" t="str">
        <x:v>Complete</x:v>
      </x:c>
      <x:c r="I1244" s="71" t="str">
        <x:v>Complete</x:v>
      </x:c>
      <x:c r="J1244" s="73"/>
      <x:c r="K1244" s="74" t="str">
        <x:f>IF(J1244="",H1244,IF(J1244=I1244,I1244,J1244))</x:f>
        <x:v>Complete</x:v>
      </x:c>
      <x:c r="L1244" s="74" t="str">
        <x:f>IF(J1244="","Keep current",IF(J1244=I1244,"Use suggestion","Custom"))</x:f>
        <x:v>Keep current</x:v>
      </x:c>
      <x:c r="M1244" s="71" t="str">
        <x:v>Pending review</x:v>
      </x:c>
      <x:c r="N1244" s="71" t="str">
        <x:v>Normal</x:v>
      </x:c>
      <x:c r="O1244" s="71" t="str">
        <x:v>components/easyt/trip-prep-workspace.tsx</x:v>
      </x:c>
      <x:c r="P1244" s="71" t="str">
        <x:v>TripPrepWorkspace:319</x:v>
      </x:c>
      <x:c r="Q1244" s="71" t="str">
        <x:v>EN (default / shared)</x:v>
      </x:c>
      <x:c r="R1244" s="71" t="str">
        <x:v>Already clear and direct; suggested wording intentionally keeps the current copy.</x:v>
      </x:c>
      <x:c r="S1244" s="75" t="str">
        <x:v>Not applied — review required</x:v>
      </x:c>
    </x:row>
    <x:row r="1245">
      <x:c r="A1245" s="71" t="str">
        <x:v>MRV-44D23020E8</x:v>
      </x:c>
      <x:c r="B1245" s="71" t="str">
        <x:v>Trip workspace</x:v>
      </x:c>
      <x:c r="C1245" s="71" t="str">
        <x:v>Prep</x:v>
      </x:c>
      <x:c r="D1245" s="71" t="str">
        <x:v>Shared: Prep</x:v>
      </x:c>
      <x:c r="E1245" s="71" t="str">
        <x:v>TripPrepWorkspace</x:v>
      </x:c>
      <x:c r="F1245" s="71" t="str">
        <x:v>Default</x:v>
      </x:c>
      <x:c r="G1245" s="71" t="str">
        <x:v>Label</x:v>
      </x:c>
      <x:c r="H1245" s="71" t="str">
        <x:v>In progress</x:v>
      </x:c>
      <x:c r="I1245" s="71" t="str">
        <x:v>In progress</x:v>
      </x:c>
      <x:c r="J1245" s="73"/>
      <x:c r="K1245" s="74" t="str">
        <x:f>IF(J1245="",H1245,IF(J1245=I1245,I1245,J1245))</x:f>
        <x:v>In progress</x:v>
      </x:c>
      <x:c r="L1245" s="74" t="str">
        <x:f>IF(J1245="","Keep current",IF(J1245=I1245,"Use suggestion","Custom"))</x:f>
        <x:v>Keep current</x:v>
      </x:c>
      <x:c r="M1245" s="71" t="str">
        <x:v>Pending review</x:v>
      </x:c>
      <x:c r="N1245" s="71" t="str">
        <x:v>Normal</x:v>
      </x:c>
      <x:c r="O1245" s="71" t="str">
        <x:v>components/easyt/trip-prep-workspace.tsx</x:v>
      </x:c>
      <x:c r="P1245" s="71" t="str">
        <x:v>TripPrepWorkspace:320</x:v>
      </x:c>
      <x:c r="Q1245" s="71" t="str">
        <x:v>EN (default / shared)</x:v>
      </x:c>
      <x:c r="R1245" s="71" t="str">
        <x:v>Already clear and direct; suggested wording intentionally keeps the current copy.</x:v>
      </x:c>
      <x:c r="S1245" s="75" t="str">
        <x:v>Not applied — review required</x:v>
      </x:c>
    </x:row>
    <x:row r="1246">
      <x:c r="A1246" s="71" t="str">
        <x:v>MRV-C04F268321</x:v>
      </x:c>
      <x:c r="B1246" s="71" t="str">
        <x:v>Trip workspace</x:v>
      </x:c>
      <x:c r="C1246" s="71" t="str">
        <x:v>Prep</x:v>
      </x:c>
      <x:c r="D1246" s="71" t="str">
        <x:v>Shared: Prep</x:v>
      </x:c>
      <x:c r="E1246" s="71" t="str">
        <x:v>TripPrepWorkspace</x:v>
      </x:c>
      <x:c r="F1246" s="71" t="str">
        <x:v>Default</x:v>
      </x:c>
      <x:c r="G1246" s="71" t="str">
        <x:v>Label</x:v>
      </x:c>
      <x:c r="H1246" s="71" t="str">
        <x:v>To do</x:v>
      </x:c>
      <x:c r="I1246" s="71" t="str">
        <x:v>To do</x:v>
      </x:c>
      <x:c r="J1246" s="73"/>
      <x:c r="K1246" s="74" t="str">
        <x:f>IF(J1246="",H1246,IF(J1246=I1246,I1246,J1246))</x:f>
        <x:v>To do</x:v>
      </x:c>
      <x:c r="L1246" s="74" t="str">
        <x:f>IF(J1246="","Keep current",IF(J1246=I1246,"Use suggestion","Custom"))</x:f>
        <x:v>Keep current</x:v>
      </x:c>
      <x:c r="M1246" s="71" t="str">
        <x:v>Pending review</x:v>
      </x:c>
      <x:c r="N1246" s="71" t="str">
        <x:v>Normal</x:v>
      </x:c>
      <x:c r="O1246" s="71" t="str">
        <x:v>components/easyt/trip-prep-workspace.tsx</x:v>
      </x:c>
      <x:c r="P1246" s="71" t="str">
        <x:v>TripPrepWorkspace:321</x:v>
      </x:c>
      <x:c r="Q1246" s="71" t="str">
        <x:v>EN (default / shared)</x:v>
      </x:c>
      <x:c r="R1246" s="71" t="str">
        <x:v>Already clear and direct; suggested wording intentionally keeps the current copy. Duplicate wording: appears 2 times.</x:v>
      </x:c>
      <x:c r="S1246" s="75" t="str">
        <x:v>Not applied — review required</x:v>
      </x:c>
    </x:row>
    <x:row r="1247">
      <x:c r="A1247" s="71" t="str">
        <x:v>MRV-7D6E96920B</x:v>
      </x:c>
      <x:c r="B1247" s="71" t="str">
        <x:v>Trip workspace</x:v>
      </x:c>
      <x:c r="C1247" s="71" t="str">
        <x:v>Prep</x:v>
      </x:c>
      <x:c r="D1247" s="71" t="str">
        <x:v>Shared: Prep</x:v>
      </x:c>
      <x:c r="E1247" s="71" t="str">
        <x:v>TripPrepWorkspace</x:v>
      </x:c>
      <x:c r="F1247" s="71" t="str">
        <x:v>Default</x:v>
      </x:c>
      <x:c r="G1247" s="71" t="str">
        <x:v>Label</x:v>
      </x:c>
      <x:c r="H1247" s="71" t="str">
        <x:v>TRIP TIMELINE</x:v>
      </x:c>
      <x:c r="I1247" s="71" t="str">
        <x:v>TRIP TIMELINE</x:v>
      </x:c>
      <x:c r="J1247" s="73"/>
      <x:c r="K1247" s="74" t="str">
        <x:f>IF(J1247="",H1247,IF(J1247=I1247,I1247,J1247))</x:f>
        <x:v>TRIP TIMELINE</x:v>
      </x:c>
      <x:c r="L1247" s="74" t="str">
        <x:f>IF(J1247="","Keep current",IF(J1247=I1247,"Use suggestion","Custom"))</x:f>
        <x:v>Keep current</x:v>
      </x:c>
      <x:c r="M1247" s="71" t="str">
        <x:v>Pending review</x:v>
      </x:c>
      <x:c r="N1247" s="71" t="str">
        <x:v>Normal</x:v>
      </x:c>
      <x:c r="O1247" s="71" t="str">
        <x:v>components/easyt/trip-prep-workspace.tsx</x:v>
      </x:c>
      <x:c r="P1247" s="71" t="str">
        <x:v>TripPrepWorkspace:327</x:v>
      </x:c>
      <x:c r="Q1247" s="71" t="str">
        <x:v>EN (default / shared)</x:v>
      </x:c>
      <x:c r="R1247" s="71" t="str">
        <x:v>Already clear and direct; suggested wording intentionally keeps the current copy. Terminology watch: ‘trip’ and ‘journey’ both describe the same plan. Terminology watch: ‘stops’, ‘destinations’ and ‘places’ overlap.</x:v>
      </x:c>
      <x:c r="S1247" s="75" t="str">
        <x:v>Not applied — review required</x:v>
      </x:c>
    </x:row>
    <x:row r="1248">
      <x:c r="A1248" s="71" t="str">
        <x:v>MRV-05676F678F</x:v>
      </x:c>
      <x:c r="B1248" s="71" t="str">
        <x:v>Trip workspace</x:v>
      </x:c>
      <x:c r="C1248" s="71" t="str">
        <x:v>Prep</x:v>
      </x:c>
      <x:c r="D1248" s="71" t="str">
        <x:v>Shared: Prep</x:v>
      </x:c>
      <x:c r="E1248" s="71" t="str">
        <x:v>TripPrepWorkspace</x:v>
      </x:c>
      <x:c r="F1248" s="71" t="str">
        <x:v>Default</x:v>
      </x:c>
      <x:c r="G1248" s="71" t="str">
        <x:v>Tooltip</x:v>
      </x:c>
      <x:c r="H1248" s="71" t="str">
        <x:v>Must do</x:v>
      </x:c>
      <x:c r="I1248" s="71" t="str">
        <x:v>Must do</x:v>
      </x:c>
      <x:c r="J1248" s="73"/>
      <x:c r="K1248" s="74" t="str">
        <x:f>IF(J1248="",H1248,IF(J1248=I1248,I1248,J1248))</x:f>
        <x:v>Must do</x:v>
      </x:c>
      <x:c r="L1248" s="74" t="str">
        <x:f>IF(J1248="","Keep current",IF(J1248=I1248,"Use suggestion","Custom"))</x:f>
        <x:v>Keep current</x:v>
      </x:c>
      <x:c r="M1248" s="71" t="str">
        <x:v>Pending review</x:v>
      </x:c>
      <x:c r="N1248" s="71" t="str">
        <x:v>Normal</x:v>
      </x:c>
      <x:c r="O1248" s="71" t="str">
        <x:v>components/easyt/trip-prep-workspace.tsx</x:v>
      </x:c>
      <x:c r="P1248" s="71" t="str">
        <x:v>TripPrepWorkspace:332</x:v>
      </x:c>
      <x:c r="Q1248" s="71" t="str">
        <x:v>EN (default / shared)</x:v>
      </x:c>
      <x:c r="R1248" s="71" t="str">
        <x:v>Already clear and direct; suggested wording intentionally keeps the current copy.</x:v>
      </x:c>
      <x:c r="S1248" s="75" t="str">
        <x:v>Not applied — review required</x:v>
      </x:c>
    </x:row>
    <x:row r="1249">
      <x:c r="A1249" s="71" t="str">
        <x:v>MRV-81AD6FBA1E</x:v>
      </x:c>
      <x:c r="B1249" s="71" t="str">
        <x:v>Trip workspace</x:v>
      </x:c>
      <x:c r="C1249" s="71" t="str">
        <x:v>Prep</x:v>
      </x:c>
      <x:c r="D1249" s="71" t="str">
        <x:v>Shared: Prep</x:v>
      </x:c>
      <x:c r="E1249" s="71" t="str">
        <x:v>TripPrepWorkspace</x:v>
      </x:c>
      <x:c r="F1249" s="71" t="str">
        <x:v>Default</x:v>
      </x:c>
      <x:c r="G1249" s="71" t="str">
        <x:v>Label</x:v>
      </x:c>
      <x:c r="H1249" s="71" t="str">
        <x:v>NEXT IMPORTANT TASK</x:v>
      </x:c>
      <x:c r="I1249" s="71" t="str">
        <x:v>NEXT IMPORTANT TASK</x:v>
      </x:c>
      <x:c r="J1249" s="73"/>
      <x:c r="K1249" s="74" t="str">
        <x:f>IF(J1249="",H1249,IF(J1249=I1249,I1249,J1249))</x:f>
        <x:v>NEXT IMPORTANT TASK</x:v>
      </x:c>
      <x:c r="L1249" s="74" t="str">
        <x:f>IF(J1249="","Keep current",IF(J1249=I1249,"Use suggestion","Custom"))</x:f>
        <x:v>Keep current</x:v>
      </x:c>
      <x:c r="M1249" s="71" t="str">
        <x:v>Pending review</x:v>
      </x:c>
      <x:c r="N1249" s="71" t="str">
        <x:v>Normal</x:v>
      </x:c>
      <x:c r="O1249" s="71" t="str">
        <x:v>components/easyt/trip-prep-workspace.tsx</x:v>
      </x:c>
      <x:c r="P1249" s="71" t="str">
        <x:v>TripPrepWorkspace:335</x:v>
      </x:c>
      <x:c r="Q1249" s="71" t="str">
        <x:v>EN (default / shared)</x:v>
      </x:c>
      <x:c r="R1249" s="71" t="str">
        <x:v>Already clear and direct; suggested wording intentionally keeps the current copy.</x:v>
      </x:c>
      <x:c r="S1249" s="75" t="str">
        <x:v>Not applied — review required</x:v>
      </x:c>
    </x:row>
    <x:row r="1250">
      <x:c r="A1250" s="71" t="str">
        <x:v>MRV-BF37F29BA5</x:v>
      </x:c>
      <x:c r="B1250" s="71" t="str">
        <x:v>Trip workspace</x:v>
      </x:c>
      <x:c r="C1250" s="71" t="str">
        <x:v>Prep</x:v>
      </x:c>
      <x:c r="D1250" s="71" t="str">
        <x:v>Shared: Prep</x:v>
      </x:c>
      <x:c r="E1250" s="71" t="str">
        <x:v>TripPrepWorkspace</x:v>
      </x:c>
      <x:c r="F1250" s="71" t="str">
        <x:v>Default</x:v>
      </x:c>
      <x:c r="G1250" s="71" t="str">
        <x:v>Body copy</x:v>
      </x:c>
      <x:c r="H1250" s="71" t="str">
        <x:v>Prep tasks complete.</x:v>
      </x:c>
      <x:c r="I1250" s="71" t="str">
        <x:v>Prep tasks complete.</x:v>
      </x:c>
      <x:c r="J1250" s="73"/>
      <x:c r="K1250" s="74" t="str">
        <x:f>IF(J1250="",H1250,IF(J1250=I1250,I1250,J1250))</x:f>
        <x:v>Prep tasks complete.</x:v>
      </x:c>
      <x:c r="L1250" s="74" t="str">
        <x:f>IF(J1250="","Keep current",IF(J1250=I1250,"Use suggestion","Custom"))</x:f>
        <x:v>Keep current</x:v>
      </x:c>
      <x:c r="M1250" s="71" t="str">
        <x:v>Pending review</x:v>
      </x:c>
      <x:c r="N1250" s="71" t="str">
        <x:v>Normal</x:v>
      </x:c>
      <x:c r="O1250" s="71" t="str">
        <x:v>components/easyt/trip-prep-workspace.tsx</x:v>
      </x:c>
      <x:c r="P1250" s="71" t="str">
        <x:v>TripPrepWorkspace:340</x:v>
      </x:c>
      <x:c r="Q1250" s="71" t="str">
        <x:v>EN (default / shared)</x:v>
      </x:c>
      <x:c r="R1250" s="71" t="str">
        <x:v>Already clear and direct; suggested wording intentionally keeps the current copy.</x:v>
      </x:c>
      <x:c r="S1250" s="75" t="str">
        <x:v>Not applied — review required</x:v>
      </x:c>
    </x:row>
    <x:row r="1251">
      <x:c r="A1251" s="71" t="str">
        <x:v>MRV-9DAA4DAE8E</x:v>
      </x:c>
      <x:c r="B1251" s="71" t="str">
        <x:v>Trip workspace</x:v>
      </x:c>
      <x:c r="C1251" s="71" t="str">
        <x:v>Prep</x:v>
      </x:c>
      <x:c r="D1251" s="71" t="str">
        <x:v>Shared: Prep</x:v>
      </x:c>
      <x:c r="E1251" s="71" t="str">
        <x:v>TripPrepWorkspace</x:v>
      </x:c>
      <x:c r="F1251" s="71" t="str">
        <x:v>Default</x:v>
      </x:c>
      <x:c r="G1251" s="71" t="str">
        <x:v>Body copy</x:v>
      </x:c>
      <x:c r="H1251" s="71" t="str">
        <x:v>Every currently tracked Prep task is complete.</x:v>
      </x:c>
      <x:c r="I1251" s="71" t="str">
        <x:v>Every tracked Prep task is complete.</x:v>
      </x:c>
      <x:c r="J1251" s="73"/>
      <x:c r="K1251" s="74" t="str">
        <x:f>IF(J1251="",H1251,IF(J1251=I1251,I1251,J1251))</x:f>
        <x:v>Every currently tracked Prep task is complete.</x:v>
      </x:c>
      <x:c r="L1251" s="74" t="str">
        <x:f>IF(J1251="","Keep current",IF(J1251=I1251,"Use suggestion","Custom"))</x:f>
        <x:v>Keep current</x:v>
      </x:c>
      <x:c r="M1251" s="71" t="str">
        <x:v>Pending review</x:v>
      </x:c>
      <x:c r="N1251" s="71" t="str">
        <x:v>Normal</x:v>
      </x:c>
      <x:c r="O1251" s="71" t="str">
        <x:v>components/easyt/trip-prep-workspace.tsx</x:v>
      </x:c>
      <x:c r="P1251" s="71" t="str">
        <x:v>TripPrepWorkspace:340</x:v>
      </x:c>
      <x:c r="Q1251" s="71" t="str">
        <x:v>EN (default / shared)</x:v>
      </x:c>
      <x:c r="R1251" s="71" t="str">
        <x:v>Simplified for a warmer, more direct action or recovery message.</x:v>
      </x:c>
      <x:c r="S1251" s="75" t="str">
        <x:v>Not applied — review required</x:v>
      </x:c>
    </x:row>
    <x:row r="1252">
      <x:c r="A1252" s="71" t="str">
        <x:v>MRV-704CE050F7</x:v>
      </x:c>
      <x:c r="B1252" s="71" t="str">
        <x:v>Trip workspace</x:v>
      </x:c>
      <x:c r="C1252" s="71" t="str">
        <x:v>Prep</x:v>
      </x:c>
      <x:c r="D1252" s="71" t="str">
        <x:v>Shared: Prep</x:v>
      </x:c>
      <x:c r="E1252" s="71" t="str">
        <x:v>TripPrepWorkspace</x:v>
      </x:c>
      <x:c r="F1252" s="71" t="str">
        <x:v>Loading / in progress</x:v>
      </x:c>
      <x:c r="G1252" s="71" t="str">
        <x:v>Body copy</x:v>
      </x:c>
      <x:c r="H1252" s="71" t="str">
        <x:v>Some Prep checks are unavailable.</x:v>
      </x:c>
      <x:c r="I1252" s="71" t="str">
        <x:v>Some Prep checks are unavailable.</x:v>
      </x:c>
      <x:c r="J1252" s="73"/>
      <x:c r="K1252" s="74" t="str">
        <x:f>IF(J1252="",H1252,IF(J1252=I1252,I1252,J1252))</x:f>
        <x:v>Some Prep checks are unavailable.</x:v>
      </x:c>
      <x:c r="L1252" s="74" t="str">
        <x:f>IF(J1252="","Keep current",IF(J1252=I1252,"Use suggestion","Custom"))</x:f>
        <x:v>Keep current</x:v>
      </x:c>
      <x:c r="M1252" s="71" t="str">
        <x:v>Pending review</x:v>
      </x:c>
      <x:c r="N1252" s="71" t="str">
        <x:v>Normal</x:v>
      </x:c>
      <x:c r="O1252" s="71" t="str">
        <x:v>components/easyt/trip-prep-workspace.tsx</x:v>
      </x:c>
      <x:c r="P1252" s="71" t="str">
        <x:v>TripPrepWorkspace:341</x:v>
      </x:c>
      <x:c r="Q1252" s="71" t="str">
        <x:v>EN (default / shared)</x:v>
      </x:c>
      <x:c r="R1252" s="71" t="str">
        <x:v>Already clear and direct; suggested wording intentionally keeps the current copy.</x:v>
      </x:c>
      <x:c r="S1252" s="75" t="str">
        <x:v>Not applied — review required</x:v>
      </x:c>
    </x:row>
    <x:row r="1253">
      <x:c r="A1253" s="71" t="str">
        <x:v>MRV-F538A7B4F5</x:v>
      </x:c>
      <x:c r="B1253" s="71" t="str">
        <x:v>Trip workspace</x:v>
      </x:c>
      <x:c r="C1253" s="71" t="str">
        <x:v>Prep</x:v>
      </x:c>
      <x:c r="D1253" s="71" t="str">
        <x:v>Shared: Prep</x:v>
      </x:c>
      <x:c r="E1253" s="71" t="str">
        <x:v>TripPrepWorkspace</x:v>
      </x:c>
      <x:c r="F1253" s="71" t="str">
        <x:v>Loading / in progress</x:v>
      </x:c>
      <x:c r="G1253" s="71" t="str">
        <x:v>Body copy</x:v>
      </x:c>
      <x:c r="H1253" s="71" t="str">
        <x:v>Prep checks are still loading.</x:v>
      </x:c>
      <x:c r="I1253" s="71" t="str">
        <x:v>Prep checks are still loading.</x:v>
      </x:c>
      <x:c r="J1253" s="73"/>
      <x:c r="K1253" s="74" t="str">
        <x:f>IF(J1253="",H1253,IF(J1253=I1253,I1253,J1253))</x:f>
        <x:v>Prep checks are still loading.</x:v>
      </x:c>
      <x:c r="L1253" s="74" t="str">
        <x:f>IF(J1253="","Keep current",IF(J1253=I1253,"Use suggestion","Custom"))</x:f>
        <x:v>Keep current</x:v>
      </x:c>
      <x:c r="M1253" s="71" t="str">
        <x:v>Pending review</x:v>
      </x:c>
      <x:c r="N1253" s="71" t="str">
        <x:v>Normal</x:v>
      </x:c>
      <x:c r="O1253" s="71" t="str">
        <x:v>components/easyt/trip-prep-workspace.tsx</x:v>
      </x:c>
      <x:c r="P1253" s="71" t="str">
        <x:v>TripPrepWorkspace:341</x:v>
      </x:c>
      <x:c r="Q1253" s="71" t="str">
        <x:v>EN (default / shared)</x:v>
      </x:c>
      <x:c r="R1253" s="71" t="str">
        <x:v>Already clear and direct; suggested wording intentionally keeps the current copy.</x:v>
      </x:c>
      <x:c r="S1253" s="75" t="str">
        <x:v>Not applied — review required</x:v>
      </x:c>
    </x:row>
    <x:row r="1254">
      <x:c r="A1254" s="71" t="str">
        <x:v>MRV-C04FC21E99</x:v>
      </x:c>
      <x:c r="B1254" s="71" t="str">
        <x:v>Trip workspace</x:v>
      </x:c>
      <x:c r="C1254" s="71" t="str">
        <x:v>Prep</x:v>
      </x:c>
      <x:c r="D1254" s="71" t="str">
        <x:v>Shared: Prep</x:v>
      </x:c>
      <x:c r="E1254" s="71" t="str">
        <x:v>TripPrepWorkspace</x:v>
      </x:c>
      <x:c r="F1254" s="71" t="str">
        <x:v>Default</x:v>
      </x:c>
      <x:c r="G1254" s="71" t="str">
        <x:v>Tooltip</x:v>
      </x:c>
      <x:c r="H1254" s="71" t="str">
        <x:v>Good to do</x:v>
      </x:c>
      <x:c r="I1254" s="71" t="str">
        <x:v>Good to do</x:v>
      </x:c>
      <x:c r="J1254" s="73"/>
      <x:c r="K1254" s="74" t="str">
        <x:f>IF(J1254="",H1254,IF(J1254=I1254,I1254,J1254))</x:f>
        <x:v>Good to do</x:v>
      </x:c>
      <x:c r="L1254" s="74" t="str">
        <x:f>IF(J1254="","Keep current",IF(J1254=I1254,"Use suggestion","Custom"))</x:f>
        <x:v>Keep current</x:v>
      </x:c>
      <x:c r="M1254" s="71" t="str">
        <x:v>Pending review</x:v>
      </x:c>
      <x:c r="N1254" s="71" t="str">
        <x:v>Normal</x:v>
      </x:c>
      <x:c r="O1254" s="71" t="str">
        <x:v>components/easyt/trip-prep-workspace.tsx</x:v>
      </x:c>
      <x:c r="P1254" s="71" t="str">
        <x:v>TripPrepWorkspace:344</x:v>
      </x:c>
      <x:c r="Q1254" s="71" t="str">
        <x:v>EN (default / shared)</x:v>
      </x:c>
      <x:c r="R1254" s="71" t="str">
        <x:v>Already clear and direct; suggested wording intentionally keeps the current copy.</x:v>
      </x:c>
      <x:c r="S1254" s="75" t="str">
        <x:v>Not applied — review required</x:v>
      </x:c>
    </x:row>
    <x:row r="1255">
      <x:c r="A1255" s="71" t="str">
        <x:v>MRV-60331E780F</x:v>
      </x:c>
      <x:c r="B1255" s="71" t="str">
        <x:v>Trip workspace</x:v>
      </x:c>
      <x:c r="C1255" s="71" t="str">
        <x:v>Prep</x:v>
      </x:c>
      <x:c r="D1255" s="71" t="str">
        <x:v>Shared: Prep</x:v>
      </x:c>
      <x:c r="E1255" s="71" t="str">
        <x:v>TripPrepWorkspace</x:v>
      </x:c>
      <x:c r="F1255" s="71" t="str">
        <x:v>Default</x:v>
      </x:c>
      <x:c r="G1255" s="71" t="str">
        <x:v>Tooltip</x:v>
      </x:c>
      <x:c r="H1255" s="71" t="str">
        <x:v>Nice to have</x:v>
      </x:c>
      <x:c r="I1255" s="71" t="str">
        <x:v>Nice to have</x:v>
      </x:c>
      <x:c r="J1255" s="73"/>
      <x:c r="K1255" s="74" t="str">
        <x:f>IF(J1255="",H1255,IF(J1255=I1255,I1255,J1255))</x:f>
        <x:v>Nice to have</x:v>
      </x:c>
      <x:c r="L1255" s="74" t="str">
        <x:f>IF(J1255="","Keep current",IF(J1255=I1255,"Use suggestion","Custom"))</x:f>
        <x:v>Keep current</x:v>
      </x:c>
      <x:c r="M1255" s="71" t="str">
        <x:v>Pending review</x:v>
      </x:c>
      <x:c r="N1255" s="71" t="str">
        <x:v>Normal</x:v>
      </x:c>
      <x:c r="O1255" s="71" t="str">
        <x:v>components/easyt/trip-prep-workspace.tsx</x:v>
      </x:c>
      <x:c r="P1255" s="71" t="str">
        <x:v>TripPrepWorkspace:345</x:v>
      </x:c>
      <x:c r="Q1255" s="71" t="str">
        <x:v>EN (default / shared)</x:v>
      </x:c>
      <x:c r="R1255" s="71" t="str">
        <x:v>Already clear and direct; suggested wording intentionally keeps the current copy.</x:v>
      </x:c>
      <x:c r="S1255" s="75" t="str">
        <x:v>Not applied — review required</x:v>
      </x:c>
    </x:row>
    <x:row r="1256">
      <x:c r="A1256" s="71" t="str">
        <x:v>MRV-59C858E6E0</x:v>
      </x:c>
      <x:c r="B1256" s="71" t="str">
        <x:v>Trip workspace</x:v>
      </x:c>
      <x:c r="C1256" s="71" t="str">
        <x:v>Prep</x:v>
      </x:c>
      <x:c r="D1256" s="71" t="str">
        <x:v>Shared: Prep</x:v>
      </x:c>
      <x:c r="E1256" s="71" t="str">
        <x:v>TripPrepWorkspace</x:v>
      </x:c>
      <x:c r="F1256" s="71" t="str">
        <x:v>Default</x:v>
      </x:c>
      <x:c r="G1256" s="71" t="str">
        <x:v>Label</x:v>
      </x:c>
      <x:c r="H1256" s="71" t="str">
        <x:v>PREP DETAILS</x:v>
      </x:c>
      <x:c r="I1256" s="71" t="str">
        <x:v>PREP DETAILS</x:v>
      </x:c>
      <x:c r="J1256" s="73"/>
      <x:c r="K1256" s="74" t="str">
        <x:f>IF(J1256="",H1256,IF(J1256=I1256,I1256,J1256))</x:f>
        <x:v>PREP DETAILS</x:v>
      </x:c>
      <x:c r="L1256" s="74" t="str">
        <x:f>IF(J1256="","Keep current",IF(J1256=I1256,"Use suggestion","Custom"))</x:f>
        <x:v>Keep current</x:v>
      </x:c>
      <x:c r="M1256" s="71" t="str">
        <x:v>Pending review</x:v>
      </x:c>
      <x:c r="N1256" s="71" t="str">
        <x:v>Normal</x:v>
      </x:c>
      <x:c r="O1256" s="71" t="str">
        <x:v>components/easyt/trip-prep-workspace.tsx</x:v>
      </x:c>
      <x:c r="P1256" s="71" t="str">
        <x:v>TripPrepWorkspace:349</x:v>
      </x:c>
      <x:c r="Q1256" s="71" t="str">
        <x:v>EN (default / shared)</x:v>
      </x:c>
      <x:c r="R1256" s="71" t="str">
        <x:v>Already clear and direct; suggested wording intentionally keeps the current copy.</x:v>
      </x:c>
      <x:c r="S1256" s="75" t="str">
        <x:v>Not applied — review required</x:v>
      </x:c>
    </x:row>
    <x:row r="1257">
      <x:c r="A1257" s="71" t="str">
        <x:v>MRV-28EBA4BD94</x:v>
      </x:c>
      <x:c r="B1257" s="71" t="str">
        <x:v>Trip workspace</x:v>
      </x:c>
      <x:c r="C1257" s="71" t="str">
        <x:v>Prep</x:v>
      </x:c>
      <x:c r="D1257" s="71" t="str">
        <x:v>Shared: Prep</x:v>
      </x:c>
      <x:c r="E1257" s="71" t="str">
        <x:v>TripPrepWorkspace</x:v>
      </x:c>
      <x:c r="F1257" s="71" t="str">
        <x:v>Default</x:v>
      </x:c>
      <x:c r="G1257" s="71" t="str">
        <x:v>Body copy</x:v>
      </x:c>
      <x:c r="H1257" s="71" t="str">
        <x:v>Detailed preparation guidance</x:v>
      </x:c>
      <x:c r="I1257" s="71" t="str">
        <x:v>Detailed preparation guidance</x:v>
      </x:c>
      <x:c r="J1257" s="73"/>
      <x:c r="K1257" s="74" t="str">
        <x:f>IF(J1257="",H1257,IF(J1257=I1257,I1257,J1257))</x:f>
        <x:v>Detailed preparation guidance</x:v>
      </x:c>
      <x:c r="L1257" s="74" t="str">
        <x:f>IF(J1257="","Keep current",IF(J1257=I1257,"Use suggestion","Custom"))</x:f>
        <x:v>Keep current</x:v>
      </x:c>
      <x:c r="M1257" s="71" t="str">
        <x:v>Pending review</x:v>
      </x:c>
      <x:c r="N1257" s="71" t="str">
        <x:v>Normal</x:v>
      </x:c>
      <x:c r="O1257" s="71" t="str">
        <x:v>components/easyt/trip-prep-workspace.tsx</x:v>
      </x:c>
      <x:c r="P1257" s="71" t="str">
        <x:v>TripPrepWorkspace:349</x:v>
      </x:c>
      <x:c r="Q1257" s="71" t="str">
        <x:v>EN (default / shared)</x:v>
      </x:c>
      <x:c r="R1257" s="71" t="str">
        <x:v>Already clear and direct; suggested wording intentionally keeps the current copy.</x:v>
      </x:c>
      <x:c r="S1257" s="75" t="str">
        <x:v>Not applied — review required</x:v>
      </x:c>
    </x:row>
    <x:row r="1258">
      <x:c r="A1258" s="71" t="str">
        <x:v>MRV-6711183118</x:v>
      </x:c>
      <x:c r="B1258" s="71" t="str">
        <x:v>Trip workspace</x:v>
      </x:c>
      <x:c r="C1258" s="71" t="str">
        <x:v>Overview</x:v>
      </x:c>
      <x:c r="D1258" s="71" t="str">
        <x:v>Shared: Overview</x:v>
      </x:c>
      <x:c r="E1258" s="71" t="str">
        <x:v>TripShellTripProvider</x:v>
      </x:c>
      <x:c r="F1258" s="71" t="str">
        <x:v>Default</x:v>
      </x:c>
      <x:c r="G1258" s="71" t="str">
        <x:v>Body copy</x:v>
      </x:c>
      <x:c r="H1258" s="71" t="str">
        <x:v>{window.location.pathname}{window.location.search}{window.location.hash}</x:v>
      </x:c>
      <x:c r="I1258" s="71" t="str">
        <x:v>{window.location.pathname}{window.location.search}{window.location.hash}</x:v>
      </x:c>
      <x:c r="J1258" s="73"/>
      <x:c r="K1258" s="74" t="str">
        <x:f>IF(J1258="",H1258,IF(J1258=I1258,I1258,J1258))</x:f>
        <x:v>{window.location.pathname}{window.location.search}{window.location.hash}</x:v>
      </x:c>
      <x:c r="L1258" s="74" t="str">
        <x:f>IF(J1258="","Keep current",IF(J1258=I1258,"Use suggestion","Custom"))</x:f>
        <x:v>Keep current</x:v>
      </x:c>
      <x:c r="M1258" s="71" t="str">
        <x:v>Pending review</x:v>
      </x:c>
      <x:c r="N1258" s="71" t="str">
        <x:v>Normal</x:v>
      </x:c>
      <x:c r="O1258" s="71" t="str">
        <x:v>components/easyt/trip-shell-client.tsx</x:v>
      </x:c>
      <x:c r="P1258" s="71" t="str">
        <x:v>TripShellTripProvider:57</x:v>
      </x:c>
      <x:c r="Q1258" s="71" t="str">
        <x:v>EN (default / shared)</x:v>
      </x:c>
      <x:c r="R1258" s="71" t="str">
        <x:v>Already clear and direct; suggested wording intentionally keeps the current copy. Dynamic traveller or trip value is represented as a token; user-generated values are excluded.</x:v>
      </x:c>
      <x:c r="S1258" s="75" t="str">
        <x:v>Not applied — review required</x:v>
      </x:c>
    </x:row>
    <x:row r="1259">
      <x:c r="A1259" s="71" t="str">
        <x:v>MRV-DEE0426E28</x:v>
      </x:c>
      <x:c r="B1259" s="71" t="str">
        <x:v>Trip workspace</x:v>
      </x:c>
      <x:c r="C1259" s="71" t="str">
        <x:v>Overview</x:v>
      </x:c>
      <x:c r="D1259" s="71" t="str">
        <x:v>Shared: Overview</x:v>
      </x:c>
      <x:c r="E1259" s="71" t="str">
        <x:v>confirmed</x:v>
      </x:c>
      <x:c r="F1259" s="71" t="str">
        <x:v>Default</x:v>
      </x:c>
      <x:c r="G1259" s="71" t="str">
        <x:v>Body copy</x:v>
      </x:c>
      <x:c r="H1259" s="71" t="str">
        <x:v>Discard the unsynced device copy of “{trip.title}”? The cloud copy will remain, but these device-only edits cannot be recovered.</x:v>
      </x:c>
      <x:c r="I1259" s="71" t="str">
        <x:v>Discard the unsynced device copy of “{trip.title}”? The cloud copy will remain, but these device-only edits cannot be recovered.</x:v>
      </x:c>
      <x:c r="J1259" s="73"/>
      <x:c r="K1259" s="74" t="str">
        <x:f>IF(J1259="",H1259,IF(J1259=I1259,I1259,J1259))</x:f>
        <x:v>Discard the unsynced device copy of “{trip.title}”? The cloud copy will remain, but these device-only edits cannot be recovered.</x:v>
      </x:c>
      <x:c r="L1259" s="74" t="str">
        <x:f>IF(J1259="","Keep current",IF(J1259=I1259,"Use suggestion","Custom"))</x:f>
        <x:v>Keep current</x:v>
      </x:c>
      <x:c r="M1259" s="71" t="str">
        <x:v>Pending review</x:v>
      </x:c>
      <x:c r="N1259" s="71" t="str">
        <x:v>Normal</x:v>
      </x:c>
      <x:c r="O1259" s="71" t="str">
        <x:v>components/easyt/trip-shell-client.tsx</x:v>
      </x:c>
      <x:c r="P1259" s="71" t="str">
        <x:v>confirmed:130</x:v>
      </x:c>
      <x:c r="Q1259" s="71" t="str">
        <x:v>EN (default / shared)</x:v>
      </x:c>
      <x:c r="R125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259" s="75" t="str">
        <x:v>Not applied — review required</x:v>
      </x:c>
    </x:row>
    <x:row r="1260">
      <x:c r="A1260" s="71" t="str">
        <x:v>MRV-BA8E9B8FBF</x:v>
      </x:c>
      <x:c r="B1260" s="71" t="str">
        <x:v>Trip workspace</x:v>
      </x:c>
      <x:c r="C1260" s="71" t="str">
        <x:v>Overview</x:v>
      </x:c>
      <x:c r="D1260" s="71" t="str">
        <x:v>Shared: Overview</x:v>
      </x:c>
      <x:c r="E1260" s="71" t="str">
        <x:v>TripShellTripProvider</x:v>
      </x:c>
      <x:c r="F1260" s="71" t="str">
        <x:v>Session expired</x:v>
      </x:c>
      <x:c r="G1260" s="71" t="str">
        <x:v>Label</x:v>
      </x:c>
      <x:c r="H1260" s="71" t="str">
        <x:v>Your session ended</x:v>
      </x:c>
      <x:c r="I1260" s="71" t="str">
        <x:v>Your session ended</x:v>
      </x:c>
      <x:c r="J1260" s="73"/>
      <x:c r="K1260" s="74" t="str">
        <x:f>IF(J1260="",H1260,IF(J1260=I1260,I1260,J1260))</x:f>
        <x:v>Your session ended</x:v>
      </x:c>
      <x:c r="L1260" s="74" t="str">
        <x:f>IF(J1260="","Keep current",IF(J1260=I1260,"Use suggestion","Custom"))</x:f>
        <x:v>Keep current</x:v>
      </x:c>
      <x:c r="M1260" s="71" t="str">
        <x:v>Pending review</x:v>
      </x:c>
      <x:c r="N1260" s="71" t="str">
        <x:v>High</x:v>
      </x:c>
      <x:c r="O1260" s="71" t="str">
        <x:v>components/easyt/trip-shell-client.tsx</x:v>
      </x:c>
      <x:c r="P1260" s="71" t="str">
        <x:v>TripShellTripProvider:153</x:v>
      </x:c>
      <x:c r="Q1260" s="71" t="str">
        <x:v>EN (default / shared)</x:v>
      </x:c>
      <x:c r="R1260" s="71" t="str">
        <x:v>Already clear and direct; suggested wording intentionally keeps the current copy. Duplicate wording: appears 4 times.</x:v>
      </x:c>
      <x:c r="S1260" s="75" t="str">
        <x:v>Not applied — review required</x:v>
      </x:c>
    </x:row>
    <x:row r="1261">
      <x:c r="A1261" s="71" t="str">
        <x:v>MRV-40E922757C</x:v>
      </x:c>
      <x:c r="B1261" s="71" t="str">
        <x:v>Trip workspace</x:v>
      </x:c>
      <x:c r="C1261" s="71" t="str">
        <x:v>Overview</x:v>
      </x:c>
      <x:c r="D1261" s="71" t="str">
        <x:v>Shared: Overview</x:v>
      </x:c>
      <x:c r="E1261" s="71" t="str">
        <x:v>TripShellTripProvider</x:v>
      </x:c>
      <x:c r="F1261" s="71" t="str">
        <x:v>Default</x:v>
      </x:c>
      <x:c r="G1261" s="71" t="str">
        <x:v>Body copy</x:v>
      </x:c>
      <x:c r="H1261" s="71" t="str">
        <x:v>This trip remains visible and unchanged. Sign in before editing or syncing it.</x:v>
      </x:c>
      <x:c r="I1261" s="71" t="str">
        <x:v>This trip remains visible and unchanged. Sign in before editing or syncing it.</x:v>
      </x:c>
      <x:c r="J1261" s="73"/>
      <x:c r="K1261" s="74" t="str">
        <x:f>IF(J1261="",H1261,IF(J1261=I1261,I1261,J1261))</x:f>
        <x:v>This trip remains visible and unchanged. Sign in before editing or syncing it.</x:v>
      </x:c>
      <x:c r="L1261" s="74" t="str">
        <x:f>IF(J1261="","Keep current",IF(J1261=I1261,"Use suggestion","Custom"))</x:f>
        <x:v>Keep current</x:v>
      </x:c>
      <x:c r="M1261" s="71" t="str">
        <x:v>Pending review</x:v>
      </x:c>
      <x:c r="N1261" s="71" t="str">
        <x:v>Normal</x:v>
      </x:c>
      <x:c r="O1261" s="71" t="str">
        <x:v>components/easyt/trip-shell-client.tsx</x:v>
      </x:c>
      <x:c r="P1261" s="71" t="str">
        <x:v>TripShellTripProvider:154</x:v>
      </x:c>
      <x:c r="Q1261" s="71" t="str">
        <x:v>EN (default / shared)</x:v>
      </x:c>
      <x:c r="R1261" s="71" t="str">
        <x:v>Already clear and direct; suggested wording intentionally keeps the current copy. Terminology watch: ‘trip’ and ‘journey’ both describe the same plan. Terminology watch: ‘stops’, ‘destinations’ and ‘places’ overlap.</x:v>
      </x:c>
      <x:c r="S1261" s="75" t="str">
        <x:v>Not applied — review required</x:v>
      </x:c>
    </x:row>
    <x:row r="1262">
      <x:c r="A1262" s="71" t="str">
        <x:v>MRV-90AB6BEF8F</x:v>
      </x:c>
      <x:c r="B1262" s="71" t="str">
        <x:v>Trip workspace</x:v>
      </x:c>
      <x:c r="C1262" s="71" t="str">
        <x:v>Overview</x:v>
      </x:c>
      <x:c r="D1262" s="71" t="str">
        <x:v>Shared: Overview</x:v>
      </x:c>
      <x:c r="E1262" s="71" t="str">
        <x:v>TripShellTripProvider</x:v>
      </x:c>
      <x:c r="F1262" s="71" t="str">
        <x:v>Default</x:v>
      </x:c>
      <x:c r="G1262" s="71" t="str">
        <x:v>CTA / button</x:v>
      </x:c>
      <x:c r="H1262" s="71" t="str">
        <x:v>Sign in and return here</x:v>
      </x:c>
      <x:c r="I1262" s="71" t="str">
        <x:v>Sign in and return here</x:v>
      </x:c>
      <x:c r="J1262" s="73"/>
      <x:c r="K1262" s="74" t="str">
        <x:f>IF(J1262="",H1262,IF(J1262=I1262,I1262,J1262))</x:f>
        <x:v>Sign in and return here</x:v>
      </x:c>
      <x:c r="L1262" s="74" t="str">
        <x:f>IF(J1262="","Keep current",IF(J1262=I1262,"Use suggestion","Custom"))</x:f>
        <x:v>Keep current</x:v>
      </x:c>
      <x:c r="M1262" s="71" t="str">
        <x:v>Pending review</x:v>
      </x:c>
      <x:c r="N1262" s="71" t="str">
        <x:v>Medium</x:v>
      </x:c>
      <x:c r="O1262" s="71" t="str">
        <x:v>components/easyt/trip-shell-client.tsx</x:v>
      </x:c>
      <x:c r="P1262" s="71" t="str">
        <x:v>TripShellTripProvider:155</x:v>
      </x:c>
      <x:c r="Q1262" s="71" t="str">
        <x:v>EN (default / shared)</x:v>
      </x:c>
      <x:c r="R1262" s="71" t="str">
        <x:v>Already clear and direct; suggested wording intentionally keeps the current copy.</x:v>
      </x:c>
      <x:c r="S1262" s="75" t="str">
        <x:v>Not applied — review required</x:v>
      </x:c>
    </x:row>
    <x:row r="1263">
      <x:c r="A1263" s="71" t="str">
        <x:v>MRV-2FD6F3B8C0</x:v>
      </x:c>
      <x:c r="B1263" s="71" t="str">
        <x:v>Trip workspace</x:v>
      </x:c>
      <x:c r="C1263" s="71" t="str">
        <x:v>Overview</x:v>
      </x:c>
      <x:c r="D1263" s="71" t="str">
        <x:v>Shared: Overview</x:v>
      </x:c>
      <x:c r="E1263" s="71" t="str">
        <x:v>TripShellTripProvider</x:v>
      </x:c>
      <x:c r="F1263" s="71" t="str">
        <x:v>Default</x:v>
      </x:c>
      <x:c r="G1263" s="71" t="str">
        <x:v>Label</x:v>
      </x:c>
      <x:c r="H1263" s="71" t="str">
        <x:v>Device edits kept safe</x:v>
      </x:c>
      <x:c r="I1263" s="71" t="str">
        <x:v>Device edits kept safe</x:v>
      </x:c>
      <x:c r="J1263" s="73"/>
      <x:c r="K1263" s="74" t="str">
        <x:f>IF(J1263="",H1263,IF(J1263=I1263,I1263,J1263))</x:f>
        <x:v>Device edits kept safe</x:v>
      </x:c>
      <x:c r="L1263" s="74" t="str">
        <x:f>IF(J1263="","Keep current",IF(J1263=I1263,"Use suggestion","Custom"))</x:f>
        <x:v>Keep current</x:v>
      </x:c>
      <x:c r="M1263" s="71" t="str">
        <x:v>Pending review</x:v>
      </x:c>
      <x:c r="N1263" s="71" t="str">
        <x:v>Normal</x:v>
      </x:c>
      <x:c r="O1263" s="71" t="str">
        <x:v>components/easyt/trip-shell-client.tsx</x:v>
      </x:c>
      <x:c r="P1263" s="71" t="str">
        <x:v>TripShellTripProvider:162</x:v>
      </x:c>
      <x:c r="Q1263" s="71" t="str">
        <x:v>EN (default / shared)</x:v>
      </x:c>
      <x:c r="R1263" s="71" t="str">
        <x:v>Already clear and direct; suggested wording intentionally keeps the current copy.</x:v>
      </x:c>
      <x:c r="S1263" s="75" t="str">
        <x:v>Not applied — review required</x:v>
      </x:c>
    </x:row>
    <x:row r="1264">
      <x:c r="A1264" s="71" t="str">
        <x:v>MRV-37FF687DBB</x:v>
      </x:c>
      <x:c r="B1264" s="71" t="str">
        <x:v>Trip workspace</x:v>
      </x:c>
      <x:c r="C1264" s="71" t="str">
        <x:v>Overview</x:v>
      </x:c>
      <x:c r="D1264" s="71" t="str">
        <x:v>Shared: Overview</x:v>
      </x:c>
      <x:c r="E1264" s="71" t="str">
        <x:v>TripShellTripProvider</x:v>
      </x:c>
      <x:c r="F1264" s="71" t="str">
        <x:v>Failure / recovery</x:v>
      </x:c>
      <x:c r="G1264" s="71" t="str">
        <x:v>Body copy</x:v>
      </x:c>
      <x:c r="H1264" s="71" t="str">
        <x:v>Morrovia couldn’t discard this device copy because browser storage is unavailable. Your edits remain intact.</x:v>
      </x:c>
      <x:c r="I1264" s="71" t="str">
        <x:v>Morrovia couldn’t discard this device copy because browser storage is unavailable. Your edits remain intact.</x:v>
      </x:c>
      <x:c r="J1264" s="73"/>
      <x:c r="K1264" s="74" t="str">
        <x:f>IF(J1264="",H1264,IF(J1264=I1264,I1264,J1264))</x:f>
        <x:v>Morrovia couldn’t discard this device copy because browser storage is unavailable. Your edits remain intact.</x:v>
      </x:c>
      <x:c r="L1264" s="74" t="str">
        <x:f>IF(J1264="","Keep current",IF(J1264=I1264,"Use suggestion","Custom"))</x:f>
        <x:v>Keep current</x:v>
      </x:c>
      <x:c r="M1264" s="71" t="str">
        <x:v>Pending review</x:v>
      </x:c>
      <x:c r="N1264" s="71" t="str">
        <x:v>High</x:v>
      </x:c>
      <x:c r="O1264" s="71" t="str">
        <x:v>components/easyt/trip-shell-client.tsx</x:v>
      </x:c>
      <x:c r="P1264" s="71" t="str">
        <x:v>TripShellTripProvider:164</x:v>
      </x:c>
      <x:c r="Q1264" s="71" t="str">
        <x:v>EN (default / shared)</x:v>
      </x:c>
      <x:c r="R1264" s="71" t="str">
        <x:v>Already clear and direct; suggested wording intentionally keeps the current copy.</x:v>
      </x:c>
      <x:c r="S1264" s="75" t="str">
        <x:v>Not applied — review required</x:v>
      </x:c>
    </x:row>
    <x:row r="1265">
      <x:c r="A1265" s="71" t="str">
        <x:v>MRV-4AB96E045B</x:v>
      </x:c>
      <x:c r="B1265" s="71" t="str">
        <x:v>Trip workspace</x:v>
      </x:c>
      <x:c r="C1265" s="71" t="str">
        <x:v>Overview</x:v>
      </x:c>
      <x:c r="D1265" s="71" t="str">
        <x:v>Shared: Overview</x:v>
      </x:c>
      <x:c r="E1265" s="71" t="str">
        <x:v>TripShellTripProvider</x:v>
      </x:c>
      <x:c r="F1265" s="71" t="str">
        <x:v>Failure / recovery</x:v>
      </x:c>
      <x:c r="G1265" s="71" t="str">
        <x:v>Body copy</x:v>
      </x:c>
      <x:c r="H1265" s="71" t="str">
        <x:v>You’re viewing the cloud copy. Unsynced edits on this device remain separate until you resume or discard them.</x:v>
      </x:c>
      <x:c r="I1265" s="71" t="str">
        <x:v>You’re viewing the cloud copy. Unsynced edits on this device remain separate until you resume or discard them.</x:v>
      </x:c>
      <x:c r="J1265" s="73"/>
      <x:c r="K1265" s="74" t="str">
        <x:f>IF(J1265="",H1265,IF(J1265=I1265,I1265,J1265))</x:f>
        <x:v>You’re viewing the cloud copy. Unsynced edits on this device remain separate until you resume or discard them.</x:v>
      </x:c>
      <x:c r="L1265" s="74" t="str">
        <x:f>IF(J1265="","Keep current",IF(J1265=I1265,"Use suggestion","Custom"))</x:f>
        <x:v>Keep current</x:v>
      </x:c>
      <x:c r="M1265" s="71" t="str">
        <x:v>Pending review</x:v>
      </x:c>
      <x:c r="N1265" s="71" t="str">
        <x:v>High</x:v>
      </x:c>
      <x:c r="O1265" s="71" t="str">
        <x:v>components/easyt/trip-shell-client.tsx</x:v>
      </x:c>
      <x:c r="P1265" s="71" t="str">
        <x:v>TripShellTripProvider:165</x:v>
      </x:c>
      <x:c r="Q1265" s="71" t="str">
        <x:v>EN (default / shared)</x:v>
      </x:c>
      <x:c r="R1265" s="71" t="str">
        <x:v>Already clear and direct; suggested wording intentionally keeps the current copy.</x:v>
      </x:c>
      <x:c r="S1265" s="75" t="str">
        <x:v>Not applied — review required</x:v>
      </x:c>
    </x:row>
    <x:row r="1266">
      <x:c r="A1266" s="71" t="str">
        <x:v>MRV-14DC233AC6</x:v>
      </x:c>
      <x:c r="B1266" s="71" t="str">
        <x:v>Trip workspace</x:v>
      </x:c>
      <x:c r="C1266" s="71" t="str">
        <x:v>Overview</x:v>
      </x:c>
      <x:c r="D1266" s="71" t="str">
        <x:v>Shared: Overview</x:v>
      </x:c>
      <x:c r="E1266" s="71" t="str">
        <x:v>useTripShellTrip</x:v>
      </x:c>
      <x:c r="F1266" s="71" t="str">
        <x:v>Failure / recovery</x:v>
      </x:c>
      <x:c r="G1266" s="71" t="str">
        <x:v>CTA / button</x:v>
      </x:c>
      <x:c r="H1266" s="71" t="str">
        <x:v>useTripShellTrip must be used inside TripShell</x:v>
      </x:c>
      <x:c r="I1266" s="71" t="str">
        <x:v>useTripShellTrip must be used inside TripShell</x:v>
      </x:c>
      <x:c r="J1266" s="73"/>
      <x:c r="K1266" s="74" t="str">
        <x:f>IF(J1266="",H1266,IF(J1266=I1266,I1266,J1266))</x:f>
        <x:v>useTripShellTrip must be used inside TripShell</x:v>
      </x:c>
      <x:c r="L1266" s="74" t="str">
        <x:f>IF(J1266="","Keep current",IF(J1266=I1266,"Use suggestion","Custom"))</x:f>
        <x:v>Keep current</x:v>
      </x:c>
      <x:c r="M1266" s="71" t="str">
        <x:v>Pending review</x:v>
      </x:c>
      <x:c r="N1266" s="71" t="str">
        <x:v>High</x:v>
      </x:c>
      <x:c r="O1266" s="71" t="str">
        <x:v>components/easyt/trip-shell-client.tsx</x:v>
      </x:c>
      <x:c r="P1266" s="71" t="str">
        <x:v>useTripShellTrip:178</x:v>
      </x:c>
      <x:c r="Q1266" s="71" t="str">
        <x:v>EN (default / shared)</x:v>
      </x:c>
      <x:c r="R1266" s="71" t="str">
        <x:v>Already clear and direct; suggested wording intentionally keeps the current copy.</x:v>
      </x:c>
      <x:c r="S1266" s="75" t="str">
        <x:v>Not applied — review required</x:v>
      </x:c>
    </x:row>
    <x:row r="1267">
      <x:c r="A1267" s="71" t="str">
        <x:v>MRV-DD1583499F</x:v>
      </x:c>
      <x:c r="B1267" s="71" t="str">
        <x:v>Trip workspace</x:v>
      </x:c>
      <x:c r="C1267" s="71" t="str">
        <x:v>Overview</x:v>
      </x:c>
      <x:c r="D1267" s="71" t="str">
        <x:v>Shared: Overview</x:v>
      </x:c>
      <x:c r="E1267" s="71" t="str">
        <x:v>views</x:v>
      </x:c>
      <x:c r="F1267" s="71" t="str">
        <x:v>Default</x:v>
      </x:c>
      <x:c r="G1267" s="71" t="str">
        <x:v>Label</x:v>
      </x:c>
      <x:c r="H1267" s="71" t="str">
        <x:v>Overview</x:v>
      </x:c>
      <x:c r="I1267" s="71" t="str">
        <x:v>Overview</x:v>
      </x:c>
      <x:c r="J1267" s="73"/>
      <x:c r="K1267" s="74" t="str">
        <x:f>IF(J1267="",H1267,IF(J1267=I1267,I1267,J1267))</x:f>
        <x:v>Overview</x:v>
      </x:c>
      <x:c r="L1267" s="74" t="str">
        <x:f>IF(J1267="","Keep current",IF(J1267=I1267,"Use suggestion","Custom"))</x:f>
        <x:v>Keep current</x:v>
      </x:c>
      <x:c r="M1267" s="71" t="str">
        <x:v>Pending review</x:v>
      </x:c>
      <x:c r="N1267" s="71" t="str">
        <x:v>Normal</x:v>
      </x:c>
      <x:c r="O1267" s="71" t="str">
        <x:v>components/easyt/trip-shell-client.tsx</x:v>
      </x:c>
      <x:c r="P1267" s="71" t="str">
        <x:v>views:183</x:v>
      </x:c>
      <x:c r="Q1267" s="71" t="str">
        <x:v>EN (default / shared)</x:v>
      </x:c>
      <x:c r="R1267" s="71" t="str">
        <x:v>Already clear and direct; suggested wording intentionally keeps the current copy. Duplicate wording: appears 2 times.</x:v>
      </x:c>
      <x:c r="S1267" s="75" t="str">
        <x:v>Not applied — review required</x:v>
      </x:c>
    </x:row>
    <x:row r="1268">
      <x:c r="A1268" s="71" t="str">
        <x:v>MRV-35FFFDDDAF</x:v>
      </x:c>
      <x:c r="B1268" s="71" t="str">
        <x:v>Trip workspace</x:v>
      </x:c>
      <x:c r="C1268" s="71" t="str">
        <x:v>Overview</x:v>
      </x:c>
      <x:c r="D1268" s="71" t="str">
        <x:v>Shared: Overview</x:v>
      </x:c>
      <x:c r="E1268" s="71" t="str">
        <x:v>views</x:v>
      </x:c>
      <x:c r="F1268" s="71" t="str">
        <x:v>Default</x:v>
      </x:c>
      <x:c r="G1268" s="71" t="str">
        <x:v>Label</x:v>
      </x:c>
      <x:c r="H1268" s="71" t="str">
        <x:v>Itinerary</x:v>
      </x:c>
      <x:c r="I1268" s="71" t="str">
        <x:v>Itinerary</x:v>
      </x:c>
      <x:c r="J1268" s="73"/>
      <x:c r="K1268" s="74" t="str">
        <x:f>IF(J1268="",H1268,IF(J1268=I1268,I1268,J1268))</x:f>
        <x:v>Itinerary</x:v>
      </x:c>
      <x:c r="L1268" s="74" t="str">
        <x:f>IF(J1268="","Keep current",IF(J1268=I1268,"Use suggestion","Custom"))</x:f>
        <x:v>Keep current</x:v>
      </x:c>
      <x:c r="M1268" s="71" t="str">
        <x:v>Pending review</x:v>
      </x:c>
      <x:c r="N1268" s="71" t="str">
        <x:v>Normal</x:v>
      </x:c>
      <x:c r="O1268" s="71" t="str">
        <x:v>components/easyt/trip-shell-client.tsx</x:v>
      </x:c>
      <x:c r="P1268" s="71" t="str">
        <x:v>views:184</x:v>
      </x:c>
      <x:c r="Q1268" s="71" t="str">
        <x:v>EN (default / shared)</x:v>
      </x:c>
      <x:c r="R1268" s="71" t="str">
        <x:v>Already clear and direct; suggested wording intentionally keeps the current copy. Duplicate wording: appears 3 times.</x:v>
      </x:c>
      <x:c r="S1268" s="75" t="str">
        <x:v>Not applied — review required</x:v>
      </x:c>
    </x:row>
    <x:row r="1269">
      <x:c r="A1269" s="71" t="str">
        <x:v>MRV-AF0D9F5FF9</x:v>
      </x:c>
      <x:c r="B1269" s="71" t="str">
        <x:v>Trip workspace</x:v>
      </x:c>
      <x:c r="C1269" s="71" t="str">
        <x:v>Overview</x:v>
      </x:c>
      <x:c r="D1269" s="71" t="str">
        <x:v>Shared: Overview</x:v>
      </x:c>
      <x:c r="E1269" s="71" t="str">
        <x:v>views</x:v>
      </x:c>
      <x:c r="F1269" s="71" t="str">
        <x:v>Default</x:v>
      </x:c>
      <x:c r="G1269" s="71" t="str">
        <x:v>Label</x:v>
      </x:c>
      <x:c r="H1269" s="71" t="str">
        <x:v>Map</x:v>
      </x:c>
      <x:c r="I1269" s="71" t="str">
        <x:v>Map</x:v>
      </x:c>
      <x:c r="J1269" s="73"/>
      <x:c r="K1269" s="74" t="str">
        <x:f>IF(J1269="",H1269,IF(J1269=I1269,I1269,J1269))</x:f>
        <x:v>Map</x:v>
      </x:c>
      <x:c r="L1269" s="74" t="str">
        <x:f>IF(J1269="","Keep current",IF(J1269=I1269,"Use suggestion","Custom"))</x:f>
        <x:v>Keep current</x:v>
      </x:c>
      <x:c r="M1269" s="71" t="str">
        <x:v>Pending review</x:v>
      </x:c>
      <x:c r="N1269" s="71" t="str">
        <x:v>Normal</x:v>
      </x:c>
      <x:c r="O1269" s="71" t="str">
        <x:v>components/easyt/trip-shell-client.tsx</x:v>
      </x:c>
      <x:c r="P1269" s="71" t="str">
        <x:v>views:185</x:v>
      </x:c>
      <x:c r="Q1269" s="71" t="str">
        <x:v>EN (default / shared)</x:v>
      </x:c>
      <x:c r="R1269" s="71" t="str">
        <x:v>Already clear and direct; suggested wording intentionally keeps the current copy. Duplicate wording: appears 2 times.</x:v>
      </x:c>
      <x:c r="S1269" s="75" t="str">
        <x:v>Not applied — review required</x:v>
      </x:c>
    </x:row>
    <x:row r="1270">
      <x:c r="A1270" s="71" t="str">
        <x:v>MRV-D2D5A57E38</x:v>
      </x:c>
      <x:c r="B1270" s="71" t="str">
        <x:v>Trip workspace</x:v>
      </x:c>
      <x:c r="C1270" s="71" t="str">
        <x:v>Overview</x:v>
      </x:c>
      <x:c r="D1270" s="71" t="str">
        <x:v>Shared: Overview</x:v>
      </x:c>
      <x:c r="E1270" s="71" t="str">
        <x:v>views</x:v>
      </x:c>
      <x:c r="F1270" s="71" t="str">
        <x:v>Default</x:v>
      </x:c>
      <x:c r="G1270" s="71" t="str">
        <x:v>Label</x:v>
      </x:c>
      <x:c r="H1270" s="71" t="str">
        <x:v>Prep</x:v>
      </x:c>
      <x:c r="I1270" s="71" t="str">
        <x:v>Prep</x:v>
      </x:c>
      <x:c r="J1270" s="73"/>
      <x:c r="K1270" s="74" t="str">
        <x:f>IF(J1270="",H1270,IF(J1270=I1270,I1270,J1270))</x:f>
        <x:v>Prep</x:v>
      </x:c>
      <x:c r="L1270" s="74" t="str">
        <x:f>IF(J1270="","Keep current",IF(J1270=I1270,"Use suggestion","Custom"))</x:f>
        <x:v>Keep current</x:v>
      </x:c>
      <x:c r="M1270" s="71" t="str">
        <x:v>Pending review</x:v>
      </x:c>
      <x:c r="N1270" s="71" t="str">
        <x:v>Normal</x:v>
      </x:c>
      <x:c r="O1270" s="71" t="str">
        <x:v>components/easyt/trip-shell-client.tsx</x:v>
      </x:c>
      <x:c r="P1270" s="71" t="str">
        <x:v>views:186</x:v>
      </x:c>
      <x:c r="Q1270" s="71" t="str">
        <x:v>EN (default / shared)</x:v>
      </x:c>
      <x:c r="R1270" s="71" t="str">
        <x:v>Already clear and direct; suggested wording intentionally keeps the current copy. Duplicate wording: appears 2 times.</x:v>
      </x:c>
      <x:c r="S1270" s="75" t="str">
        <x:v>Not applied — review required</x:v>
      </x:c>
    </x:row>
    <x:row r="1271">
      <x:c r="A1271" s="71" t="str">
        <x:v>MRV-131BBCB11A</x:v>
      </x:c>
      <x:c r="B1271" s="71" t="str">
        <x:v>Trip workspace</x:v>
      </x:c>
      <x:c r="C1271" s="71" t="str">
        <x:v>Overview</x:v>
      </x:c>
      <x:c r="D1271" s="71" t="str">
        <x:v>Shared: Overview</x:v>
      </x:c>
      <x:c r="E1271" s="71" t="str">
        <x:v>TripShellNavigation</x:v>
      </x:c>
      <x:c r="F1271" s="71" t="str">
        <x:v>Accessibility / input support</x:v>
      </x:c>
      <x:c r="G1271" s="71" t="str">
        <x:v>Accessibility label</x:v>
      </x:c>
      <x:c r="H1271" s="71" t="str">
        <x:v>Trip workspace</x:v>
      </x:c>
      <x:c r="I1271" s="71" t="str">
        <x:v>Trip workspace</x:v>
      </x:c>
      <x:c r="J1271" s="73"/>
      <x:c r="K1271" s="74" t="str">
        <x:f>IF(J1271="",H1271,IF(J1271=I1271,I1271,J1271))</x:f>
        <x:v>Trip workspace</x:v>
      </x:c>
      <x:c r="L1271" s="74" t="str">
        <x:f>IF(J1271="","Keep current",IF(J1271=I1271,"Use suggestion","Custom"))</x:f>
        <x:v>Keep current</x:v>
      </x:c>
      <x:c r="M1271" s="71" t="str">
        <x:v>Pending review</x:v>
      </x:c>
      <x:c r="N1271" s="71" t="str">
        <x:v>Medium</x:v>
      </x:c>
      <x:c r="O1271" s="71" t="str">
        <x:v>components/easyt/trip-shell-client.tsx</x:v>
      </x:c>
      <x:c r="P1271" s="71" t="str">
        <x:v>TripShellNavigation:204</x:v>
      </x:c>
      <x:c r="Q1271" s="71" t="str">
        <x:v>EN (default / shared)</x:v>
      </x:c>
      <x:c r="R1271" s="71" t="str">
        <x:v>Already clear and direct; suggested wording intentionally keeps the current copy. Terminology watch: ‘trip’ and ‘journey’ both describe the same plan. Terminology watch: ‘stops’, ‘destinations’ and ‘places’ overlap.</x:v>
      </x:c>
      <x:c r="S1271" s="75" t="str">
        <x:v>Not applied — review required</x:v>
      </x:c>
    </x:row>
    <x:row r="1272">
      <x:c r="A1272" s="71" t="str">
        <x:v>MRV-CE0C026A2A</x:v>
      </x:c>
      <x:c r="B1272" s="71" t="str">
        <x:v>Trip workspace</x:v>
      </x:c>
      <x:c r="C1272" s="71" t="str">
        <x:v>Overview</x:v>
      </x:c>
      <x:c r="D1272" s="71" t="str">
        <x:v>Shared: Overview</x:v>
      </x:c>
      <x:c r="E1272" s="71" t="str">
        <x:v>TripShellResolver</x:v>
      </x:c>
      <x:c r="F1272" s="71" t="str">
        <x:v>Default</x:v>
      </x:c>
      <x:c r="G1272" s="71" t="str">
        <x:v>CTA / button</x:v>
      </x:c>
      <x:c r="H1272" s="71" t="str">
        <x:v>Saved on this device</x:v>
      </x:c>
      <x:c r="I1272" s="71" t="str">
        <x:v>Saved on this device</x:v>
      </x:c>
      <x:c r="J1272" s="73"/>
      <x:c r="K1272" s="74" t="str">
        <x:f>IF(J1272="",H1272,IF(J1272=I1272,I1272,J1272))</x:f>
        <x:v>Saved on this device</x:v>
      </x:c>
      <x:c r="L1272" s="74" t="str">
        <x:f>IF(J1272="","Keep current",IF(J1272=I1272,"Use suggestion","Custom"))</x:f>
        <x:v>Keep current</x:v>
      </x:c>
      <x:c r="M1272" s="71" t="str">
        <x:v>Pending review</x:v>
      </x:c>
      <x:c r="N1272" s="71" t="str">
        <x:v>Medium</x:v>
      </x:c>
      <x:c r="O1272" s="71" t="str">
        <x:v>components/easyt/trip-shell-resolver.tsx</x:v>
      </x:c>
      <x:c r="P1272" s="71" t="str">
        <x:v>TripShellResolver:129</x:v>
      </x:c>
      <x:c r="Q1272" s="71" t="str">
        <x:v>EN (default / shared)</x:v>
      </x:c>
      <x:c r="R1272" s="71" t="str">
        <x:v>Already clear and direct; suggested wording intentionally keeps the current copy.</x:v>
      </x:c>
      <x:c r="S1272" s="75" t="str">
        <x:v>Not applied — review required</x:v>
      </x:c>
    </x:row>
    <x:row r="1273">
      <x:c r="A1273" s="71" t="str">
        <x:v>MRV-6ABE041716</x:v>
      </x:c>
      <x:c r="B1273" s="71" t="str">
        <x:v>Trip workspace</x:v>
      </x:c>
      <x:c r="C1273" s="71" t="str">
        <x:v>Overview</x:v>
      </x:c>
      <x:c r="D1273" s="71" t="str">
        <x:v>Shared: Overview</x:v>
      </x:c>
      <x:c r="E1273" s="71" t="str">
        <x:v>TripShellResolver</x:v>
      </x:c>
      <x:c r="F1273" s="71" t="str">
        <x:v>Default</x:v>
      </x:c>
      <x:c r="G1273" s="71" t="str">
        <x:v>Body copy</x:v>
      </x:c>
      <x:c r="H1273" s="71" t="str">
        <x:v>Keep this trip and continue planning on another device.</x:v>
      </x:c>
      <x:c r="I1273" s="71" t="str">
        <x:v>Keep this trip and continue planning on another device.</x:v>
      </x:c>
      <x:c r="J1273" s="73"/>
      <x:c r="K1273" s="74" t="str">
        <x:f>IF(J1273="",H1273,IF(J1273=I1273,I1273,J1273))</x:f>
        <x:v>Keep this trip and continue planning on another device.</x:v>
      </x:c>
      <x:c r="L1273" s="74" t="str">
        <x:f>IF(J1273="","Keep current",IF(J1273=I1273,"Use suggestion","Custom"))</x:f>
        <x:v>Keep current</x:v>
      </x:c>
      <x:c r="M1273" s="71" t="str">
        <x:v>Pending review</x:v>
      </x:c>
      <x:c r="N1273" s="71" t="str">
        <x:v>Normal</x:v>
      </x:c>
      <x:c r="O1273" s="71" t="str">
        <x:v>components/easyt/trip-shell-resolver.tsx</x:v>
      </x:c>
      <x:c r="P1273" s="71" t="str">
        <x:v>TripShellResolver:130</x:v>
      </x:c>
      <x:c r="Q1273" s="71" t="str">
        <x:v>EN (default / shared)</x:v>
      </x:c>
      <x:c r="R1273" s="71" t="str">
        <x:v>Already clear and direct; suggested wording intentionally keeps the current copy. Terminology watch: ‘trip’ and ‘journey’ both describe the same plan. Terminology watch: ‘stops’, ‘destinations’ and ‘places’ overlap.</x:v>
      </x:c>
      <x:c r="S1273" s="75" t="str">
        <x:v>Not applied — review required</x:v>
      </x:c>
    </x:row>
    <x:row r="1274">
      <x:c r="A1274" s="71" t="str">
        <x:v>MRV-ABCB976751</x:v>
      </x:c>
      <x:c r="B1274" s="71" t="str">
        <x:v>Trip workspace</x:v>
      </x:c>
      <x:c r="C1274" s="71" t="str">
        <x:v>Overview</x:v>
      </x:c>
      <x:c r="D1274" s="71" t="str">
        <x:v>Shared: Overview</x:v>
      </x:c>
      <x:c r="E1274" s="71" t="str">
        <x:v>TripShellResolver</x:v>
      </x:c>
      <x:c r="F1274" s="71" t="str">
        <x:v>Default</x:v>
      </x:c>
      <x:c r="G1274" s="71" t="str">
        <x:v>CTA / button</x:v>
      </x:c>
      <x:c r="H1274" s="71" t="str">
        <x:v>Save this trip</x:v>
      </x:c>
      <x:c r="I1274" s="71" t="str">
        <x:v>Save this trip</x:v>
      </x:c>
      <x:c r="J1274" s="73"/>
      <x:c r="K1274" s="74" t="str">
        <x:f>IF(J1274="",H1274,IF(J1274=I1274,I1274,J1274))</x:f>
        <x:v>Save this trip</x:v>
      </x:c>
      <x:c r="L1274" s="74" t="str">
        <x:f>IF(J1274="","Keep current",IF(J1274=I1274,"Use suggestion","Custom"))</x:f>
        <x:v>Keep current</x:v>
      </x:c>
      <x:c r="M1274" s="71" t="str">
        <x:v>Pending review</x:v>
      </x:c>
      <x:c r="N1274" s="71" t="str">
        <x:v>Medium</x:v>
      </x:c>
      <x:c r="O1274" s="71" t="str">
        <x:v>components/easyt/trip-shell-resolver.tsx</x:v>
      </x:c>
      <x:c r="P1274" s="71" t="str">
        <x:v>TripShellResolver:131</x:v>
      </x:c>
      <x:c r="Q1274" s="71" t="str">
        <x:v>EN (default / shared)</x:v>
      </x:c>
      <x:c r="R1274" s="71" t="str">
        <x:v>Already clear and direct; suggested wording intentionally keeps the current copy. Duplicate wording: appears 2 times. Terminology watch: ‘trip’ and ‘journey’ both describe the same plan. Terminology watch: ‘stops’, ‘destinations’ and ‘places’ overlap.</x:v>
      </x:c>
      <x:c r="S1274" s="75" t="str">
        <x:v>Not applied — review required</x:v>
      </x:c>
    </x:row>
    <x:row r="1275">
      <x:c r="A1275" s="71" t="str">
        <x:v>MRV-0EB2AFD4DA</x:v>
      </x:c>
      <x:c r="B1275" s="71" t="str">
        <x:v>Trip workspace</x:v>
      </x:c>
      <x:c r="C1275" s="71" t="str">
        <x:v>Overview</x:v>
      </x:c>
      <x:c r="D1275" s="71" t="str">
        <x:v>Shared: Overview</x:v>
      </x:c>
      <x:c r="E1275" s="71" t="str">
        <x:v>TripShellResolver</x:v>
      </x:c>
      <x:c r="F1275" s="71" t="str">
        <x:v>Default</x:v>
      </x:c>
      <x:c r="G1275" s="71" t="str">
        <x:v>Label</x:v>
      </x:c>
      <x:c r="H1275" s="71" t="str">
        <x:v>Trip saved to your account</x:v>
      </x:c>
      <x:c r="I1275" s="71" t="str">
        <x:v>Trip saved to your account</x:v>
      </x:c>
      <x:c r="J1275" s="73"/>
      <x:c r="K1275" s="74" t="str">
        <x:f>IF(J1275="",H1275,IF(J1275=I1275,I1275,J1275))</x:f>
        <x:v>Trip saved to your account</x:v>
      </x:c>
      <x:c r="L1275" s="74" t="str">
        <x:f>IF(J1275="","Keep current",IF(J1275=I1275,"Use suggestion","Custom"))</x:f>
        <x:v>Keep current</x:v>
      </x:c>
      <x:c r="M1275" s="71" t="str">
        <x:v>Pending review</x:v>
      </x:c>
      <x:c r="N1275" s="71" t="str">
        <x:v>Normal</x:v>
      </x:c>
      <x:c r="O1275" s="71" t="str">
        <x:v>components/easyt/trip-shell-resolver.tsx</x:v>
      </x:c>
      <x:c r="P1275" s="71" t="str">
        <x:v>TripShellResolver:134</x:v>
      </x:c>
      <x:c r="Q1275" s="71" t="str">
        <x:v>EN (default / shared)</x:v>
      </x:c>
      <x:c r="R1275" s="71" t="str">
        <x:v>Already clear and direct; suggested wording intentionally keeps the current copy. Terminology watch: ‘trip’ and ‘journey’ both describe the same plan. Terminology watch: ‘stops’, ‘destinations’ and ‘places’ overlap.</x:v>
      </x:c>
      <x:c r="S1275" s="75" t="str">
        <x:v>Not applied — review required</x:v>
      </x:c>
    </x:row>
    <x:row r="1276">
      <x:c r="A1276" s="71" t="str">
        <x:v>MRV-D04A72D6B9</x:v>
      </x:c>
      <x:c r="B1276" s="71" t="str">
        <x:v>Trip workspace</x:v>
      </x:c>
      <x:c r="C1276" s="71" t="str">
        <x:v>Overview</x:v>
      </x:c>
      <x:c r="D1276" s="71" t="str">
        <x:v>Shared: Overview</x:v>
      </x:c>
      <x:c r="E1276" s="71" t="str">
        <x:v>TripShellResolver</x:v>
      </x:c>
      <x:c r="F1276" s="71" t="str">
        <x:v>Default</x:v>
      </x:c>
      <x:c r="G1276" s="71" t="str">
        <x:v>Body copy</x:v>
      </x:c>
      <x:c r="H1276" s="71" t="str">
        <x:v>You can continue this same trip on another device.</x:v>
      </x:c>
      <x:c r="I1276" s="71" t="str">
        <x:v>You can continue this same trip on another device.</x:v>
      </x:c>
      <x:c r="J1276" s="73"/>
      <x:c r="K1276" s="74" t="str">
        <x:f>IF(J1276="",H1276,IF(J1276=I1276,I1276,J1276))</x:f>
        <x:v>You can continue this same trip on another device.</x:v>
      </x:c>
      <x:c r="L1276" s="74" t="str">
        <x:f>IF(J1276="","Keep current",IF(J1276=I1276,"Use suggestion","Custom"))</x:f>
        <x:v>Keep current</x:v>
      </x:c>
      <x:c r="M1276" s="71" t="str">
        <x:v>Pending review</x:v>
      </x:c>
      <x:c r="N1276" s="71" t="str">
        <x:v>Normal</x:v>
      </x:c>
      <x:c r="O1276" s="71" t="str">
        <x:v>components/easyt/trip-shell-resolver.tsx</x:v>
      </x:c>
      <x:c r="P1276" s="71" t="str">
        <x:v>TripShellResolver:135</x:v>
      </x:c>
      <x:c r="Q1276" s="71" t="str">
        <x:v>EN (default / shared)</x:v>
      </x:c>
      <x:c r="R1276" s="71" t="str">
        <x:v>Already clear and direct; suggested wording intentionally keeps the current copy. Terminology watch: ‘trip’ and ‘journey’ both describe the same plan. Terminology watch: ‘stops’, ‘destinations’ and ‘places’ overlap.</x:v>
      </x:c>
      <x:c r="S1276" s="75" t="str">
        <x:v>Not applied — review required</x:v>
      </x:c>
    </x:row>
    <x:row r="1277">
      <x:c r="A1277" s="71" t="str">
        <x:v>MRV-4AFE8D750D</x:v>
      </x:c>
      <x:c r="B1277" s="71" t="str">
        <x:v>Trip workspace</x:v>
      </x:c>
      <x:c r="C1277" s="71" t="str">
        <x:v>Overview</x:v>
      </x:c>
      <x:c r="D1277" s="71" t="str">
        <x:v>Shared: Overview</x:v>
      </x:c>
      <x:c r="E1277" s="71" t="str">
        <x:v>TripShellResolver</x:v>
      </x:c>
      <x:c r="F1277" s="71" t="str">
        <x:v>Default</x:v>
      </x:c>
      <x:c r="G1277" s="71" t="str">
        <x:v>CTA / button</x:v>
      </x:c>
      <x:c r="H1277" s="71" t="str">
        <x:v>Sign in to finish syncing</x:v>
      </x:c>
      <x:c r="I1277" s="71" t="str">
        <x:v>Sign in to finish syncing</x:v>
      </x:c>
      <x:c r="J1277" s="73"/>
      <x:c r="K1277" s="74" t="str">
        <x:f>IF(J1277="",H1277,IF(J1277=I1277,I1277,J1277))</x:f>
        <x:v>Sign in to finish syncing</x:v>
      </x:c>
      <x:c r="L1277" s="74" t="str">
        <x:f>IF(J1277="","Keep current",IF(J1277=I1277,"Use suggestion","Custom"))</x:f>
        <x:v>Keep current</x:v>
      </x:c>
      <x:c r="M1277" s="71" t="str">
        <x:v>Pending review</x:v>
      </x:c>
      <x:c r="N1277" s="71" t="str">
        <x:v>Medium</x:v>
      </x:c>
      <x:c r="O1277" s="71" t="str">
        <x:v>components/easyt/trip-shell-resolver.tsx</x:v>
      </x:c>
      <x:c r="P1277" s="71" t="str">
        <x:v>TripShellResolver:138</x:v>
      </x:c>
      <x:c r="Q1277" s="71" t="str">
        <x:v>EN (default / shared)</x:v>
      </x:c>
      <x:c r="R1277" s="71" t="str">
        <x:v>Already clear and direct; suggested wording intentionally keeps the current copy. Duplicate wording: appears 2 times.</x:v>
      </x:c>
      <x:c r="S1277" s="75" t="str">
        <x:v>Not applied — review required</x:v>
      </x:c>
    </x:row>
    <x:row r="1278">
      <x:c r="A1278" s="71" t="str">
        <x:v>MRV-2B26A32E9D</x:v>
      </x:c>
      <x:c r="B1278" s="71" t="str">
        <x:v>Trip workspace</x:v>
      </x:c>
      <x:c r="C1278" s="71" t="str">
        <x:v>Overview</x:v>
      </x:c>
      <x:c r="D1278" s="71" t="str">
        <x:v>Shared: Overview</x:v>
      </x:c>
      <x:c r="E1278" s="71" t="str">
        <x:v>TripShellResolver</x:v>
      </x:c>
      <x:c r="F1278" s="71" t="str">
        <x:v>Default</x:v>
      </x:c>
      <x:c r="G1278" s="71" t="str">
        <x:v>Label</x:v>
      </x:c>
      <x:c r="H1278" s="71" t="str">
        <x:v>Cloud copy kept safe</x:v>
      </x:c>
      <x:c r="I1278" s="71" t="str">
        <x:v>Cloud copy kept safe</x:v>
      </x:c>
      <x:c r="J1278" s="73"/>
      <x:c r="K1278" s="74" t="str">
        <x:f>IF(J1278="",H1278,IF(J1278=I1278,I1278,J1278))</x:f>
        <x:v>Cloud copy kept safe</x:v>
      </x:c>
      <x:c r="L1278" s="74" t="str">
        <x:f>IF(J1278="","Keep current",IF(J1278=I1278,"Use suggestion","Custom"))</x:f>
        <x:v>Keep current</x:v>
      </x:c>
      <x:c r="M1278" s="71" t="str">
        <x:v>Pending review</x:v>
      </x:c>
      <x:c r="N1278" s="71" t="str">
        <x:v>Normal</x:v>
      </x:c>
      <x:c r="O1278" s="71" t="str">
        <x:v>components/easyt/trip-shell-resolver.tsx</x:v>
      </x:c>
      <x:c r="P1278" s="71" t="str">
        <x:v>TripShellResolver:138</x:v>
      </x:c>
      <x:c r="Q1278" s="71" t="str">
        <x:v>EN (default / shared)</x:v>
      </x:c>
      <x:c r="R1278" s="71" t="str">
        <x:v>Already clear and direct; suggested wording intentionally keeps the current copy. Duplicate wording: appears 2 times.</x:v>
      </x:c>
      <x:c r="S1278" s="75" t="str">
        <x:v>Not applied — review required</x:v>
      </x:c>
    </x:row>
    <x:row r="1279">
      <x:c r="A1279" s="71" t="str">
        <x:v>MRV-D2A08DAEB1</x:v>
      </x:c>
      <x:c r="B1279" s="71" t="str">
        <x:v>Trip workspace</x:v>
      </x:c>
      <x:c r="C1279" s="71" t="str">
        <x:v>Overview</x:v>
      </x:c>
      <x:c r="D1279" s="71" t="str">
        <x:v>Shared: Overview</x:v>
      </x:c>
      <x:c r="E1279" s="71" t="str">
        <x:v>TripShellResolver</x:v>
      </x:c>
      <x:c r="F1279" s="71" t="str">
        <x:v>Default</x:v>
      </x:c>
      <x:c r="G1279" s="71" t="str">
        <x:v>Label</x:v>
      </x:c>
      <x:c r="H1279" s="71" t="str">
        <x:v>Trip not synced yet</x:v>
      </x:c>
      <x:c r="I1279" s="71" t="str">
        <x:v>Trip not synced yet</x:v>
      </x:c>
      <x:c r="J1279" s="73"/>
      <x:c r="K1279" s="74" t="str">
        <x:f>IF(J1279="",H1279,IF(J1279=I1279,I1279,J1279))</x:f>
        <x:v>Trip not synced yet</x:v>
      </x:c>
      <x:c r="L1279" s="74" t="str">
        <x:f>IF(J1279="","Keep current",IF(J1279=I1279,"Use suggestion","Custom"))</x:f>
        <x:v>Keep current</x:v>
      </x:c>
      <x:c r="M1279" s="71" t="str">
        <x:v>Pending review</x:v>
      </x:c>
      <x:c r="N1279" s="71" t="str">
        <x:v>Normal</x:v>
      </x:c>
      <x:c r="O1279" s="71" t="str">
        <x:v>components/easyt/trip-shell-resolver.tsx</x:v>
      </x:c>
      <x:c r="P1279" s="71" t="str">
        <x:v>TripShellResolver:138</x:v>
      </x:c>
      <x:c r="Q1279" s="71" t="str">
        <x:v>EN (default / shared)</x:v>
      </x:c>
      <x:c r="R1279" s="71" t="str">
        <x:v>Already clear and direct; suggested wording intentionally keeps the current copy. Duplicate wording: appears 2 times. Terminology watch: ‘trip’ and ‘journey’ both describe the same plan. Terminology watch: ‘stops’, ‘destinations’ and ‘places’ overlap.</x:v>
      </x:c>
      <x:c r="S1279" s="75" t="str">
        <x:v>Not applied — review required</x:v>
      </x:c>
    </x:row>
    <x:row r="1280">
      <x:c r="A1280" s="71" t="str">
        <x:v>MRV-F5B8806255</x:v>
      </x:c>
      <x:c r="B1280" s="71" t="str">
        <x:v>Trip workspace</x:v>
      </x:c>
      <x:c r="C1280" s="71" t="str">
        <x:v>Overview</x:v>
      </x:c>
      <x:c r="D1280" s="71" t="str">
        <x:v>Shared: Overview</x:v>
      </x:c>
      <x:c r="E1280" s="71" t="str">
        <x:v>TripShellResolver</x:v>
      </x:c>
      <x:c r="F1280" s="71" t="str">
        <x:v>Offline / network failure</x:v>
      </x:c>
      <x:c r="G1280" s="71" t="str">
        <x:v>Body copy</x:v>
      </x:c>
      <x:c r="H1280" s="71" t="str">
        <x:v>Your session ended, but this trip remains saved on this device.</x:v>
      </x:c>
      <x:c r="I1280" s="71" t="str">
        <x:v>Your session ended, but this trip remains saved on this device.</x:v>
      </x:c>
      <x:c r="J1280" s="73"/>
      <x:c r="K1280" s="74" t="str">
        <x:f>IF(J1280="",H1280,IF(J1280=I1280,I1280,J1280))</x:f>
        <x:v>Your session ended, but this trip remains saved on this device.</x:v>
      </x:c>
      <x:c r="L1280" s="74" t="str">
        <x:f>IF(J1280="","Keep current",IF(J1280=I1280,"Use suggestion","Custom"))</x:f>
        <x:v>Keep current</x:v>
      </x:c>
      <x:c r="M1280" s="71" t="str">
        <x:v>Pending review</x:v>
      </x:c>
      <x:c r="N1280" s="71" t="str">
        <x:v>High</x:v>
      </x:c>
      <x:c r="O1280" s="71" t="str">
        <x:v>components/easyt/trip-shell-resolver.tsx</x:v>
      </x:c>
      <x:c r="P1280" s="71" t="str">
        <x:v>TripShellResolver:139</x:v>
      </x:c>
      <x:c r="Q1280" s="71" t="str">
        <x:v>EN (default / shared)</x:v>
      </x:c>
      <x:c r="R1280" s="71" t="str">
        <x:v>Already clear and direct; suggested wording intentionally keeps the current copy. Terminology watch: ‘trip’ and ‘journey’ both describe the same plan. Terminology watch: ‘stops’, ‘destinations’ and ‘places’ overlap.</x:v>
      </x:c>
      <x:c r="S1280" s="75" t="str">
        <x:v>Not applied — review required</x:v>
      </x:c>
    </x:row>
    <x:row r="1281">
      <x:c r="A1281" s="71" t="str">
        <x:v>MRV-7513520D88</x:v>
      </x:c>
      <x:c r="B1281" s="71" t="str">
        <x:v>Trip workspace</x:v>
      </x:c>
      <x:c r="C1281" s="71" t="str">
        <x:v>Overview</x:v>
      </x:c>
      <x:c r="D1281" s="71" t="str">
        <x:v>Shared: Overview</x:v>
      </x:c>
      <x:c r="E1281" s="71" t="str">
        <x:v>TripShellResolver</x:v>
      </x:c>
      <x:c r="F1281" s="71" t="str">
        <x:v>Offline / network failure</x:v>
      </x:c>
      <x:c r="G1281" s="71" t="str">
        <x:v>Body copy</x:v>
      </x:c>
      <x:c r="H1281" s="71" t="str">
        <x:v>Morrovia kept the existing cloud copy and did not remove this device’s copy.</x:v>
      </x:c>
      <x:c r="I1281" s="71" t="str">
        <x:v>Morrovia kept the existing cloud copy and did not remove this device’s copy.</x:v>
      </x:c>
      <x:c r="J1281" s="73"/>
      <x:c r="K1281" s="74" t="str">
        <x:f>IF(J1281="",H1281,IF(J1281=I1281,I1281,J1281))</x:f>
        <x:v>Morrovia kept the existing cloud copy and did not remove this device’s copy.</x:v>
      </x:c>
      <x:c r="L1281" s="74" t="str">
        <x:f>IF(J1281="","Keep current",IF(J1281=I1281,"Use suggestion","Custom"))</x:f>
        <x:v>Keep current</x:v>
      </x:c>
      <x:c r="M1281" s="71" t="str">
        <x:v>Pending review</x:v>
      </x:c>
      <x:c r="N1281" s="71" t="str">
        <x:v>High</x:v>
      </x:c>
      <x:c r="O1281" s="71" t="str">
        <x:v>components/easyt/trip-shell-resolver.tsx</x:v>
      </x:c>
      <x:c r="P1281" s="71" t="str">
        <x:v>TripShellResolver:139</x:v>
      </x:c>
      <x:c r="Q1281" s="71" t="str">
        <x:v>EN (default / shared)</x:v>
      </x:c>
      <x:c r="R1281" s="71" t="str">
        <x:v>Already clear and direct; suggested wording intentionally keeps the current copy.</x:v>
      </x:c>
      <x:c r="S1281" s="75" t="str">
        <x:v>Not applied — review required</x:v>
      </x:c>
    </x:row>
    <x:row r="1282">
      <x:c r="A1282" s="71" t="str">
        <x:v>MRV-FE55DB5272</x:v>
      </x:c>
      <x:c r="B1282" s="71" t="str">
        <x:v>Trip workspace</x:v>
      </x:c>
      <x:c r="C1282" s="71" t="str">
        <x:v>Overview</x:v>
      </x:c>
      <x:c r="D1282" s="71" t="str">
        <x:v>Shared: Overview</x:v>
      </x:c>
      <x:c r="E1282" s="71" t="str">
        <x:v>TripShellResolver</x:v>
      </x:c>
      <x:c r="F1282" s="71" t="str">
        <x:v>Offline / network failure</x:v>
      </x:c>
      <x:c r="G1282" s="71" t="str">
        <x:v>Body copy</x:v>
      </x:c>
      <x:c r="H1282" s="71" t="str">
        <x:v>Your trip is still safe on this device. Check your connection and try again.</x:v>
      </x:c>
      <x:c r="I1282" s="71" t="str">
        <x:v>Your trip is still safe on this device. Check your connection and try again.</x:v>
      </x:c>
      <x:c r="J1282" s="73"/>
      <x:c r="K1282" s="74" t="str">
        <x:f>IF(J1282="",H1282,IF(J1282=I1282,I1282,J1282))</x:f>
        <x:v>Your trip is still safe on this device. Check your connection and try again.</x:v>
      </x:c>
      <x:c r="L1282" s="74" t="str">
        <x:f>IF(J1282="","Keep current",IF(J1282=I1282,"Use suggestion","Custom"))</x:f>
        <x:v>Keep current</x:v>
      </x:c>
      <x:c r="M1282" s="71" t="str">
        <x:v>Pending review</x:v>
      </x:c>
      <x:c r="N1282" s="71" t="str">
        <x:v>High</x:v>
      </x:c>
      <x:c r="O1282" s="71" t="str">
        <x:v>components/easyt/trip-shell-resolver.tsx</x:v>
      </x:c>
      <x:c r="P1282" s="71" t="str">
        <x:v>TripShellResolver:139</x:v>
      </x:c>
      <x:c r="Q1282" s="71" t="str">
        <x:v>EN (default / shared)</x:v>
      </x:c>
      <x:c r="R1282" s="71" t="str">
        <x:v>Already clear and direct; suggested wording intentionally keeps the current copy. Terminology watch: ‘trip’ and ‘journey’ both describe the same plan. Terminology watch: ‘stops’, ‘destinations’ and ‘places’ overlap.</x:v>
      </x:c>
      <x:c r="S1282" s="75" t="str">
        <x:v>Not applied — review required</x:v>
      </x:c>
    </x:row>
    <x:row r="1283">
      <x:c r="A1283" s="71" t="str">
        <x:v>MRV-A16DA76B61</x:v>
      </x:c>
      <x:c r="B1283" s="71" t="str">
        <x:v>Trip workspace</x:v>
      </x:c>
      <x:c r="C1283" s="71" t="str">
        <x:v>Overview</x:v>
      </x:c>
      <x:c r="D1283" s="71" t="str">
        <x:v>Shared: Overview</x:v>
      </x:c>
      <x:c r="E1283" s="71" t="str">
        <x:v>TripShellResolver</x:v>
      </x:c>
      <x:c r="F1283" s="71" t="str">
        <x:v>Loading / in progress</x:v>
      </x:c>
      <x:c r="G1283" s="71" t="str">
        <x:v>CTA / button</x:v>
      </x:c>
      <x:c r="H1283" s="71" t="str">
        <x:v>Try again</x:v>
      </x:c>
      <x:c r="I1283" s="71" t="str">
        <x:v>Try again</x:v>
      </x:c>
      <x:c r="J1283" s="73"/>
      <x:c r="K1283" s="74" t="str">
        <x:f>IF(J1283="",H1283,IF(J1283=I1283,I1283,J1283))</x:f>
        <x:v>Try again</x:v>
      </x:c>
      <x:c r="L1283" s="74" t="str">
        <x:f>IF(J1283="","Keep current",IF(J1283=I1283,"Use suggestion","Custom"))</x:f>
        <x:v>Keep current</x:v>
      </x:c>
      <x:c r="M1283" s="71" t="str">
        <x:v>Pending review</x:v>
      </x:c>
      <x:c r="N1283" s="71" t="str">
        <x:v>Medium</x:v>
      </x:c>
      <x:c r="O1283" s="71" t="str">
        <x:v>components/easyt/trip-shell-resolver.tsx</x:v>
      </x:c>
      <x:c r="P1283" s="71" t="str">
        <x:v>TripShellResolver:140</x:v>
      </x:c>
      <x:c r="Q1283" s="71" t="str">
        <x:v>EN (default / shared)</x:v>
      </x:c>
      <x:c r="R1283" s="71" t="str">
        <x:v>Already clear and direct; suggested wording intentionally keeps the current copy. Duplicate wording: appears 7 times.</x:v>
      </x:c>
      <x:c r="S1283" s="75" t="str">
        <x:v>Not applied — review required</x:v>
      </x:c>
    </x:row>
    <x:row r="1284">
      <x:c r="A1284" s="71" t="str">
        <x:v>MRV-2E2E4B9FB6</x:v>
      </x:c>
      <x:c r="B1284" s="71" t="str">
        <x:v>Trip workspace</x:v>
      </x:c>
      <x:c r="C1284" s="71" t="str">
        <x:v>Overview</x:v>
      </x:c>
      <x:c r="D1284" s="71" t="str">
        <x:v>Shared: Overview</x:v>
      </x:c>
      <x:c r="E1284" s="71" t="str">
        <x:v>TripShellResolver</x:v>
      </x:c>
      <x:c r="F1284" s="71" t="str">
        <x:v>Session expired</x:v>
      </x:c>
      <x:c r="G1284" s="71" t="str">
        <x:v>CTA / button</x:v>
      </x:c>
      <x:c r="H1284" s="71" t="str">
        <x:v>Sign in again</x:v>
      </x:c>
      <x:c r="I1284" s="71" t="str">
        <x:v>Sign in again</x:v>
      </x:c>
      <x:c r="J1284" s="73"/>
      <x:c r="K1284" s="74" t="str">
        <x:f>IF(J1284="",H1284,IF(J1284=I1284,I1284,J1284))</x:f>
        <x:v>Sign in again</x:v>
      </x:c>
      <x:c r="L1284" s="74" t="str">
        <x:f>IF(J1284="","Keep current",IF(J1284=I1284,"Use suggestion","Custom"))</x:f>
        <x:v>Keep current</x:v>
      </x:c>
      <x:c r="M1284" s="71" t="str">
        <x:v>Pending review</x:v>
      </x:c>
      <x:c r="N1284" s="71" t="str">
        <x:v>High</x:v>
      </x:c>
      <x:c r="O1284" s="71" t="str">
        <x:v>components/easyt/trip-shell-resolver.tsx</x:v>
      </x:c>
      <x:c r="P1284" s="71" t="str">
        <x:v>TripShellResolver:141</x:v>
      </x:c>
      <x:c r="Q1284" s="71" t="str">
        <x:v>EN (default / shared)</x:v>
      </x:c>
      <x:c r="R1284" s="71" t="str">
        <x:v>Already clear and direct; suggested wording intentionally keeps the current copy. Duplicate wording: appears 8 times.</x:v>
      </x:c>
      <x:c r="S1284" s="75" t="str">
        <x:v>Not applied — review required</x:v>
      </x:c>
    </x:row>
    <x:row r="1285">
      <x:c r="A1285" s="71" t="str">
        <x:v>MRV-EA31150D69</x:v>
      </x:c>
      <x:c r="B1285" s="71" t="str">
        <x:v>Trip workspace</x:v>
      </x:c>
      <x:c r="C1285" s="71" t="str">
        <x:v>Overview</x:v>
      </x:c>
      <x:c r="D1285" s="71" t="str">
        <x:v>Shared: Overview</x:v>
      </x:c>
      <x:c r="E1285" s="71" t="str">
        <x:v>TripShellResolver</x:v>
      </x:c>
      <x:c r="F1285" s="71" t="str">
        <x:v>Default</x:v>
      </x:c>
      <x:c r="G1285" s="71" t="str">
        <x:v>CTA / button</x:v>
      </x:c>
      <x:c r="H1285" s="71" t="str">
        <x:v>Open device copy</x:v>
      </x:c>
      <x:c r="I1285" s="71" t="str">
        <x:v>Open device copy</x:v>
      </x:c>
      <x:c r="J1285" s="73"/>
      <x:c r="K1285" s="74" t="str">
        <x:f>IF(J1285="",H1285,IF(J1285=I1285,I1285,J1285))</x:f>
        <x:v>Open device copy</x:v>
      </x:c>
      <x:c r="L1285" s="74" t="str">
        <x:f>IF(J1285="","Keep current",IF(J1285=I1285,"Use suggestion","Custom"))</x:f>
        <x:v>Keep current</x:v>
      </x:c>
      <x:c r="M1285" s="71" t="str">
        <x:v>Pending review</x:v>
      </x:c>
      <x:c r="N1285" s="71" t="str">
        <x:v>Medium</x:v>
      </x:c>
      <x:c r="O1285" s="71" t="str">
        <x:v>components/easyt/trip-shell-resolver.tsx</x:v>
      </x:c>
      <x:c r="P1285" s="71" t="str">
        <x:v>TripShellResolver:142</x:v>
      </x:c>
      <x:c r="Q1285" s="71" t="str">
        <x:v>EN (default / shared)</x:v>
      </x:c>
      <x:c r="R1285" s="71" t="str">
        <x:v>Already clear and direct; suggested wording intentionally keeps the current copy. Duplicate wording: appears 4 times.</x:v>
      </x:c>
      <x:c r="S1285" s="75" t="str">
        <x:v>Not applied — review required</x:v>
      </x:c>
    </x:row>
    <x:row r="1286">
      <x:c r="A1286" s="71" t="str">
        <x:v>MRV-774387A5FF</x:v>
      </x:c>
      <x:c r="B1286" s="71" t="str">
        <x:v>Trip workspace</x:v>
      </x:c>
      <x:c r="C1286" s="71" t="str">
        <x:v>Overview</x:v>
      </x:c>
      <x:c r="D1286" s="71" t="str">
        <x:v>Shared: Overview</x:v>
      </x:c>
      <x:c r="E1286" s="71" t="str">
        <x:v>statusLabel</x:v>
      </x:c>
      <x:c r="F1286" s="71" t="str">
        <x:v>Default</x:v>
      </x:c>
      <x:c r="G1286" s="71" t="str">
        <x:v>CTA / button</x:v>
      </x:c>
      <x:c r="H1286" s="71" t="str">
        <x:v>Planned</x:v>
      </x:c>
      <x:c r="I1286" s="71" t="str">
        <x:v>Planned</x:v>
      </x:c>
      <x:c r="J1286" s="73"/>
      <x:c r="K1286" s="74" t="str">
        <x:f>IF(J1286="",H1286,IF(J1286=I1286,I1286,J1286))</x:f>
        <x:v>Planned</x:v>
      </x:c>
      <x:c r="L1286" s="74" t="str">
        <x:f>IF(J1286="","Keep current",IF(J1286=I1286,"Use suggestion","Custom"))</x:f>
        <x:v>Keep current</x:v>
      </x:c>
      <x:c r="M1286" s="71" t="str">
        <x:v>Pending review</x:v>
      </x:c>
      <x:c r="N1286" s="71" t="str">
        <x:v>Medium</x:v>
      </x:c>
      <x:c r="O1286" s="71" t="str">
        <x:v>components/easyt/trip-shell.tsx</x:v>
      </x:c>
      <x:c r="P1286" s="71" t="str">
        <x:v>statusLabel:19</x:v>
      </x:c>
      <x:c r="Q1286" s="71" t="str">
        <x:v>EN (default / shared)</x:v>
      </x:c>
      <x:c r="R1286" s="71" t="str">
        <x:v>Already clear and direct; suggested wording intentionally keeps the current copy. Duplicate wording: appears 2 times.</x:v>
      </x:c>
      <x:c r="S1286" s="75" t="str">
        <x:v>Not applied — review required</x:v>
      </x:c>
    </x:row>
    <x:row r="1287">
      <x:c r="A1287" s="71" t="str">
        <x:v>MRV-965163E6E7</x:v>
      </x:c>
      <x:c r="B1287" s="71" t="str">
        <x:v>Trip workspace</x:v>
      </x:c>
      <x:c r="C1287" s="71" t="str">
        <x:v>Overview</x:v>
      </x:c>
      <x:c r="D1287" s="71" t="str">
        <x:v>Shared: Overview</x:v>
      </x:c>
      <x:c r="E1287" s="71" t="str">
        <x:v>statusLabel</x:v>
      </x:c>
      <x:c r="F1287" s="71" t="str">
        <x:v>Default</x:v>
      </x:c>
      <x:c r="G1287" s="71" t="str">
        <x:v>CTA / button</x:v>
      </x:c>
      <x:c r="H1287" s="71" t="str">
        <x:v>Archived</x:v>
      </x:c>
      <x:c r="I1287" s="71" t="str">
        <x:v>Archived</x:v>
      </x:c>
      <x:c r="J1287" s="73"/>
      <x:c r="K1287" s="74" t="str">
        <x:f>IF(J1287="",H1287,IF(J1287=I1287,I1287,J1287))</x:f>
        <x:v>Archived</x:v>
      </x:c>
      <x:c r="L1287" s="74" t="str">
        <x:f>IF(J1287="","Keep current",IF(J1287=I1287,"Use suggestion","Custom"))</x:f>
        <x:v>Keep current</x:v>
      </x:c>
      <x:c r="M1287" s="71" t="str">
        <x:v>Pending review</x:v>
      </x:c>
      <x:c r="N1287" s="71" t="str">
        <x:v>Medium</x:v>
      </x:c>
      <x:c r="O1287" s="71" t="str">
        <x:v>components/easyt/trip-shell.tsx</x:v>
      </x:c>
      <x:c r="P1287" s="71" t="str">
        <x:v>statusLabel:20</x:v>
      </x:c>
      <x:c r="Q1287" s="71" t="str">
        <x:v>EN (default / shared)</x:v>
      </x:c>
      <x:c r="R1287" s="71" t="str">
        <x:v>Already clear and direct; suggested wording intentionally keeps the current copy. Duplicate wording: appears 2 times.</x:v>
      </x:c>
      <x:c r="S1287" s="75" t="str">
        <x:v>Not applied — review required</x:v>
      </x:c>
    </x:row>
    <x:row r="1288">
      <x:c r="A1288" s="71" t="str">
        <x:v>MRV-DF97811108</x:v>
      </x:c>
      <x:c r="B1288" s="71" t="str">
        <x:v>Trip workspace</x:v>
      </x:c>
      <x:c r="C1288" s="71" t="str">
        <x:v>Overview</x:v>
      </x:c>
      <x:c r="D1288" s="71" t="str">
        <x:v>Shared: Overview</x:v>
      </x:c>
      <x:c r="E1288" s="71" t="str">
        <x:v>statusLabel</x:v>
      </x:c>
      <x:c r="F1288" s="71" t="str">
        <x:v>Default</x:v>
      </x:c>
      <x:c r="G1288" s="71" t="str">
        <x:v>CTA / button</x:v>
      </x:c>
      <x:c r="H1288" s="71" t="str">
        <x:v>Planning</x:v>
      </x:c>
      <x:c r="I1288" s="71" t="str">
        <x:v>Planning</x:v>
      </x:c>
      <x:c r="J1288" s="73"/>
      <x:c r="K1288" s="74" t="str">
        <x:f>IF(J1288="",H1288,IF(J1288=I1288,I1288,J1288))</x:f>
        <x:v>Planning</x:v>
      </x:c>
      <x:c r="L1288" s="74" t="str">
        <x:f>IF(J1288="","Keep current",IF(J1288=I1288,"Use suggestion","Custom"))</x:f>
        <x:v>Keep current</x:v>
      </x:c>
      <x:c r="M1288" s="71" t="str">
        <x:v>Pending review</x:v>
      </x:c>
      <x:c r="N1288" s="71" t="str">
        <x:v>Medium</x:v>
      </x:c>
      <x:c r="O1288" s="71" t="str">
        <x:v>components/easyt/trip-shell.tsx</x:v>
      </x:c>
      <x:c r="P1288" s="71" t="str">
        <x:v>statusLabel:21</x:v>
      </x:c>
      <x:c r="Q1288" s="71" t="str">
        <x:v>EN (default / shared)</x:v>
      </x:c>
      <x:c r="R1288" s="71" t="str">
        <x:v>Already clear and direct; suggested wording intentionally keeps the current copy.</x:v>
      </x:c>
      <x:c r="S1288" s="75" t="str">
        <x:v>Not applied — review required</x:v>
      </x:c>
    </x:row>
    <x:row r="1289">
      <x:c r="A1289" s="71" t="str">
        <x:v>MRV-78BE248132</x:v>
      </x:c>
      <x:c r="B1289" s="71" t="str">
        <x:v>Trip workspace</x:v>
      </x:c>
      <x:c r="C1289" s="71" t="str">
        <x:v>Overview</x:v>
      </x:c>
      <x:c r="D1289" s="71" t="str">
        <x:v>Shared: Overview</x:v>
      </x:c>
      <x:c r="E1289" s="71" t="str">
        <x:v>routeLabel</x:v>
      </x:c>
      <x:c r="F1289" s="71" t="str">
        <x:v>Default</x:v>
      </x:c>
      <x:c r="G1289" s="71" t="str">
        <x:v>Label</x:v>
      </x:c>
      <x:c r="H1289" s="71" t="str">
        <x:v>Route to confirm</x:v>
      </x:c>
      <x:c r="I1289" s="71" t="str">
        <x:v>Route to confirm</x:v>
      </x:c>
      <x:c r="J1289" s="73"/>
      <x:c r="K1289" s="74" t="str">
        <x:f>IF(J1289="",H1289,IF(J1289=I1289,I1289,J1289))</x:f>
        <x:v>Route to confirm</x:v>
      </x:c>
      <x:c r="L1289" s="74" t="str">
        <x:f>IF(J1289="","Keep current",IF(J1289=I1289,"Use suggestion","Custom"))</x:f>
        <x:v>Keep current</x:v>
      </x:c>
      <x:c r="M1289" s="71" t="str">
        <x:v>Pending review</x:v>
      </x:c>
      <x:c r="N1289" s="71" t="str">
        <x:v>Normal</x:v>
      </x:c>
      <x:c r="O1289" s="71" t="str">
        <x:v>components/easyt/trip-shell.tsx</x:v>
      </x:c>
      <x:c r="P1289" s="71" t="str">
        <x:v>routeLabel:25</x:v>
      </x:c>
      <x:c r="Q1289" s="71" t="str">
        <x:v>EN (default / shared)</x:v>
      </x:c>
      <x:c r="R1289" s="71" t="str">
        <x:v>Already clear and direct; suggested wording intentionally keeps the current copy.</x:v>
      </x:c>
      <x:c r="S1289" s="75" t="str">
        <x:v>Not applied — review required</x:v>
      </x:c>
    </x:row>
    <x:row r="1290">
      <x:c r="A1290" s="71" t="str">
        <x:v>MRV-02E2CAD2DD</x:v>
      </x:c>
      <x:c r="B1290" s="71" t="str">
        <x:v>Trip workspace</x:v>
      </x:c>
      <x:c r="C1290" s="71" t="str">
        <x:v>Overview</x:v>
      </x:c>
      <x:c r="D1290" s="71" t="str">
        <x:v>Shared: Overview</x:v>
      </x:c>
      <x:c r="E1290" s="71" t="str">
        <x:v>TripShell</x:v>
      </x:c>
      <x:c r="F1290" s="71" t="str">
        <x:v>Accessibility / input support</x:v>
      </x:c>
      <x:c r="G1290" s="71" t="str">
        <x:v>Image alternative</x:v>
      </x:c>
      <x:c r="H1290" s="71" t="str">
        <x:v>View from {routeLabel}</x:v>
      </x:c>
      <x:c r="I1290" s="71" t="str">
        <x:v>View from {routeLabel}</x:v>
      </x:c>
      <x:c r="J1290" s="73"/>
      <x:c r="K1290" s="74" t="str">
        <x:f>IF(J1290="",H1290,IF(J1290=I1290,I1290,J1290))</x:f>
        <x:v>View from {routeLabel}</x:v>
      </x:c>
      <x:c r="L1290" s="74" t="str">
        <x:f>IF(J1290="","Keep current",IF(J1290=I1290,"Use suggestion","Custom"))</x:f>
        <x:v>Keep current</x:v>
      </x:c>
      <x:c r="M1290" s="71" t="str">
        <x:v>Pending review</x:v>
      </x:c>
      <x:c r="N1290" s="71" t="str">
        <x:v>Normal</x:v>
      </x:c>
      <x:c r="O1290" s="71" t="str">
        <x:v>components/easyt/trip-shell.tsx</x:v>
      </x:c>
      <x:c r="P1290" s="71" t="str">
        <x:v>TripShell:37</x:v>
      </x:c>
      <x:c r="Q1290" s="71" t="str">
        <x:v>EN (default / shared)</x:v>
      </x:c>
      <x:c r="R1290" s="71" t="str">
        <x:v>Already clear and direct; suggested wording intentionally keeps the current copy. Dynamic traveller or trip value is represented as a token; user-generated values are excluded.</x:v>
      </x:c>
      <x:c r="S1290" s="75" t="str">
        <x:v>Not applied — review required</x:v>
      </x:c>
    </x:row>
    <x:row r="1291">
      <x:c r="A1291" s="71" t="str">
        <x:v>MRV-E9EA1DD438</x:v>
      </x:c>
      <x:c r="B1291" s="71" t="str">
        <x:v>Trip workspace</x:v>
      </x:c>
      <x:c r="C1291" s="71" t="str">
        <x:v>Overview</x:v>
      </x:c>
      <x:c r="D1291" s="71" t="str">
        <x:v>Shared: Overview</x:v>
      </x:c>
      <x:c r="E1291" s="71" t="str">
        <x:v>TripShell</x:v>
      </x:c>
      <x:c r="F1291" s="71" t="str">
        <x:v>Default</x:v>
      </x:c>
      <x:c r="G1291" s="71" t="str">
        <x:v>Body copy</x:v>
      </x:c>
      <x:c r="H1291" s="71" t="str">
        <x:v>{duration} {duration === 1 ? "day" : "days"}</x:v>
      </x:c>
      <x:c r="I1291" s="71" t="str">
        <x:v>{duration} {duration === 1 ? "day" : "days"}</x:v>
      </x:c>
      <x:c r="J1291" s="73"/>
      <x:c r="K1291" s="74" t="str">
        <x:f>IF(J1291="",H1291,IF(J1291=I1291,I1291,J1291))</x:f>
        <x:v>{duration} {duration === 1 ? "day" : "days"}</x:v>
      </x:c>
      <x:c r="L1291" s="74" t="str">
        <x:f>IF(J1291="","Keep current",IF(J1291=I1291,"Use suggestion","Custom"))</x:f>
        <x:v>Keep current</x:v>
      </x:c>
      <x:c r="M1291" s="71" t="str">
        <x:v>Pending review</x:v>
      </x:c>
      <x:c r="N1291" s="71" t="str">
        <x:v>Normal</x:v>
      </x:c>
      <x:c r="O1291" s="71" t="str">
        <x:v>components/easyt/trip-shell.tsx</x:v>
      </x:c>
      <x:c r="P1291" s="71" t="str">
        <x:v>TripShell:53</x:v>
      </x:c>
      <x:c r="Q1291" s="71" t="str">
        <x:v>EN (default / shared)</x:v>
      </x:c>
      <x:c r="R1291" s="71" t="str">
        <x:v>Already clear and direct; suggested wording intentionally keeps the current copy. Dynamic traveller or trip value is represented as a token; user-generated values are excluded.</x:v>
      </x:c>
      <x:c r="S1291" s="75" t="str">
        <x:v>Not applied — review required</x:v>
      </x:c>
    </x:row>
    <x:row r="1292">
      <x:c r="A1292" s="71" t="str">
        <x:v>MRV-94E39B072D</x:v>
      </x:c>
      <x:c r="B1292" s="71" t="str">
        <x:v>Trip workspace</x:v>
      </x:c>
      <x:c r="C1292" s="71" t="str">
        <x:v>Overview</x:v>
      </x:c>
      <x:c r="D1292" s="71" t="str">
        <x:v>Shared: Overview</x:v>
      </x:c>
      <x:c r="E1292" s="71" t="str">
        <x:v>TripShell</x:v>
      </x:c>
      <x:c r="F1292" s="71" t="str">
        <x:v>Default</x:v>
      </x:c>
      <x:c r="G1292" s="71" t="str">
        <x:v>Label</x:v>
      </x:c>
      <x:c r="H1292" s="71" t="str">
        <x:v>Duration to confirm</x:v>
      </x:c>
      <x:c r="I1292" s="71" t="str">
        <x:v>Duration to confirm</x:v>
      </x:c>
      <x:c r="J1292" s="73"/>
      <x:c r="K1292" s="74" t="str">
        <x:f>IF(J1292="",H1292,IF(J1292=I1292,I1292,J1292))</x:f>
        <x:v>Duration to confirm</x:v>
      </x:c>
      <x:c r="L1292" s="74" t="str">
        <x:f>IF(J1292="","Keep current",IF(J1292=I1292,"Use suggestion","Custom"))</x:f>
        <x:v>Keep current</x:v>
      </x:c>
      <x:c r="M1292" s="71" t="str">
        <x:v>Pending review</x:v>
      </x:c>
      <x:c r="N1292" s="71" t="str">
        <x:v>Normal</x:v>
      </x:c>
      <x:c r="O1292" s="71" t="str">
        <x:v>components/easyt/trip-shell.tsx</x:v>
      </x:c>
      <x:c r="P1292" s="71" t="str">
        <x:v>TripShell:53</x:v>
      </x:c>
      <x:c r="Q1292" s="71" t="str">
        <x:v>EN (default / shared)</x:v>
      </x:c>
      <x:c r="R1292" s="71" t="str">
        <x:v>Already clear and direct; suggested wording intentionally keeps the current copy.</x:v>
      </x:c>
      <x:c r="S1292" s="75" t="str">
        <x:v>Not applied — review required</x:v>
      </x:c>
    </x:row>
    <x:row r="1293">
      <x:c r="A1293" s="71" t="str">
        <x:v>MRV-FE48BDD921</x:v>
      </x:c>
      <x:c r="B1293" s="71" t="str">
        <x:v>Trip workspace</x:v>
      </x:c>
      <x:c r="C1293" s="71" t="str">
        <x:v>Overview</x:v>
      </x:c>
      <x:c r="D1293" s="71" t="str">
        <x:v>Shared: Overview</x:v>
      </x:c>
      <x:c r="E1293" s="71" t="str">
        <x:v>TripWorkspacePlaceholder</x:v>
      </x:c>
      <x:c r="F1293" s="71" t="str">
        <x:v>Default</x:v>
      </x:c>
      <x:c r="G1293" s="71" t="str">
        <x:v>Body copy</x:v>
      </x:c>
      <x:c r="H1293" s="71" t="str">
        <x:v>Trip shell foundation · temporary</x:v>
      </x:c>
      <x:c r="I1293" s="71" t="str">
        <x:v>Trip shell foundation · temporary</x:v>
      </x:c>
      <x:c r="J1293" s="73"/>
      <x:c r="K1293" s="74" t="str">
        <x:f>IF(J1293="",H1293,IF(J1293=I1293,I1293,J1293))</x:f>
        <x:v>Trip shell foundation · temporary</x:v>
      </x:c>
      <x:c r="L1293" s="74" t="str">
        <x:f>IF(J1293="","Keep current",IF(J1293=I1293,"Use suggestion","Custom"))</x:f>
        <x:v>Keep current</x:v>
      </x:c>
      <x:c r="M1293" s="71" t="str">
        <x:v>Pending review</x:v>
      </x:c>
      <x:c r="N1293" s="71" t="str">
        <x:v>Normal</x:v>
      </x:c>
      <x:c r="O1293" s="71" t="str">
        <x:v>components/easyt/trip-shell.tsx</x:v>
      </x:c>
      <x:c r="P1293" s="71" t="str">
        <x:v>TripWorkspacePlaceholder:96</x:v>
      </x:c>
      <x:c r="Q1293" s="71" t="str">
        <x:v>EN (default / shared)</x:v>
      </x:c>
      <x:c r="R1293" s="71" t="str">
        <x:v>Already clear and direct; suggested wording intentionally keeps the current copy. Terminology watch: ‘trip’ and ‘journey’ both describe the same plan. Terminology watch: ‘stops’, ‘destinations’ and ‘places’ overlap.</x:v>
      </x:c>
      <x:c r="S1293" s="75" t="str">
        <x:v>Not applied — review required</x:v>
      </x:c>
    </x:row>
    <x:row r="1294">
      <x:c r="A1294" s="71" t="str">
        <x:v>MRV-2E20489326</x:v>
      </x:c>
      <x:c r="B1294" s="71" t="str">
        <x:v>System</x:v>
      </x:c>
      <x:c r="C1294" s="71" t="str">
        <x:v>Shared recovery / system</x:v>
      </x:c>
      <x:c r="D1294" s="71" t="str">
        <x:v>Shared</x:v>
      </x:c>
      <x:c r="E1294" s="71" t="str">
        <x:v>appendVoiceTranscript</x:v>
      </x:c>
      <x:c r="F1294" s="71" t="str">
        <x:v>Default</x:v>
      </x:c>
      <x:c r="G1294" s="71" t="str">
        <x:v>Body copy</x:v>
      </x:c>
      <x:c r="H1294" s="71" t="str">
        <x:v>{existing}{/\s$/.test(current) ? "" : " "}{next}</x:v>
      </x:c>
      <x:c r="I1294" s="71" t="str">
        <x:v>{existing}{/\s$/.test(current) ? "" : " "}{next}</x:v>
      </x:c>
      <x:c r="J1294" s="73"/>
      <x:c r="K1294" s="74" t="str">
        <x:f>IF(J1294="",H1294,IF(J1294=I1294,I1294,J1294))</x:f>
        <x:v>{existing}{/\s$/.test(current) ? "" : " "}{next}</x:v>
      </x:c>
      <x:c r="L1294" s="74" t="str">
        <x:f>IF(J1294="","Keep current",IF(J1294=I1294,"Use suggestion","Custom"))</x:f>
        <x:v>Keep current</x:v>
      </x:c>
      <x:c r="M1294" s="71" t="str">
        <x:v>Pending review</x:v>
      </x:c>
      <x:c r="N1294" s="71" t="str">
        <x:v>Normal</x:v>
      </x:c>
      <x:c r="O1294" s="71" t="str">
        <x:v>components/easyt/voice-trip-brief.tsx</x:v>
      </x:c>
      <x:c r="P1294" s="71" t="str">
        <x:v>appendVoiceTranscript:34</x:v>
      </x:c>
      <x:c r="Q1294" s="71" t="str">
        <x:v>EN (default / shared)</x:v>
      </x:c>
      <x:c r="R1294" s="71" t="str">
        <x:v>Already clear and direct; suggested wording intentionally keeps the current copy. Dynamic traveller or trip value is represented as a token; user-generated values are excluded.</x:v>
      </x:c>
      <x:c r="S1294" s="75" t="str">
        <x:v>Not applied — review required</x:v>
      </x:c>
    </x:row>
    <x:row r="1295">
      <x:c r="A1295" s="71" t="str">
        <x:v>MRV-8CB3C89281</x:v>
      </x:c>
      <x:c r="B1295" s="71" t="str">
        <x:v>System</x:v>
      </x:c>
      <x:c r="C1295" s="71" t="str">
        <x:v>Shared recovery / system</x:v>
      </x:c>
      <x:c r="D1295" s="71" t="str">
        <x:v>Shared</x:v>
      </x:c>
      <x:c r="E1295" s="71" t="str">
        <x:v>start</x:v>
      </x:c>
      <x:c r="F1295" s="71" t="str">
        <x:v>Default</x:v>
      </x:c>
      <x:c r="G1295" s="71" t="str">
        <x:v>Label</x:v>
      </x:c>
      <x:c r="H1295" s="71" t="str">
        <x:v>es-ES</x:v>
      </x:c>
      <x:c r="I1295" s="71" t="str">
        <x:v>es-ES</x:v>
      </x:c>
      <x:c r="J1295" s="73"/>
      <x:c r="K1295" s="74" t="str">
        <x:f>IF(J1295="",H1295,IF(J1295=I1295,I1295,J1295))</x:f>
        <x:v>es-ES</x:v>
      </x:c>
      <x:c r="L1295" s="74" t="str">
        <x:f>IF(J1295="","Keep current",IF(J1295=I1295,"Use suggestion","Custom"))</x:f>
        <x:v>Keep current</x:v>
      </x:c>
      <x:c r="M1295" s="71" t="str">
        <x:v>Pending review</x:v>
      </x:c>
      <x:c r="N1295" s="71" t="str">
        <x:v>Normal</x:v>
      </x:c>
      <x:c r="O1295" s="71" t="str">
        <x:v>components/easyt/voice-trip-brief.tsx</x:v>
      </x:c>
      <x:c r="P1295" s="71" t="str">
        <x:v>start:90</x:v>
      </x:c>
      <x:c r="Q1295" s="71" t="str">
        <x:v>ES</x:v>
      </x:c>
      <x:c r="R1295" s="71" t="str">
        <x:v>Already clear and direct; suggested wording intentionally keeps the current copy.</x:v>
      </x:c>
      <x:c r="S1295" s="75" t="str">
        <x:v>Not applied — review required</x:v>
      </x:c>
    </x:row>
    <x:row r="1296">
      <x:c r="A1296" s="71" t="str">
        <x:v>MRV-FE998CDD7A</x:v>
      </x:c>
      <x:c r="B1296" s="71" t="str">
        <x:v>System</x:v>
      </x:c>
      <x:c r="C1296" s="71" t="str">
        <x:v>Shared recovery / system</x:v>
      </x:c>
      <x:c r="D1296" s="71" t="str">
        <x:v>Shared</x:v>
      </x:c>
      <x:c r="E1296" s="71" t="str">
        <x:v>start</x:v>
      </x:c>
      <x:c r="F1296" s="71" t="str">
        <x:v>Default</x:v>
      </x:c>
      <x:c r="G1296" s="71" t="str">
        <x:v>Label</x:v>
      </x:c>
      <x:c r="H1296" s="71" t="str">
        <x:v>en-US</x:v>
      </x:c>
      <x:c r="I1296" s="71" t="str">
        <x:v>en-US</x:v>
      </x:c>
      <x:c r="J1296" s="73"/>
      <x:c r="K1296" s="74" t="str">
        <x:f>IF(J1296="",H1296,IF(J1296=I1296,I1296,J1296))</x:f>
        <x:v>en-US</x:v>
      </x:c>
      <x:c r="L1296" s="74" t="str">
        <x:f>IF(J1296="","Keep current",IF(J1296=I1296,"Use suggestion","Custom"))</x:f>
        <x:v>Keep current</x:v>
      </x:c>
      <x:c r="M1296" s="71" t="str">
        <x:v>Pending review</x:v>
      </x:c>
      <x:c r="N1296" s="71" t="str">
        <x:v>Normal</x:v>
      </x:c>
      <x:c r="O1296" s="71" t="str">
        <x:v>components/easyt/voice-trip-brief.tsx</x:v>
      </x:c>
      <x:c r="P1296" s="71" t="str">
        <x:v>start:90</x:v>
      </x:c>
      <x:c r="Q1296" s="71" t="str">
        <x:v>EN</x:v>
      </x:c>
      <x:c r="R1296" s="71" t="str">
        <x:v>Already clear and direct; suggested wording intentionally keeps the current copy.</x:v>
      </x:c>
      <x:c r="S1296" s="75" t="str">
        <x:v>Not applied — review required</x:v>
      </x:c>
    </x:row>
    <x:row r="1297">
      <x:c r="A1297" s="71" t="str">
        <x:v>MRV-2B925337B0</x:v>
      </x:c>
      <x:c r="B1297" s="71" t="str">
        <x:v>System</x:v>
      </x:c>
      <x:c r="C1297" s="71" t="str">
        <x:v>Shared recovery / system</x:v>
      </x:c>
      <x:c r="D1297" s="71" t="str">
        <x:v>Shared</x:v>
      </x:c>
      <x:c r="E1297" s="71" t="str">
        <x:v>VoiceTripBrief</x:v>
      </x:c>
      <x:c r="F1297" s="71" t="str">
        <x:v>Default</x:v>
      </x:c>
      <x:c r="G1297" s="71" t="str">
        <x:v>Label</x:v>
      </x:c>
      <x:c r="H1297" s="71" t="str">
        <x:v>Hablar</x:v>
      </x:c>
      <x:c r="I1297" s="71" t="str">
        <x:v>Hablar</x:v>
      </x:c>
      <x:c r="J1297" s="73"/>
      <x:c r="K1297" s="74" t="str">
        <x:f>IF(J1297="",H1297,IF(J1297=I1297,I1297,J1297))</x:f>
        <x:v>Hablar</x:v>
      </x:c>
      <x:c r="L1297" s="74" t="str">
        <x:f>IF(J1297="","Keep current",IF(J1297=I1297,"Use suggestion","Custom"))</x:f>
        <x:v>Keep current</x:v>
      </x:c>
      <x:c r="M1297" s="71" t="str">
        <x:v>Pending review</x:v>
      </x:c>
      <x:c r="N1297" s="71" t="str">
        <x:v>Normal</x:v>
      </x:c>
      <x:c r="O1297" s="71" t="str">
        <x:v>components/easyt/voice-trip-brief.tsx</x:v>
      </x:c>
      <x:c r="P1297" s="71" t="str">
        <x:v>VoiceTripBrief:130</x:v>
      </x:c>
      <x:c r="Q1297" s="71" t="str">
        <x:v>ES</x:v>
      </x:c>
      <x:c r="R1297" s="71" t="str">
        <x:v>Already clear and direct; suggested wording intentionally keeps the current copy.</x:v>
      </x:c>
      <x:c r="S1297" s="75" t="str">
        <x:v>Not applied — review required</x:v>
      </x:c>
    </x:row>
    <x:row r="1298">
      <x:c r="A1298" s="71" t="str">
        <x:v>MRV-B02336F918</x:v>
      </x:c>
      <x:c r="B1298" s="71" t="str">
        <x:v>System</x:v>
      </x:c>
      <x:c r="C1298" s="71" t="str">
        <x:v>Shared recovery / system</x:v>
      </x:c>
      <x:c r="D1298" s="71" t="str">
        <x:v>Shared</x:v>
      </x:c>
      <x:c r="E1298" s="71" t="str">
        <x:v>VoiceTripBrief</x:v>
      </x:c>
      <x:c r="F1298" s="71" t="str">
        <x:v>Default</x:v>
      </x:c>
      <x:c r="G1298" s="71" t="str">
        <x:v>Label</x:v>
      </x:c>
      <x:c r="H1298" s="71" t="str">
        <x:v>Speak</x:v>
      </x:c>
      <x:c r="I1298" s="71" t="str">
        <x:v>Speak</x:v>
      </x:c>
      <x:c r="J1298" s="73"/>
      <x:c r="K1298" s="74" t="str">
        <x:f>IF(J1298="",H1298,IF(J1298=I1298,I1298,J1298))</x:f>
        <x:v>Speak</x:v>
      </x:c>
      <x:c r="L1298" s="74" t="str">
        <x:f>IF(J1298="","Keep current",IF(J1298=I1298,"Use suggestion","Custom"))</x:f>
        <x:v>Keep current</x:v>
      </x:c>
      <x:c r="M1298" s="71" t="str">
        <x:v>Pending review</x:v>
      </x:c>
      <x:c r="N1298" s="71" t="str">
        <x:v>Normal</x:v>
      </x:c>
      <x:c r="O1298" s="71" t="str">
        <x:v>components/easyt/voice-trip-brief.tsx</x:v>
      </x:c>
      <x:c r="P1298" s="71" t="str">
        <x:v>VoiceTripBrief:130</x:v>
      </x:c>
      <x:c r="Q1298" s="71" t="str">
        <x:v>EN</x:v>
      </x:c>
      <x:c r="R1298" s="71" t="str">
        <x:v>Already clear and direct; suggested wording intentionally keeps the current copy.</x:v>
      </x:c>
      <x:c r="S1298" s="75" t="str">
        <x:v>Not applied — review required</x:v>
      </x:c>
    </x:row>
    <x:row r="1299">
      <x:c r="A1299" s="71" t="str">
        <x:v>MRV-36B8B620C5</x:v>
      </x:c>
      <x:c r="B1299" s="71" t="str">
        <x:v>System</x:v>
      </x:c>
      <x:c r="C1299" s="71" t="str">
        <x:v>Shared recovery / system</x:v>
      </x:c>
      <x:c r="D1299" s="71" t="str">
        <x:v>Shared</x:v>
      </x:c>
      <x:c r="E1299" s="71" t="str">
        <x:v>labels</x:v>
      </x:c>
      <x:c r="F1299" s="71" t="str">
        <x:v>Default</x:v>
      </x:c>
      <x:c r="G1299" s="71" t="str">
        <x:v>Tooltip</x:v>
      </x:c>
      <x:c r="H1299" s="71" t="str">
        <x:v>Completa el viaje, decisión a decisión.</x:v>
      </x:c>
      <x:c r="I1299" s="71" t="str">
        <x:v>Completa el viaje, decisión a decisión.</x:v>
      </x:c>
      <x:c r="J1299" s="73"/>
      <x:c r="K1299" s="74" t="str">
        <x:f>IF(J1299="",H1299,IF(J1299=I1299,I1299,J1299))</x:f>
        <x:v>Completa el viaje, decisión a decisión.</x:v>
      </x:c>
      <x:c r="L1299" s="74" t="str">
        <x:f>IF(J1299="","Keep current",IF(J1299=I1299,"Use suggestion","Custom"))</x:f>
        <x:v>Keep current</x:v>
      </x:c>
      <x:c r="M1299" s="71" t="str">
        <x:v>Pending review</x:v>
      </x:c>
      <x:c r="N1299" s="71" t="str">
        <x:v>Normal</x:v>
      </x:c>
      <x:c r="O1299" s="71" t="str">
        <x:v>components/journey-booking-readiness.tsx</x:v>
      </x:c>
      <x:c r="P1299" s="71" t="str">
        <x:v>labels:28</x:v>
      </x:c>
      <x:c r="Q1299" s="71" t="str">
        <x:v>ES</x:v>
      </x:c>
      <x:c r="R1299" s="71" t="str">
        <x:v>Already clear and direct; suggested wording intentionally keeps the current copy.</x:v>
      </x:c>
      <x:c r="S1299" s="75" t="str">
        <x:v>Not applied — review required</x:v>
      </x:c>
    </x:row>
    <x:row r="1300">
      <x:c r="A1300" s="71" t="str">
        <x:v>MRV-312633D047</x:v>
      </x:c>
      <x:c r="B1300" s="71" t="str">
        <x:v>System</x:v>
      </x:c>
      <x:c r="C1300" s="71" t="str">
        <x:v>Shared recovery / system</x:v>
      </x:c>
      <x:c r="D1300" s="71" t="str">
        <x:v>Shared</x:v>
      </x:c>
      <x:c r="E1300" s="71" t="str">
        <x:v>labels</x:v>
      </x:c>
      <x:c r="F1300" s="71" t="str">
        <x:v>Default</x:v>
      </x:c>
      <x:c r="G1300" s="71" t="str">
        <x:v>Tooltip</x:v>
      </x:c>
      <x:c r="H1300" s="71" t="str">
        <x:v>Complete the trip, one decision at a time.</x:v>
      </x:c>
      <x:c r="I1300" s="71" t="str">
        <x:v>Complete the trip, one decision at a time.</x:v>
      </x:c>
      <x:c r="J1300" s="73"/>
      <x:c r="K1300" s="74" t="str">
        <x:f>IF(J1300="",H1300,IF(J1300=I1300,I1300,J1300))</x:f>
        <x:v>Complete the trip, one decision at a time.</x:v>
      </x:c>
      <x:c r="L1300" s="74" t="str">
        <x:f>IF(J1300="","Keep current",IF(J1300=I1300,"Use suggestion","Custom"))</x:f>
        <x:v>Keep current</x:v>
      </x:c>
      <x:c r="M1300" s="71" t="str">
        <x:v>Pending review</x:v>
      </x:c>
      <x:c r="N1300" s="71" t="str">
        <x:v>Normal</x:v>
      </x:c>
      <x:c r="O1300" s="71" t="str">
        <x:v>components/journey-booking-readiness.tsx</x:v>
      </x:c>
      <x:c r="P1300" s="71" t="str">
        <x:v>labels:29</x:v>
      </x:c>
      <x:c r="Q1300" s="71" t="str">
        <x:v>EN</x:v>
      </x:c>
      <x:c r="R1300" s="71" t="str">
        <x:v>Already clear and direct; suggested wording intentionally keeps the current copy. Terminology watch: ‘trip’ and ‘journey’ both describe the same plan. Terminology watch: ‘stops’, ‘destinations’ and ‘places’ overlap.</x:v>
      </x:c>
      <x:c r="S1300" s="75" t="str">
        <x:v>Not applied — review required</x:v>
      </x:c>
    </x:row>
    <x:row r="1301">
      <x:c r="A1301" s="71" t="str">
        <x:v>MRV-6E53FCD274</x:v>
      </x:c>
      <x:c r="B1301" s="71" t="str">
        <x:v>System</x:v>
      </x:c>
      <x:c r="C1301" s="71" t="str">
        <x:v>Shared recovery / system</x:v>
      </x:c>
      <x:c r="D1301" s="71" t="str">
        <x:v>Shared</x:v>
      </x:c>
      <x:c r="E1301" s="71" t="str">
        <x:v>JourneyBookingReadiness</x:v>
      </x:c>
      <x:c r="F1301" s="71" t="str">
        <x:v>Default</x:v>
      </x:c>
      <x:c r="G1301" s="71" t="str">
        <x:v>Body copy</x:v>
      </x:c>
      <x:c r="H1301" s="71" t="str">
        <x:v>· {labels.partner}</x:v>
      </x:c>
      <x:c r="I1301" s="71" t="str">
        <x:v>· {labels.partner}</x:v>
      </x:c>
      <x:c r="J1301" s="73"/>
      <x:c r="K1301" s="74" t="str">
        <x:f>IF(J1301="",H1301,IF(J1301=I1301,I1301,J1301))</x:f>
        <x:v>· {labels.partner}</x:v>
      </x:c>
      <x:c r="L1301" s="74" t="str">
        <x:f>IF(J1301="","Keep current",IF(J1301=I1301,"Use suggestion","Custom"))</x:f>
        <x:v>Keep current</x:v>
      </x:c>
      <x:c r="M1301" s="71" t="str">
        <x:v>Pending review</x:v>
      </x:c>
      <x:c r="N1301" s="71" t="str">
        <x:v>Normal</x:v>
      </x:c>
      <x:c r="O1301" s="71" t="str">
        <x:v>components/journey-booking-readiness.tsx</x:v>
      </x:c>
      <x:c r="P1301" s="71" t="str">
        <x:v>JourneyBookingReadiness:34</x:v>
      </x:c>
      <x:c r="Q1301" s="71" t="str">
        <x:v>EN (default / shared)</x:v>
      </x:c>
      <x:c r="R1301" s="71" t="str">
        <x:v>Already clear and direct; suggested wording intentionally keeps the current copy. Dynamic traveller or trip value is represented as a token; user-generated values are excluded.</x:v>
      </x:c>
      <x:c r="S1301" s="75" t="str">
        <x:v>Not applied — review required</x:v>
      </x:c>
    </x:row>
    <x:row r="1302">
      <x:c r="A1302" s="71" t="str">
        <x:v>MRV-01D23440A5</x:v>
      </x:c>
      <x:c r="B1302" s="71" t="str">
        <x:v>System</x:v>
      </x:c>
      <x:c r="C1302" s="71" t="str">
        <x:v>Shared recovery / system</x:v>
      </x:c>
      <x:c r="D1302" s="71" t="str">
        <x:v>Shared</x:v>
      </x:c>
      <x:c r="E1302" s="71" t="str">
        <x:v>JourneyCarousel</x:v>
      </x:c>
      <x:c r="F1302" s="71" t="str">
        <x:v>Accessibility / input support</x:v>
      </x:c>
      <x:c r="G1302" s="71" t="str">
        <x:v>Accessibility label</x:v>
      </x:c>
      <x:c r="H1302" s="71" t="str">
        <x:v>{city} image gallery</x:v>
      </x:c>
      <x:c r="I1302" s="71" t="str">
        <x:v>{city} image gallery</x:v>
      </x:c>
      <x:c r="J1302" s="73"/>
      <x:c r="K1302" s="74" t="str">
        <x:f>IF(J1302="",H1302,IF(J1302=I1302,I1302,J1302))</x:f>
        <x:v>{city} image gallery</x:v>
      </x:c>
      <x:c r="L1302" s="74" t="str">
        <x:f>IF(J1302="","Keep current",IF(J1302=I1302,"Use suggestion","Custom"))</x:f>
        <x:v>Keep current</x:v>
      </x:c>
      <x:c r="M1302" s="71" t="str">
        <x:v>Pending review</x:v>
      </x:c>
      <x:c r="N1302" s="71" t="str">
        <x:v>Medium</x:v>
      </x:c>
      <x:c r="O1302" s="71" t="str">
        <x:v>components/journey-carousel.tsx</x:v>
      </x:c>
      <x:c r="P1302" s="71" t="str">
        <x:v>JourneyCarousel:25</x:v>
      </x:c>
      <x:c r="Q1302" s="71" t="str">
        <x:v>EN (default / shared)</x:v>
      </x:c>
      <x:c r="R1302" s="71" t="str">
        <x:v>Already clear and direct; suggested wording intentionally keeps the current copy. Dynamic traveller or trip value is represented as a token; user-generated values are excluded.</x:v>
      </x:c>
      <x:c r="S1302" s="75" t="str">
        <x:v>Not applied — review required</x:v>
      </x:c>
    </x:row>
    <x:row r="1303">
      <x:c r="A1303" s="71" t="str">
        <x:v>MRV-9B9A53F85D</x:v>
      </x:c>
      <x:c r="B1303" s="71" t="str">
        <x:v>System</x:v>
      </x:c>
      <x:c r="C1303" s="71" t="str">
        <x:v>Shared recovery / system</x:v>
      </x:c>
      <x:c r="D1303" s="71" t="str">
        <x:v>Shared</x:v>
      </x:c>
      <x:c r="E1303" s="71" t="str">
        <x:v>JourneyCarousel</x:v>
      </x:c>
      <x:c r="F1303" s="71" t="str">
        <x:v>Accessibility / input support</x:v>
      </x:c>
      <x:c r="G1303" s="71" t="str">
        <x:v>Accessibility label</x:v>
      </x:c>
      <x:c r="H1303" s="71" t="str">
        <x:v>Previous image</x:v>
      </x:c>
      <x:c r="I1303" s="71" t="str">
        <x:v>Previous image</x:v>
      </x:c>
      <x:c r="J1303" s="73"/>
      <x:c r="K1303" s="74" t="str">
        <x:f>IF(J1303="",H1303,IF(J1303=I1303,I1303,J1303))</x:f>
        <x:v>Previous image</x:v>
      </x:c>
      <x:c r="L1303" s="74" t="str">
        <x:f>IF(J1303="","Keep current",IF(J1303=I1303,"Use suggestion","Custom"))</x:f>
        <x:v>Keep current</x:v>
      </x:c>
      <x:c r="M1303" s="71" t="str">
        <x:v>Pending review</x:v>
      </x:c>
      <x:c r="N1303" s="71" t="str">
        <x:v>Medium</x:v>
      </x:c>
      <x:c r="O1303" s="71" t="str">
        <x:v>components/journey-carousel.tsx</x:v>
      </x:c>
      <x:c r="P1303" s="71" t="str">
        <x:v>JourneyCarousel:41</x:v>
      </x:c>
      <x:c r="Q1303" s="71" t="str">
        <x:v>EN (default / shared)</x:v>
      </x:c>
      <x:c r="R1303" s="71" t="str">
        <x:v>Already clear and direct; suggested wording intentionally keeps the current copy.</x:v>
      </x:c>
      <x:c r="S1303" s="75" t="str">
        <x:v>Not applied — review required</x:v>
      </x:c>
    </x:row>
    <x:row r="1304">
      <x:c r="A1304" s="71" t="str">
        <x:v>MRV-DB2CBFBA1B</x:v>
      </x:c>
      <x:c r="B1304" s="71" t="str">
        <x:v>System</x:v>
      </x:c>
      <x:c r="C1304" s="71" t="str">
        <x:v>Shared recovery / system</x:v>
      </x:c>
      <x:c r="D1304" s="71" t="str">
        <x:v>Shared</x:v>
      </x:c>
      <x:c r="E1304" s="71" t="str">
        <x:v>JourneyCarousel</x:v>
      </x:c>
      <x:c r="F1304" s="71" t="str">
        <x:v>Accessibility / input support</x:v>
      </x:c>
      <x:c r="G1304" s="71" t="str">
        <x:v>Accessibility label</x:v>
      </x:c>
      <x:c r="H1304" s="71" t="str">
        <x:v>Next image</x:v>
      </x:c>
      <x:c r="I1304" s="71" t="str">
        <x:v>Next image</x:v>
      </x:c>
      <x:c r="J1304" s="73"/>
      <x:c r="K1304" s="74" t="str">
        <x:f>IF(J1304="",H1304,IF(J1304=I1304,I1304,J1304))</x:f>
        <x:v>Next image</x:v>
      </x:c>
      <x:c r="L1304" s="74" t="str">
        <x:f>IF(J1304="","Keep current",IF(J1304=I1304,"Use suggestion","Custom"))</x:f>
        <x:v>Keep current</x:v>
      </x:c>
      <x:c r="M1304" s="71" t="str">
        <x:v>Pending review</x:v>
      </x:c>
      <x:c r="N1304" s="71" t="str">
        <x:v>Medium</x:v>
      </x:c>
      <x:c r="O1304" s="71" t="str">
        <x:v>components/journey-carousel.tsx</x:v>
      </x:c>
      <x:c r="P1304" s="71" t="str">
        <x:v>JourneyCarousel:42</x:v>
      </x:c>
      <x:c r="Q1304" s="71" t="str">
        <x:v>EN (default / shared)</x:v>
      </x:c>
      <x:c r="R1304" s="71" t="str">
        <x:v>Already clear and direct; suggested wording intentionally keeps the current copy.</x:v>
      </x:c>
      <x:c r="S1304" s="75" t="str">
        <x:v>Not applied — review required</x:v>
      </x:c>
    </x:row>
    <x:row r="1305">
      <x:c r="A1305" s="71" t="str">
        <x:v>MRV-8310B6165F</x:v>
      </x:c>
      <x:c r="B1305" s="71" t="str">
        <x:v>System</x:v>
      </x:c>
      <x:c r="C1305" s="71" t="str">
        <x:v>Shared recovery / system</x:v>
      </x:c>
      <x:c r="D1305" s="71" t="str">
        <x:v>Shared</x:v>
      </x:c>
      <x:c r="E1305" s="71" t="str">
        <x:v>JourneyCarousel</x:v>
      </x:c>
      <x:c r="F1305" s="71" t="str">
        <x:v>Accessibility / input support</x:v>
      </x:c>
      <x:c r="G1305" s="71" t="str">
        <x:v>Accessibility label</x:v>
      </x:c>
      <x:c r="H1305" s="71" t="str">
        <x:v>Choose image</x:v>
      </x:c>
      <x:c r="I1305" s="71" t="str">
        <x:v>Choose image</x:v>
      </x:c>
      <x:c r="J1305" s="73"/>
      <x:c r="K1305" s="74" t="str">
        <x:f>IF(J1305="",H1305,IF(J1305=I1305,I1305,J1305))</x:f>
        <x:v>Choose image</x:v>
      </x:c>
      <x:c r="L1305" s="74" t="str">
        <x:f>IF(J1305="","Keep current",IF(J1305=I1305,"Use suggestion","Custom"))</x:f>
        <x:v>Keep current</x:v>
      </x:c>
      <x:c r="M1305" s="71" t="str">
        <x:v>Pending review</x:v>
      </x:c>
      <x:c r="N1305" s="71" t="str">
        <x:v>Medium</x:v>
      </x:c>
      <x:c r="O1305" s="71" t="str">
        <x:v>components/journey-carousel.tsx</x:v>
      </x:c>
      <x:c r="P1305" s="71" t="str">
        <x:v>JourneyCarousel:48</x:v>
      </x:c>
      <x:c r="Q1305" s="71" t="str">
        <x:v>EN (default / shared)</x:v>
      </x:c>
      <x:c r="R1305" s="71" t="str">
        <x:v>Already clear and direct; suggested wording intentionally keeps the current copy.</x:v>
      </x:c>
      <x:c r="S1305" s="75" t="str">
        <x:v>Not applied — review required</x:v>
      </x:c>
    </x:row>
    <x:row r="1306">
      <x:c r="A1306" s="71" t="str">
        <x:v>MRV-7F7F4F8B65</x:v>
      </x:c>
      <x:c r="B1306" s="71" t="str">
        <x:v>System</x:v>
      </x:c>
      <x:c r="C1306" s="71" t="str">
        <x:v>Shared recovery / system</x:v>
      </x:c>
      <x:c r="D1306" s="71" t="str">
        <x:v>Shared</x:v>
      </x:c>
      <x:c r="E1306" s="71" t="str">
        <x:v>JourneyCarousel</x:v>
      </x:c>
      <x:c r="F1306" s="71" t="str">
        <x:v>Accessibility / input support</x:v>
      </x:c>
      <x:c r="G1306" s="71" t="str">
        <x:v>Accessibility label</x:v>
      </x:c>
      <x:c r="H1306" s="71" t="str">
        <x:v>View image {dotIndex + 1}</x:v>
      </x:c>
      <x:c r="I1306" s="71" t="str">
        <x:v>View image {dotIndex + 1}</x:v>
      </x:c>
      <x:c r="J1306" s="73"/>
      <x:c r="K1306" s="74" t="str">
        <x:f>IF(J1306="",H1306,IF(J1306=I1306,I1306,J1306))</x:f>
        <x:v>View image {dotIndex + 1}</x:v>
      </x:c>
      <x:c r="L1306" s="74" t="str">
        <x:f>IF(J1306="","Keep current",IF(J1306=I1306,"Use suggestion","Custom"))</x:f>
        <x:v>Keep current</x:v>
      </x:c>
      <x:c r="M1306" s="71" t="str">
        <x:v>Pending review</x:v>
      </x:c>
      <x:c r="N1306" s="71" t="str">
        <x:v>Medium</x:v>
      </x:c>
      <x:c r="O1306" s="71" t="str">
        <x:v>components/journey-carousel.tsx</x:v>
      </x:c>
      <x:c r="P1306" s="71" t="str">
        <x:v>JourneyCarousel:49</x:v>
      </x:c>
      <x:c r="Q1306" s="71" t="str">
        <x:v>EN (default / shared)</x:v>
      </x:c>
      <x:c r="R1306" s="71" t="str">
        <x:v>Already clear and direct; suggested wording intentionally keeps the current copy. Dynamic traveller or trip value is represented as a token; user-generated values are excluded.</x:v>
      </x:c>
      <x:c r="S1306" s="75" t="str">
        <x:v>Not applied — review required</x:v>
      </x:c>
    </x:row>
    <x:row r="1307">
      <x:c r="A1307" s="71" t="str">
        <x:v>MRV-6410C891CA</x:v>
      </x:c>
      <x:c r="B1307" s="71" t="str">
        <x:v>System</x:v>
      </x:c>
      <x:c r="C1307" s="71" t="str">
        <x:v>Shared recovery / system</x:v>
      </x:c>
      <x:c r="D1307" s="71" t="str">
        <x:v>Shared</x:v>
      </x:c>
      <x:c r="E1307" s="71" t="str">
        <x:v>JourneyCarousel</x:v>
      </x:c>
      <x:c r="F1307" s="71" t="str">
        <x:v>Default</x:v>
      </x:c>
      <x:c r="G1307" s="71" t="str">
        <x:v>Label</x:v>
      </x:c>
      <x:c r="H1307" s="71" t="str">
        <x:v>Wikimedia</x:v>
      </x:c>
      <x:c r="I1307" s="71" t="str">
        <x:v>Wikimedia</x:v>
      </x:c>
      <x:c r="J1307" s="73"/>
      <x:c r="K1307" s="74" t="str">
        <x:f>IF(J1307="",H1307,IF(J1307=I1307,I1307,J1307))</x:f>
        <x:v>Wikimedia</x:v>
      </x:c>
      <x:c r="L1307" s="74" t="str">
        <x:f>IF(J1307="","Keep current",IF(J1307=I1307,"Use suggestion","Custom"))</x:f>
        <x:v>Keep current</x:v>
      </x:c>
      <x:c r="M1307" s="71" t="str">
        <x:v>Pending review</x:v>
      </x:c>
      <x:c r="N1307" s="71" t="str">
        <x:v>Normal</x:v>
      </x:c>
      <x:c r="O1307" s="71" t="str">
        <x:v>components/journey-carousel.tsx</x:v>
      </x:c>
      <x:c r="P1307" s="71" t="str">
        <x:v>JourneyCarousel:51</x:v>
      </x:c>
      <x:c r="Q1307" s="71" t="str">
        <x:v>EN (default / shared)</x:v>
      </x:c>
      <x:c r="R1307" s="71" t="str">
        <x:v>Already clear and direct; suggested wording intentionally keeps the current copy.</x:v>
      </x:c>
      <x:c r="S1307" s="75" t="str">
        <x:v>Not applied — review required</x:v>
      </x:c>
    </x:row>
    <x:row r="1308">
      <x:c r="A1308" s="71" t="str">
        <x:v>MRV-468460C08A</x:v>
      </x:c>
      <x:c r="B1308" s="71" t="str">
        <x:v>System</x:v>
      </x:c>
      <x:c r="C1308" s="71" t="str">
        <x:v>Shared recovery / system</x:v>
      </x:c>
      <x:c r="D1308" s="71" t="str">
        <x:v>Shared</x:v>
      </x:c>
      <x:c r="E1308" s="71" t="str">
        <x:v>places</x:v>
      </x:c>
      <x:c r="F1308" s="71" t="str">
        <x:v>Accessibility / input support</x:v>
      </x:c>
      <x:c r="G1308" s="71" t="str">
        <x:v>Image alternative</x:v>
      </x:c>
      <x:c r="H1308" s="71" t="str">
        <x:v>Tokyo skyline</x:v>
      </x:c>
      <x:c r="I1308" s="71" t="str">
        <x:v>Tokyo skyline</x:v>
      </x:c>
      <x:c r="J1308" s="73"/>
      <x:c r="K1308" s="74" t="str">
        <x:f>IF(J1308="",H1308,IF(J1308=I1308,I1308,J1308))</x:f>
        <x:v>Tokyo skyline</x:v>
      </x:c>
      <x:c r="L1308" s="74" t="str">
        <x:f>IF(J1308="","Keep current",IF(J1308=I1308,"Use suggestion","Custom"))</x:f>
        <x:v>Keep current</x:v>
      </x:c>
      <x:c r="M1308" s="71" t="str">
        <x:v>Pending review</x:v>
      </x:c>
      <x:c r="N1308" s="71" t="str">
        <x:v>Normal</x:v>
      </x:c>
      <x:c r="O1308" s="71" t="str">
        <x:v>components/journey-globe.tsx</x:v>
      </x:c>
      <x:c r="P1308" s="71" t="str">
        <x:v>places:38</x:v>
      </x:c>
      <x:c r="Q1308" s="71" t="str">
        <x:v>EN (default / shared)</x:v>
      </x:c>
      <x:c r="R1308" s="71" t="str">
        <x:v>Already clear and direct; suggested wording intentionally keeps the current copy.</x:v>
      </x:c>
      <x:c r="S1308" s="75" t="str">
        <x:v>Not applied — review required</x:v>
      </x:c>
    </x:row>
    <x:row r="1309">
      <x:c r="A1309" s="71" t="str">
        <x:v>MRV-A85A633742</x:v>
      </x:c>
      <x:c r="B1309" s="71" t="str">
        <x:v>System</x:v>
      </x:c>
      <x:c r="C1309" s="71" t="str">
        <x:v>Shared recovery / system</x:v>
      </x:c>
      <x:c r="D1309" s="71" t="str">
        <x:v>Shared</x:v>
      </x:c>
      <x:c r="E1309" s="71" t="str">
        <x:v>places</x:v>
      </x:c>
      <x:c r="F1309" s="71" t="str">
        <x:v>Accessibility / input support</x:v>
      </x:c>
      <x:c r="G1309" s="71" t="str">
        <x:v>Image alternative</x:v>
      </x:c>
      <x:c r="H1309" s="71" t="str">
        <x:v>Waterside running route around the Imperial Palace</x:v>
      </x:c>
      <x:c r="I1309" s="71" t="str">
        <x:v>Waterside running route around the Imperial Palace</x:v>
      </x:c>
      <x:c r="J1309" s="73"/>
      <x:c r="K1309" s="74" t="str">
        <x:f>IF(J1309="",H1309,IF(J1309=I1309,I1309,J1309))</x:f>
        <x:v>Waterside running route around the Imperial Palace</x:v>
      </x:c>
      <x:c r="L1309" s="74" t="str">
        <x:f>IF(J1309="","Keep current",IF(J1309=I1309,"Use suggestion","Custom"))</x:f>
        <x:v>Keep current</x:v>
      </x:c>
      <x:c r="M1309" s="71" t="str">
        <x:v>Pending review</x:v>
      </x:c>
      <x:c r="N1309" s="71" t="str">
        <x:v>Normal</x:v>
      </x:c>
      <x:c r="O1309" s="71" t="str">
        <x:v>components/journey-globe.tsx</x:v>
      </x:c>
      <x:c r="P1309" s="71" t="str">
        <x:v>places:39</x:v>
      </x:c>
      <x:c r="Q1309" s="71" t="str">
        <x:v>EN (default / shared)</x:v>
      </x:c>
      <x:c r="R1309" s="71" t="str">
        <x:v>Already clear and direct; suggested wording intentionally keeps the current copy.</x:v>
      </x:c>
      <x:c r="S1309" s="75" t="str">
        <x:v>Not applied — review required</x:v>
      </x:c>
    </x:row>
    <x:row r="1310">
      <x:c r="A1310" s="71" t="str">
        <x:v>MRV-BF8DDCF197</x:v>
      </x:c>
      <x:c r="B1310" s="71" t="str">
        <x:v>System</x:v>
      </x:c>
      <x:c r="C1310" s="71" t="str">
        <x:v>Shared recovery / system</x:v>
      </x:c>
      <x:c r="D1310" s="71" t="str">
        <x:v>Shared</x:v>
      </x:c>
      <x:c r="E1310" s="71" t="str">
        <x:v>places</x:v>
      </x:c>
      <x:c r="F1310" s="71" t="str">
        <x:v>Accessibility / input support</x:v>
      </x:c>
      <x:c r="G1310" s="71" t="str">
        <x:v>Image alternative</x:v>
      </x:c>
      <x:c r="H1310" s="71" t="str">
        <x:v>Tokyo Big Sight exhibition centre</x:v>
      </x:c>
      <x:c r="I1310" s="71" t="str">
        <x:v>Tokyo Big Sight exhibition centre</x:v>
      </x:c>
      <x:c r="J1310" s="73"/>
      <x:c r="K1310" s="74" t="str">
        <x:f>IF(J1310="",H1310,IF(J1310=I1310,I1310,J1310))</x:f>
        <x:v>Tokyo Big Sight exhibition centre</x:v>
      </x:c>
      <x:c r="L1310" s="74" t="str">
        <x:f>IF(J1310="","Keep current",IF(J1310=I1310,"Use suggestion","Custom"))</x:f>
        <x:v>Keep current</x:v>
      </x:c>
      <x:c r="M1310" s="71" t="str">
        <x:v>Pending review</x:v>
      </x:c>
      <x:c r="N1310" s="71" t="str">
        <x:v>Normal</x:v>
      </x:c>
      <x:c r="O1310" s="71" t="str">
        <x:v>components/journey-globe.tsx</x:v>
      </x:c>
      <x:c r="P1310" s="71" t="str">
        <x:v>places:40</x:v>
      </x:c>
      <x:c r="Q1310" s="71" t="str">
        <x:v>EN (default / shared)</x:v>
      </x:c>
      <x:c r="R1310" s="71" t="str">
        <x:v>Already clear and direct; suggested wording intentionally keeps the current copy.</x:v>
      </x:c>
      <x:c r="S1310" s="75" t="str">
        <x:v>Not applied — review required</x:v>
      </x:c>
    </x:row>
    <x:row r="1311">
      <x:c r="A1311" s="71" t="str">
        <x:v>MRV-6B85F954B4</x:v>
      </x:c>
      <x:c r="B1311" s="71" t="str">
        <x:v>System</x:v>
      </x:c>
      <x:c r="C1311" s="71" t="str">
        <x:v>Shared recovery / system</x:v>
      </x:c>
      <x:c r="D1311" s="71" t="str">
        <x:v>Shared</x:v>
      </x:c>
      <x:c r="E1311" s="71" t="str">
        <x:v>places</x:v>
      </x:c>
      <x:c r="F1311" s="71" t="str">
        <x:v>Accessibility / input support</x:v>
      </x:c>
      <x:c r="G1311" s="71" t="str">
        <x:v>Image alternative</x:v>
      </x:c>
      <x:c r="H1311" s="71" t="str">
        <x:v>Tokyo Marathon runners</x:v>
      </x:c>
      <x:c r="I1311" s="71" t="str">
        <x:v>Tokyo Marathon runners</x:v>
      </x:c>
      <x:c r="J1311" s="73"/>
      <x:c r="K1311" s="74" t="str">
        <x:f>IF(J1311="",H1311,IF(J1311=I1311,I1311,J1311))</x:f>
        <x:v>Tokyo Marathon runners</x:v>
      </x:c>
      <x:c r="L1311" s="74" t="str">
        <x:f>IF(J1311="","Keep current",IF(J1311=I1311,"Use suggestion","Custom"))</x:f>
        <x:v>Keep current</x:v>
      </x:c>
      <x:c r="M1311" s="71" t="str">
        <x:v>Pending review</x:v>
      </x:c>
      <x:c r="N1311" s="71" t="str">
        <x:v>Normal</x:v>
      </x:c>
      <x:c r="O1311" s="71" t="str">
        <x:v>components/journey-globe.tsx</x:v>
      </x:c>
      <x:c r="P1311" s="71" t="str">
        <x:v>places:41</x:v>
      </x:c>
      <x:c r="Q1311" s="71" t="str">
        <x:v>EN (default / shared)</x:v>
      </x:c>
      <x:c r="R1311" s="71" t="str">
        <x:v>Already clear and direct; suggested wording intentionally keeps the current copy.</x:v>
      </x:c>
      <x:c r="S1311" s="75" t="str">
        <x:v>Not applied — review required</x:v>
      </x:c>
    </x:row>
    <x:row r="1312">
      <x:c r="A1312" s="71" t="str">
        <x:v>MRV-A7E4661500</x:v>
      </x:c>
      <x:c r="B1312" s="71" t="str">
        <x:v>System</x:v>
      </x:c>
      <x:c r="C1312" s="71" t="str">
        <x:v>Shared recovery / system</x:v>
      </x:c>
      <x:c r="D1312" s="71" t="str">
        <x:v>Shared</x:v>
      </x:c>
      <x:c r="E1312" s="71" t="str">
        <x:v>places</x:v>
      </x:c>
      <x:c r="F1312" s="71" t="str">
        <x:v>Accessibility / input support</x:v>
      </x:c>
      <x:c r="G1312" s="71" t="str">
        <x:v>Image alternative</x:v>
      </x:c>
      <x:c r="H1312" s="71" t="str">
        <x:v>Forest scenery on Mount Takao</x:v>
      </x:c>
      <x:c r="I1312" s="71" t="str">
        <x:v>Forest scenery on Mount Takao</x:v>
      </x:c>
      <x:c r="J1312" s="73"/>
      <x:c r="K1312" s="74" t="str">
        <x:f>IF(J1312="",H1312,IF(J1312=I1312,I1312,J1312))</x:f>
        <x:v>Forest scenery on Mount Takao</x:v>
      </x:c>
      <x:c r="L1312" s="74" t="str">
        <x:f>IF(J1312="","Keep current",IF(J1312=I1312,"Use suggestion","Custom"))</x:f>
        <x:v>Keep current</x:v>
      </x:c>
      <x:c r="M1312" s="71" t="str">
        <x:v>Pending review</x:v>
      </x:c>
      <x:c r="N1312" s="71" t="str">
        <x:v>Normal</x:v>
      </x:c>
      <x:c r="O1312" s="71" t="str">
        <x:v>components/journey-globe.tsx</x:v>
      </x:c>
      <x:c r="P1312" s="71" t="str">
        <x:v>places:42</x:v>
      </x:c>
      <x:c r="Q1312" s="71" t="str">
        <x:v>EN (default / shared)</x:v>
      </x:c>
      <x:c r="R1312" s="71" t="str">
        <x:v>Already clear and direct; suggested wording intentionally keeps the current copy.</x:v>
      </x:c>
      <x:c r="S1312" s="75" t="str">
        <x:v>Not applied — review required</x:v>
      </x:c>
    </x:row>
    <x:row r="1313">
      <x:c r="A1313" s="71" t="str">
        <x:v>MRV-CEC4EB1BFB</x:v>
      </x:c>
      <x:c r="B1313" s="71" t="str">
        <x:v>System</x:v>
      </x:c>
      <x:c r="C1313" s="71" t="str">
        <x:v>Shared recovery / system</x:v>
      </x:c>
      <x:c r="D1313" s="71" t="str">
        <x:v>Shared</x:v>
      </x:c>
      <x:c r="E1313" s="71" t="str">
        <x:v>places</x:v>
      </x:c>
      <x:c r="F1313" s="71" t="str">
        <x:v>Accessibility / input support</x:v>
      </x:c>
      <x:c r="G1313" s="71" t="str">
        <x:v>Image alternative</x:v>
      </x:c>
      <x:c r="H1313" s="71" t="str">
        <x:v>Seafood at Omicho Market</x:v>
      </x:c>
      <x:c r="I1313" s="71" t="str">
        <x:v>Seafood at Omicho Market</x:v>
      </x:c>
      <x:c r="J1313" s="73"/>
      <x:c r="K1313" s="74" t="str">
        <x:f>IF(J1313="",H1313,IF(J1313=I1313,I1313,J1313))</x:f>
        <x:v>Seafood at Omicho Market</x:v>
      </x:c>
      <x:c r="L1313" s="74" t="str">
        <x:f>IF(J1313="","Keep current",IF(J1313=I1313,"Use suggestion","Custom"))</x:f>
        <x:v>Keep current</x:v>
      </x:c>
      <x:c r="M1313" s="71" t="str">
        <x:v>Pending review</x:v>
      </x:c>
      <x:c r="N1313" s="71" t="str">
        <x:v>Normal</x:v>
      </x:c>
      <x:c r="O1313" s="71" t="str">
        <x:v>components/journey-globe.tsx</x:v>
      </x:c>
      <x:c r="P1313" s="71" t="str">
        <x:v>places:46</x:v>
      </x:c>
      <x:c r="Q1313" s="71" t="str">
        <x:v>EN (default / shared)</x:v>
      </x:c>
      <x:c r="R1313" s="71" t="str">
        <x:v>Already clear and direct; suggested wording intentionally keeps the current copy.</x:v>
      </x:c>
      <x:c r="S1313" s="75" t="str">
        <x:v>Not applied — review required</x:v>
      </x:c>
    </x:row>
    <x:row r="1314">
      <x:c r="A1314" s="71" t="str">
        <x:v>MRV-D1812D6CA4</x:v>
      </x:c>
      <x:c r="B1314" s="71" t="str">
        <x:v>System</x:v>
      </x:c>
      <x:c r="C1314" s="71" t="str">
        <x:v>Shared recovery / system</x:v>
      </x:c>
      <x:c r="D1314" s="71" t="str">
        <x:v>Shared</x:v>
      </x:c>
      <x:c r="E1314" s="71" t="str">
        <x:v>places</x:v>
      </x:c>
      <x:c r="F1314" s="71" t="str">
        <x:v>Accessibility / input support</x:v>
      </x:c>
      <x:c r="G1314" s="71" t="str">
        <x:v>Image alternative</x:v>
      </x:c>
      <x:c r="H1314" s="71" t="str">
        <x:v>Kenroku-en garden</x:v>
      </x:c>
      <x:c r="I1314" s="71" t="str">
        <x:v>Kenroku-en garden</x:v>
      </x:c>
      <x:c r="J1314" s="73"/>
      <x:c r="K1314" s="74" t="str">
        <x:f>IF(J1314="",H1314,IF(J1314=I1314,I1314,J1314))</x:f>
        <x:v>Kenroku-en garden</x:v>
      </x:c>
      <x:c r="L1314" s="74" t="str">
        <x:f>IF(J1314="","Keep current",IF(J1314=I1314,"Use suggestion","Custom"))</x:f>
        <x:v>Keep current</x:v>
      </x:c>
      <x:c r="M1314" s="71" t="str">
        <x:v>Pending review</x:v>
      </x:c>
      <x:c r="N1314" s="71" t="str">
        <x:v>Normal</x:v>
      </x:c>
      <x:c r="O1314" s="71" t="str">
        <x:v>components/journey-globe.tsx</x:v>
      </x:c>
      <x:c r="P1314" s="71" t="str">
        <x:v>places:47</x:v>
      </x:c>
      <x:c r="Q1314" s="71" t="str">
        <x:v>EN (default / shared)</x:v>
      </x:c>
      <x:c r="R1314" s="71" t="str">
        <x:v>Already clear and direct; suggested wording intentionally keeps the current copy.</x:v>
      </x:c>
      <x:c r="S1314" s="75" t="str">
        <x:v>Not applied — review required</x:v>
      </x:c>
    </x:row>
    <x:row r="1315">
      <x:c r="A1315" s="71" t="str">
        <x:v>MRV-15159DEAFB</x:v>
      </x:c>
      <x:c r="B1315" s="71" t="str">
        <x:v>System</x:v>
      </x:c>
      <x:c r="C1315" s="71" t="str">
        <x:v>Shared recovery / system</x:v>
      </x:c>
      <x:c r="D1315" s="71" t="str">
        <x:v>Shared</x:v>
      </x:c>
      <x:c r="E1315" s="71" t="str">
        <x:v>places</x:v>
      </x:c>
      <x:c r="F1315" s="71" t="str">
        <x:v>Accessibility / input support</x:v>
      </x:c>
      <x:c r="G1315" s="71" t="str">
        <x:v>Image alternative</x:v>
      </x:c>
      <x:c r="H1315" s="71" t="str">
        <x:v>Traditional street in Higashi Chaya</x:v>
      </x:c>
      <x:c r="I1315" s="71" t="str">
        <x:v>Traditional street in Higashi Chaya</x:v>
      </x:c>
      <x:c r="J1315" s="73"/>
      <x:c r="K1315" s="74" t="str">
        <x:f>IF(J1315="",H1315,IF(J1315=I1315,I1315,J1315))</x:f>
        <x:v>Traditional street in Higashi Chaya</x:v>
      </x:c>
      <x:c r="L1315" s="74" t="str">
        <x:f>IF(J1315="","Keep current",IF(J1315=I1315,"Use suggestion","Custom"))</x:f>
        <x:v>Keep current</x:v>
      </x:c>
      <x:c r="M1315" s="71" t="str">
        <x:v>Pending review</x:v>
      </x:c>
      <x:c r="N1315" s="71" t="str">
        <x:v>Normal</x:v>
      </x:c>
      <x:c r="O1315" s="71" t="str">
        <x:v>components/journey-globe.tsx</x:v>
      </x:c>
      <x:c r="P1315" s="71" t="str">
        <x:v>places:48</x:v>
      </x:c>
      <x:c r="Q1315" s="71" t="str">
        <x:v>EN (default / shared)</x:v>
      </x:c>
      <x:c r="R1315" s="71" t="str">
        <x:v>Already clear and direct; suggested wording intentionally keeps the current copy.</x:v>
      </x:c>
      <x:c r="S1315" s="75" t="str">
        <x:v>Not applied — review required</x:v>
      </x:c>
    </x:row>
    <x:row r="1316">
      <x:c r="A1316" s="71" t="str">
        <x:v>MRV-3E2232F960</x:v>
      </x:c>
      <x:c r="B1316" s="71" t="str">
        <x:v>System</x:v>
      </x:c>
      <x:c r="C1316" s="71" t="str">
        <x:v>Shared recovery / system</x:v>
      </x:c>
      <x:c r="D1316" s="71" t="str">
        <x:v>Shared</x:v>
      </x:c>
      <x:c r="E1316" s="71" t="str">
        <x:v>places</x:v>
      </x:c>
      <x:c r="F1316" s="71" t="str">
        <x:v>Accessibility / input support</x:v>
      </x:c>
      <x:c r="G1316" s="71" t="str">
        <x:v>Image alternative</x:v>
      </x:c>
      <x:c r="H1316" s="71" t="str">
        <x:v>Historic timber streets in Takayama old town</x:v>
      </x:c>
      <x:c r="I1316" s="71" t="str">
        <x:v>Historic timber streets in Takayama old town</x:v>
      </x:c>
      <x:c r="J1316" s="73"/>
      <x:c r="K1316" s="74" t="str">
        <x:f>IF(J1316="",H1316,IF(J1316=I1316,I1316,J1316))</x:f>
        <x:v>Historic timber streets in Takayama old town</x:v>
      </x:c>
      <x:c r="L1316" s="74" t="str">
        <x:f>IF(J1316="","Keep current",IF(J1316=I1316,"Use suggestion","Custom"))</x:f>
        <x:v>Keep current</x:v>
      </x:c>
      <x:c r="M1316" s="71" t="str">
        <x:v>Pending review</x:v>
      </x:c>
      <x:c r="N1316" s="71" t="str">
        <x:v>Normal</x:v>
      </x:c>
      <x:c r="O1316" s="71" t="str">
        <x:v>components/journey-globe.tsx</x:v>
      </x:c>
      <x:c r="P1316" s="71" t="str">
        <x:v>places:51</x:v>
      </x:c>
      <x:c r="Q1316" s="71" t="str">
        <x:v>EN (default / shared)</x:v>
      </x:c>
      <x:c r="R1316" s="71" t="str">
        <x:v>Already clear and direct; suggested wording intentionally keeps the current copy.</x:v>
      </x:c>
      <x:c r="S1316" s="75" t="str">
        <x:v>Not applied — review required</x:v>
      </x:c>
    </x:row>
    <x:row r="1317">
      <x:c r="A1317" s="71" t="str">
        <x:v>MRV-EE1609853E</x:v>
      </x:c>
      <x:c r="B1317" s="71" t="str">
        <x:v>System</x:v>
      </x:c>
      <x:c r="C1317" s="71" t="str">
        <x:v>Shared recovery / system</x:v>
      </x:c>
      <x:c r="D1317" s="71" t="str">
        <x:v>Shared</x:v>
      </x:c>
      <x:c r="E1317" s="71" t="str">
        <x:v>places</x:v>
      </x:c>
      <x:c r="F1317" s="71" t="str">
        <x:v>Accessibility / input support</x:v>
      </x:c>
      <x:c r="G1317" s="71" t="str">
        <x:v>Image alternative</x:v>
      </x:c>
      <x:c r="H1317" s="71" t="str">
        <x:v>Snow-covered gassho-zukuri houses in Shirakawa-go</x:v>
      </x:c>
      <x:c r="I1317" s="71" t="str">
        <x:v>Snow-covered gassho-zukuri houses in Shirakawa-go</x:v>
      </x:c>
      <x:c r="J1317" s="73"/>
      <x:c r="K1317" s="74" t="str">
        <x:f>IF(J1317="",H1317,IF(J1317=I1317,I1317,J1317))</x:f>
        <x:v>Snow-covered gassho-zukuri houses in Shirakawa-go</x:v>
      </x:c>
      <x:c r="L1317" s="74" t="str">
        <x:f>IF(J1317="","Keep current",IF(J1317=I1317,"Use suggestion","Custom"))</x:f>
        <x:v>Keep current</x:v>
      </x:c>
      <x:c r="M1317" s="71" t="str">
        <x:v>Pending review</x:v>
      </x:c>
      <x:c r="N1317" s="71" t="str">
        <x:v>Normal</x:v>
      </x:c>
      <x:c r="O1317" s="71" t="str">
        <x:v>components/journey-globe.tsx</x:v>
      </x:c>
      <x:c r="P1317" s="71" t="str">
        <x:v>places:52</x:v>
      </x:c>
      <x:c r="Q1317" s="71" t="str">
        <x:v>EN (default / shared)</x:v>
      </x:c>
      <x:c r="R1317" s="71" t="str">
        <x:v>Already clear and direct; suggested wording intentionally keeps the current copy.</x:v>
      </x:c>
      <x:c r="S1317" s="75" t="str">
        <x:v>Not applied — review required</x:v>
      </x:c>
    </x:row>
    <x:row r="1318">
      <x:c r="A1318" s="71" t="str">
        <x:v>MRV-7330228844</x:v>
      </x:c>
      <x:c r="B1318" s="71" t="str">
        <x:v>System</x:v>
      </x:c>
      <x:c r="C1318" s="71" t="str">
        <x:v>Shared recovery / system</x:v>
      </x:c>
      <x:c r="D1318" s="71" t="str">
        <x:v>Shared</x:v>
      </x:c>
      <x:c r="E1318" s="71" t="str">
        <x:v>places</x:v>
      </x:c>
      <x:c r="F1318" s="71" t="str">
        <x:v>Accessibility / input support</x:v>
      </x:c>
      <x:c r="G1318" s="71" t="str">
        <x:v>Image alternative</x:v>
      </x:c>
      <x:c r="H1318" s="71" t="str">
        <x:v>Snowy slopes at Hounoki Daira ski area</x:v>
      </x:c>
      <x:c r="I1318" s="71" t="str">
        <x:v>Snowy slopes at Hounoki Daira ski area</x:v>
      </x:c>
      <x:c r="J1318" s="73"/>
      <x:c r="K1318" s="74" t="str">
        <x:f>IF(J1318="",H1318,IF(J1318=I1318,I1318,J1318))</x:f>
        <x:v>Snowy slopes at Hounoki Daira ski area</x:v>
      </x:c>
      <x:c r="L1318" s="74" t="str">
        <x:f>IF(J1318="","Keep current",IF(J1318=I1318,"Use suggestion","Custom"))</x:f>
        <x:v>Keep current</x:v>
      </x:c>
      <x:c r="M1318" s="71" t="str">
        <x:v>Pending review</x:v>
      </x:c>
      <x:c r="N1318" s="71" t="str">
        <x:v>Normal</x:v>
      </x:c>
      <x:c r="O1318" s="71" t="str">
        <x:v>components/journey-globe.tsx</x:v>
      </x:c>
      <x:c r="P1318" s="71" t="str">
        <x:v>places:53</x:v>
      </x:c>
      <x:c r="Q1318" s="71" t="str">
        <x:v>EN (default / shared)</x:v>
      </x:c>
      <x:c r="R1318" s="71" t="str">
        <x:v>Already clear and direct; suggested wording intentionally keeps the current copy.</x:v>
      </x:c>
      <x:c r="S1318" s="75" t="str">
        <x:v>Not applied — review required</x:v>
      </x:c>
    </x:row>
    <x:row r="1319">
      <x:c r="A1319" s="71" t="str">
        <x:v>MRV-3EE863730E</x:v>
      </x:c>
      <x:c r="B1319" s="71" t="str">
        <x:v>System</x:v>
      </x:c>
      <x:c r="C1319" s="71" t="str">
        <x:v>Shared recovery / system</x:v>
      </x:c>
      <x:c r="D1319" s="71" t="str">
        <x:v>Shared</x:v>
      </x:c>
      <x:c r="E1319" s="71" t="str">
        <x:v>places</x:v>
      </x:c>
      <x:c r="F1319" s="71" t="str">
        <x:v>Accessibility / input support</x:v>
      </x:c>
      <x:c r="G1319" s="71" t="str">
        <x:v>Image alternative</x:v>
      </x:c>
      <x:c r="H1319" s="71" t="str">
        <x:v>Outdoor bath at Hirayu Onsen</x:v>
      </x:c>
      <x:c r="I1319" s="71" t="str">
        <x:v>Outdoor bath at Hirayu Onsen</x:v>
      </x:c>
      <x:c r="J1319" s="73"/>
      <x:c r="K1319" s="74" t="str">
        <x:f>IF(J1319="",H1319,IF(J1319=I1319,I1319,J1319))</x:f>
        <x:v>Outdoor bath at Hirayu Onsen</x:v>
      </x:c>
      <x:c r="L1319" s="74" t="str">
        <x:f>IF(J1319="","Keep current",IF(J1319=I1319,"Use suggestion","Custom"))</x:f>
        <x:v>Keep current</x:v>
      </x:c>
      <x:c r="M1319" s="71" t="str">
        <x:v>Pending review</x:v>
      </x:c>
      <x:c r="N1319" s="71" t="str">
        <x:v>Normal</x:v>
      </x:c>
      <x:c r="O1319" s="71" t="str">
        <x:v>components/journey-globe.tsx</x:v>
      </x:c>
      <x:c r="P1319" s="71" t="str">
        <x:v>places:56</x:v>
      </x:c>
      <x:c r="Q1319" s="71" t="str">
        <x:v>EN (default / shared)</x:v>
      </x:c>
      <x:c r="R1319" s="71" t="str">
        <x:v>Already clear and direct; suggested wording intentionally keeps the current copy.</x:v>
      </x:c>
      <x:c r="S1319" s="75" t="str">
        <x:v>Not applied — review required</x:v>
      </x:c>
    </x:row>
    <x:row r="1320">
      <x:c r="A1320" s="71" t="str">
        <x:v>MRV-1935FFE60C</x:v>
      </x:c>
      <x:c r="B1320" s="71" t="str">
        <x:v>System</x:v>
      </x:c>
      <x:c r="C1320" s="71" t="str">
        <x:v>Shared recovery / system</x:v>
      </x:c>
      <x:c r="D1320" s="71" t="str">
        <x:v>Shared</x:v>
      </x:c>
      <x:c r="E1320" s="71" t="str">
        <x:v>places</x:v>
      </x:c>
      <x:c r="F1320" s="71" t="str">
        <x:v>Accessibility / input support</x:v>
      </x:c>
      <x:c r="G1320" s="71" t="str">
        <x:v>Image alternative</x:v>
      </x:c>
      <x:c r="H1320" s="71" t="str">
        <x:v>Shin-Hotaka Ropeway over the Japanese Alps</x:v>
      </x:c>
      <x:c r="I1320" s="71" t="str">
        <x:v>Shin-Hotaka Ropeway over the Japanese Alps</x:v>
      </x:c>
      <x:c r="J1320" s="73"/>
      <x:c r="K1320" s="74" t="str">
        <x:f>IF(J1320="",H1320,IF(J1320=I1320,I1320,J1320))</x:f>
        <x:v>Shin-Hotaka Ropeway over the Japanese Alps</x:v>
      </x:c>
      <x:c r="L1320" s="74" t="str">
        <x:f>IF(J1320="","Keep current",IF(J1320=I1320,"Use suggestion","Custom"))</x:f>
        <x:v>Keep current</x:v>
      </x:c>
      <x:c r="M1320" s="71" t="str">
        <x:v>Pending review</x:v>
      </x:c>
      <x:c r="N1320" s="71" t="str">
        <x:v>Normal</x:v>
      </x:c>
      <x:c r="O1320" s="71" t="str">
        <x:v>components/journey-globe.tsx</x:v>
      </x:c>
      <x:c r="P1320" s="71" t="str">
        <x:v>places:57</x:v>
      </x:c>
      <x:c r="Q1320" s="71" t="str">
        <x:v>EN (default / shared)</x:v>
      </x:c>
      <x:c r="R1320" s="71" t="str">
        <x:v>Already clear and direct; suggested wording intentionally keeps the current copy.</x:v>
      </x:c>
      <x:c r="S1320" s="75" t="str">
        <x:v>Not applied — review required</x:v>
      </x:c>
    </x:row>
    <x:row r="1321">
      <x:c r="A1321" s="71" t="str">
        <x:v>MRV-587389889F</x:v>
      </x:c>
      <x:c r="B1321" s="71" t="str">
        <x:v>System</x:v>
      </x:c>
      <x:c r="C1321" s="71" t="str">
        <x:v>Shared recovery / system</x:v>
      </x:c>
      <x:c r="D1321" s="71" t="str">
        <x:v>Shared</x:v>
      </x:c>
      <x:c r="E1321" s="71" t="str">
        <x:v>places</x:v>
      </x:c>
      <x:c r="F1321" s="71" t="str">
        <x:v>Accessibility / input support</x:v>
      </x:c>
      <x:c r="G1321" s="71" t="str">
        <x:v>Image alternative</x:v>
      </x:c>
      <x:c r="H1321" s="71" t="str">
        <x:v>Matsumoto Castle and its reflecting moat</x:v>
      </x:c>
      <x:c r="I1321" s="71" t="str">
        <x:v>Matsumoto Castle and its reflecting moat</x:v>
      </x:c>
      <x:c r="J1321" s="73"/>
      <x:c r="K1321" s="74" t="str">
        <x:f>IF(J1321="",H1321,IF(J1321=I1321,I1321,J1321))</x:f>
        <x:v>Matsumoto Castle and its reflecting moat</x:v>
      </x:c>
      <x:c r="L1321" s="74" t="str">
        <x:f>IF(J1321="","Keep current",IF(J1321=I1321,"Use suggestion","Custom"))</x:f>
        <x:v>Keep current</x:v>
      </x:c>
      <x:c r="M1321" s="71" t="str">
        <x:v>Pending review</x:v>
      </x:c>
      <x:c r="N1321" s="71" t="str">
        <x:v>Normal</x:v>
      </x:c>
      <x:c r="O1321" s="71" t="str">
        <x:v>components/journey-globe.tsx</x:v>
      </x:c>
      <x:c r="P1321" s="71" t="str">
        <x:v>places:60</x:v>
      </x:c>
      <x:c r="Q1321" s="71" t="str">
        <x:v>EN (default / shared)</x:v>
      </x:c>
      <x:c r="R1321" s="71" t="str">
        <x:v>Already clear and direct; suggested wording intentionally keeps the current copy.</x:v>
      </x:c>
      <x:c r="S1321" s="75" t="str">
        <x:v>Not applied — review required</x:v>
      </x:c>
    </x:row>
    <x:row r="1322">
      <x:c r="A1322" s="71" t="str">
        <x:v>MRV-93EF5C61A1</x:v>
      </x:c>
      <x:c r="B1322" s="71" t="str">
        <x:v>System</x:v>
      </x:c>
      <x:c r="C1322" s="71" t="str">
        <x:v>Shared recovery / system</x:v>
      </x:c>
      <x:c r="D1322" s="71" t="str">
        <x:v>Shared</x:v>
      </x:c>
      <x:c r="E1322" s="71" t="str">
        <x:v>places</x:v>
      </x:c>
      <x:c r="F1322" s="71" t="str">
        <x:v>Loading / in progress</x:v>
      </x:c>
      <x:c r="G1322" s="71" t="str">
        <x:v>Image alternative</x:v>
      </x:c>
      <x:c r="H1322" s="71" t="str">
        <x:v>Traditional merchant buildings along Nakamachi Street</x:v>
      </x:c>
      <x:c r="I1322" s="71" t="str">
        <x:v>Traditional merchant buildings along Nakamachi Street</x:v>
      </x:c>
      <x:c r="J1322" s="73"/>
      <x:c r="K1322" s="74" t="str">
        <x:f>IF(J1322="",H1322,IF(J1322=I1322,I1322,J1322))</x:f>
        <x:v>Traditional merchant buildings along Nakamachi Street</x:v>
      </x:c>
      <x:c r="L1322" s="74" t="str">
        <x:f>IF(J1322="","Keep current",IF(J1322=I1322,"Use suggestion","Custom"))</x:f>
        <x:v>Keep current</x:v>
      </x:c>
      <x:c r="M1322" s="71" t="str">
        <x:v>Pending review</x:v>
      </x:c>
      <x:c r="N1322" s="71" t="str">
        <x:v>Normal</x:v>
      </x:c>
      <x:c r="O1322" s="71" t="str">
        <x:v>components/journey-globe.tsx</x:v>
      </x:c>
      <x:c r="P1322" s="71" t="str">
        <x:v>places:61</x:v>
      </x:c>
      <x:c r="Q1322" s="71" t="str">
        <x:v>EN (default / shared)</x:v>
      </x:c>
      <x:c r="R1322" s="71" t="str">
        <x:v>Already clear and direct; suggested wording intentionally keeps the current copy.</x:v>
      </x:c>
      <x:c r="S1322" s="75" t="str">
        <x:v>Not applied — review required</x:v>
      </x:c>
    </x:row>
    <x:row r="1323">
      <x:c r="A1323" s="71" t="str">
        <x:v>MRV-7DD5863321</x:v>
      </x:c>
      <x:c r="B1323" s="71" t="str">
        <x:v>System</x:v>
      </x:c>
      <x:c r="C1323" s="71" t="str">
        <x:v>Shared recovery / system</x:v>
      </x:c>
      <x:c r="D1323" s="71" t="str">
        <x:v>Shared</x:v>
      </x:c>
      <x:c r="E1323" s="71" t="str">
        <x:v>places</x:v>
      </x:c>
      <x:c r="F1323" s="71" t="str">
        <x:v>Accessibility / input support</x:v>
      </x:c>
      <x:c r="G1323" s="71" t="str">
        <x:v>Image alternative</x:v>
      </x:c>
      <x:c r="H1323" s="71" t="str">
        <x:v>Giant panda</x:v>
      </x:c>
      <x:c r="I1323" s="71" t="str">
        <x:v>Giant panda</x:v>
      </x:c>
      <x:c r="J1323" s="73"/>
      <x:c r="K1323" s="74" t="str">
        <x:f>IF(J1323="",H1323,IF(J1323=I1323,I1323,J1323))</x:f>
        <x:v>Giant panda</x:v>
      </x:c>
      <x:c r="L1323" s="74" t="str">
        <x:f>IF(J1323="","Keep current",IF(J1323=I1323,"Use suggestion","Custom"))</x:f>
        <x:v>Keep current</x:v>
      </x:c>
      <x:c r="M1323" s="71" t="str">
        <x:v>Pending review</x:v>
      </x:c>
      <x:c r="N1323" s="71" t="str">
        <x:v>Normal</x:v>
      </x:c>
      <x:c r="O1323" s="71" t="str">
        <x:v>components/journey-globe.tsx</x:v>
      </x:c>
      <x:c r="P1323" s="71" t="str">
        <x:v>places:64</x:v>
      </x:c>
      <x:c r="Q1323" s="71" t="str">
        <x:v>EN (default / shared)</x:v>
      </x:c>
      <x:c r="R1323" s="71" t="str">
        <x:v>Already clear and direct; suggested wording intentionally keeps the current copy.</x:v>
      </x:c>
      <x:c r="S1323" s="75" t="str">
        <x:v>Not applied — review required</x:v>
      </x:c>
    </x:row>
    <x:row r="1324">
      <x:c r="A1324" s="71" t="str">
        <x:v>MRV-98DD653695</x:v>
      </x:c>
      <x:c r="B1324" s="71" t="str">
        <x:v>System</x:v>
      </x:c>
      <x:c r="C1324" s="71" t="str">
        <x:v>Shared recovery / system</x:v>
      </x:c>
      <x:c r="D1324" s="71" t="str">
        <x:v>Shared</x:v>
      </x:c>
      <x:c r="E1324" s="71" t="str">
        <x:v>places</x:v>
      </x:c>
      <x:c r="F1324" s="71" t="str">
        <x:v>Accessibility / input support</x:v>
      </x:c>
      <x:c r="G1324" s="71" t="str">
        <x:v>Image alternative</x:v>
      </x:c>
      <x:c r="H1324" s="71" t="str">
        <x:v>Historic architecture at Wuhou Shrine in Chengdu</x:v>
      </x:c>
      <x:c r="I1324" s="71" t="str">
        <x:v>Historic architecture at Wuhou Shrine in Chengdu</x:v>
      </x:c>
      <x:c r="J1324" s="73"/>
      <x:c r="K1324" s="74" t="str">
        <x:f>IF(J1324="",H1324,IF(J1324=I1324,I1324,J1324))</x:f>
        <x:v>Historic architecture at Wuhou Shrine in Chengdu</x:v>
      </x:c>
      <x:c r="L1324" s="74" t="str">
        <x:f>IF(J1324="","Keep current",IF(J1324=I1324,"Use suggestion","Custom"))</x:f>
        <x:v>Keep current</x:v>
      </x:c>
      <x:c r="M1324" s="71" t="str">
        <x:v>Pending review</x:v>
      </x:c>
      <x:c r="N1324" s="71" t="str">
        <x:v>Normal</x:v>
      </x:c>
      <x:c r="O1324" s="71" t="str">
        <x:v>components/journey-globe.tsx</x:v>
      </x:c>
      <x:c r="P1324" s="71" t="str">
        <x:v>places:65</x:v>
      </x:c>
      <x:c r="Q1324" s="71" t="str">
        <x:v>EN (default / shared)</x:v>
      </x:c>
      <x:c r="R1324" s="71" t="str">
        <x:v>Already clear and direct; suggested wording intentionally keeps the current copy.</x:v>
      </x:c>
      <x:c r="S1324" s="75" t="str">
        <x:v>Not applied — review required</x:v>
      </x:c>
    </x:row>
    <x:row r="1325">
      <x:c r="A1325" s="71" t="str">
        <x:v>MRV-26DBB0F0D5</x:v>
      </x:c>
      <x:c r="B1325" s="71" t="str">
        <x:v>System</x:v>
      </x:c>
      <x:c r="C1325" s="71" t="str">
        <x:v>Shared recovery / system</x:v>
      </x:c>
      <x:c r="D1325" s="71" t="str">
        <x:v>Shared</x:v>
      </x:c>
      <x:c r="E1325" s="71" t="str">
        <x:v>places</x:v>
      </x:c>
      <x:c r="F1325" s="71" t="str">
        <x:v>Accessibility / input support</x:v>
      </x:c>
      <x:c r="G1325" s="71" t="str">
        <x:v>Image alternative</x:v>
      </x:c>
      <x:c r="H1325" s="71" t="str">
        <x:v>Lake and greenery in Chengdu People's Park</x:v>
      </x:c>
      <x:c r="I1325" s="71" t="str">
        <x:v>Lake and greenery in Chengdu People's Park</x:v>
      </x:c>
      <x:c r="J1325" s="73"/>
      <x:c r="K1325" s="74" t="str">
        <x:f>IF(J1325="",H1325,IF(J1325=I1325,I1325,J1325))</x:f>
        <x:v>Lake and greenery in Chengdu People's Park</x:v>
      </x:c>
      <x:c r="L1325" s="74" t="str">
        <x:f>IF(J1325="","Keep current",IF(J1325=I1325,"Use suggestion","Custom"))</x:f>
        <x:v>Keep current</x:v>
      </x:c>
      <x:c r="M1325" s="71" t="str">
        <x:v>Pending review</x:v>
      </x:c>
      <x:c r="N1325" s="71" t="str">
        <x:v>Normal</x:v>
      </x:c>
      <x:c r="O1325" s="71" t="str">
        <x:v>components/journey-globe.tsx</x:v>
      </x:c>
      <x:c r="P1325" s="71" t="str">
        <x:v>places:66</x:v>
      </x:c>
      <x:c r="Q1325" s="71" t="str">
        <x:v>EN (default / shared)</x:v>
      </x:c>
      <x:c r="R1325" s="71" t="str">
        <x:v>Already clear and direct; suggested wording intentionally keeps the current copy.</x:v>
      </x:c>
      <x:c r="S1325" s="75" t="str">
        <x:v>Not applied — review required</x:v>
      </x:c>
    </x:row>
    <x:row r="1326">
      <x:c r="A1326" s="71" t="str">
        <x:v>MRV-7C8500488D</x:v>
      </x:c>
      <x:c r="B1326" s="71" t="str">
        <x:v>System</x:v>
      </x:c>
      <x:c r="C1326" s="71" t="str">
        <x:v>Shared recovery / system</x:v>
      </x:c>
      <x:c r="D1326" s="71" t="str">
        <x:v>Shared</x:v>
      </x:c>
      <x:c r="E1326" s="71" t="str">
        <x:v>places</x:v>
      </x:c>
      <x:c r="F1326" s="71" t="str">
        <x:v>Accessibility / input support</x:v>
      </x:c>
      <x:c r="G1326" s="71" t="str">
        <x:v>Image alternative</x:v>
      </x:c>
      <x:c r="H1326" s="71" t="str">
        <x:v>Temples on Fanjingshan</x:v>
      </x:c>
      <x:c r="I1326" s="71" t="str">
        <x:v>Temples on Fanjingshan</x:v>
      </x:c>
      <x:c r="J1326" s="73"/>
      <x:c r="K1326" s="74" t="str">
        <x:f>IF(J1326="",H1326,IF(J1326=I1326,I1326,J1326))</x:f>
        <x:v>Temples on Fanjingshan</x:v>
      </x:c>
      <x:c r="L1326" s="74" t="str">
        <x:f>IF(J1326="","Keep current",IF(J1326=I1326,"Use suggestion","Custom"))</x:f>
        <x:v>Keep current</x:v>
      </x:c>
      <x:c r="M1326" s="71" t="str">
        <x:v>Pending review</x:v>
      </x:c>
      <x:c r="N1326" s="71" t="str">
        <x:v>Normal</x:v>
      </x:c>
      <x:c r="O1326" s="71" t="str">
        <x:v>components/journey-globe.tsx</x:v>
      </x:c>
      <x:c r="P1326" s="71" t="str">
        <x:v>places:70</x:v>
      </x:c>
      <x:c r="Q1326" s="71" t="str">
        <x:v>EN (default / shared)</x:v>
      </x:c>
      <x:c r="R1326" s="71" t="str">
        <x:v>Already clear and direct; suggested wording intentionally keeps the current copy.</x:v>
      </x:c>
      <x:c r="S1326" s="75" t="str">
        <x:v>Not applied — review required</x:v>
      </x:c>
    </x:row>
    <x:row r="1327">
      <x:c r="A1327" s="71" t="str">
        <x:v>MRV-6603ECE5FC</x:v>
      </x:c>
      <x:c r="B1327" s="71" t="str">
        <x:v>System</x:v>
      </x:c>
      <x:c r="C1327" s="71" t="str">
        <x:v>Shared recovery / system</x:v>
      </x:c>
      <x:c r="D1327" s="71" t="str">
        <x:v>Shared</x:v>
      </x:c>
      <x:c r="E1327" s="71" t="str">
        <x:v>places</x:v>
      </x:c>
      <x:c r="F1327" s="71" t="str">
        <x:v>Accessibility / input support</x:v>
      </x:c>
      <x:c r="G1327" s="71" t="str">
        <x:v>Image alternative</x:v>
      </x:c>
      <x:c r="H1327" s="71" t="str">
        <x:v>Wulingyuan sandstone pillars</x:v>
      </x:c>
      <x:c r="I1327" s="71" t="str">
        <x:v>Wulingyuan sandstone pillars</x:v>
      </x:c>
      <x:c r="J1327" s="73"/>
      <x:c r="K1327" s="74" t="str">
        <x:f>IF(J1327="",H1327,IF(J1327=I1327,I1327,J1327))</x:f>
        <x:v>Wulingyuan sandstone pillars</x:v>
      </x:c>
      <x:c r="L1327" s="74" t="str">
        <x:f>IF(J1327="","Keep current",IF(J1327=I1327,"Use suggestion","Custom"))</x:f>
        <x:v>Keep current</x:v>
      </x:c>
      <x:c r="M1327" s="71" t="str">
        <x:v>Pending review</x:v>
      </x:c>
      <x:c r="N1327" s="71" t="str">
        <x:v>Normal</x:v>
      </x:c>
      <x:c r="O1327" s="71" t="str">
        <x:v>components/journey-globe.tsx</x:v>
      </x:c>
      <x:c r="P1327" s="71" t="str">
        <x:v>places:73</x:v>
      </x:c>
      <x:c r="Q1327" s="71" t="str">
        <x:v>EN (default / shared)</x:v>
      </x:c>
      <x:c r="R1327" s="71" t="str">
        <x:v>Already clear and direct; suggested wording intentionally keeps the current copy.</x:v>
      </x:c>
      <x:c r="S1327" s="75" t="str">
        <x:v>Not applied — review required</x:v>
      </x:c>
    </x:row>
    <x:row r="1328">
      <x:c r="A1328" s="71" t="str">
        <x:v>MRV-590BCDB652</x:v>
      </x:c>
      <x:c r="B1328" s="71" t="str">
        <x:v>System</x:v>
      </x:c>
      <x:c r="C1328" s="71" t="str">
        <x:v>Shared recovery / system</x:v>
      </x:c>
      <x:c r="D1328" s="71" t="str">
        <x:v>Shared</x:v>
      </x:c>
      <x:c r="E1328" s="71" t="str">
        <x:v>places</x:v>
      </x:c>
      <x:c r="F1328" s="71" t="str">
        <x:v>Accessibility / input support</x:v>
      </x:c>
      <x:c r="G1328" s="71" t="str">
        <x:v>Image alternative</x:v>
      </x:c>
      <x:c r="H1328" s="71" t="str">
        <x:v>Sandstone pillars at Tianzi Mountain</x:v>
      </x:c>
      <x:c r="I1328" s="71" t="str">
        <x:v>Sandstone pillars at Tianzi Mountain</x:v>
      </x:c>
      <x:c r="J1328" s="73"/>
      <x:c r="K1328" s="74" t="str">
        <x:f>IF(J1328="",H1328,IF(J1328=I1328,I1328,J1328))</x:f>
        <x:v>Sandstone pillars at Tianzi Mountain</x:v>
      </x:c>
      <x:c r="L1328" s="74" t="str">
        <x:f>IF(J1328="","Keep current",IF(J1328=I1328,"Use suggestion","Custom"))</x:f>
        <x:v>Keep current</x:v>
      </x:c>
      <x:c r="M1328" s="71" t="str">
        <x:v>Pending review</x:v>
      </x:c>
      <x:c r="N1328" s="71" t="str">
        <x:v>Normal</x:v>
      </x:c>
      <x:c r="O1328" s="71" t="str">
        <x:v>components/journey-globe.tsx</x:v>
      </x:c>
      <x:c r="P1328" s="71" t="str">
        <x:v>places:74</x:v>
      </x:c>
      <x:c r="Q1328" s="71" t="str">
        <x:v>EN (default / shared)</x:v>
      </x:c>
      <x:c r="R1328" s="71" t="str">
        <x:v>Already clear and direct; suggested wording intentionally keeps the current copy.</x:v>
      </x:c>
      <x:c r="S1328" s="75" t="str">
        <x:v>Not applied — review required</x:v>
      </x:c>
    </x:row>
    <x:row r="1329">
      <x:c r="A1329" s="71" t="str">
        <x:v>MRV-6451412EA8</x:v>
      </x:c>
      <x:c r="B1329" s="71" t="str">
        <x:v>System</x:v>
      </x:c>
      <x:c r="C1329" s="71" t="str">
        <x:v>Shared recovery / system</x:v>
      </x:c>
      <x:c r="D1329" s="71" t="str">
        <x:v>Shared</x:v>
      </x:c>
      <x:c r="E1329" s="71" t="str">
        <x:v>places</x:v>
      </x:c>
      <x:c r="F1329" s="71" t="str">
        <x:v>Accessibility / input support</x:v>
      </x:c>
      <x:c r="G1329" s="71" t="str">
        <x:v>Image alternative</x:v>
      </x:c>
      <x:c r="H1329" s="71" t="str">
        <x:v>Forest and water along Golden Whip Stream</x:v>
      </x:c>
      <x:c r="I1329" s="71" t="str">
        <x:v>Forest and water along Golden Whip Stream</x:v>
      </x:c>
      <x:c r="J1329" s="73"/>
      <x:c r="K1329" s="74" t="str">
        <x:f>IF(J1329="",H1329,IF(J1329=I1329,I1329,J1329))</x:f>
        <x:v>Forest and water along Golden Whip Stream</x:v>
      </x:c>
      <x:c r="L1329" s="74" t="str">
        <x:f>IF(J1329="","Keep current",IF(J1329=I1329,"Use suggestion","Custom"))</x:f>
        <x:v>Keep current</x:v>
      </x:c>
      <x:c r="M1329" s="71" t="str">
        <x:v>Pending review</x:v>
      </x:c>
      <x:c r="N1329" s="71" t="str">
        <x:v>Normal</x:v>
      </x:c>
      <x:c r="O1329" s="71" t="str">
        <x:v>components/journey-globe.tsx</x:v>
      </x:c>
      <x:c r="P1329" s="71" t="str">
        <x:v>places:75</x:v>
      </x:c>
      <x:c r="Q1329" s="71" t="str">
        <x:v>EN (default / shared)</x:v>
      </x:c>
      <x:c r="R1329" s="71" t="str">
        <x:v>Already clear and direct; suggested wording intentionally keeps the current copy.</x:v>
      </x:c>
      <x:c r="S1329" s="75" t="str">
        <x:v>Not applied — review required</x:v>
      </x:c>
    </x:row>
    <x:row r="1330">
      <x:c r="A1330" s="71" t="str">
        <x:v>MRV-2DB6DC75FB</x:v>
      </x:c>
      <x:c r="B1330" s="71" t="str">
        <x:v>System</x:v>
      </x:c>
      <x:c r="C1330" s="71" t="str">
        <x:v>Shared recovery / system</x:v>
      </x:c>
      <x:c r="D1330" s="71" t="str">
        <x:v>Shared</x:v>
      </x:c>
      <x:c r="E1330" s="71" t="str">
        <x:v>places</x:v>
      </x:c>
      <x:c r="F1330" s="71" t="str">
        <x:v>Accessibility / input support</x:v>
      </x:c>
      <x:c r="G1330" s="71" t="str">
        <x:v>Image alternative</x:v>
      </x:c>
      <x:c r="H1330" s="71" t="str">
        <x:v>Cableway climbing Tianmen Mountain</x:v>
      </x:c>
      <x:c r="I1330" s="71" t="str">
        <x:v>Cableway climbing Tianmen Mountain</x:v>
      </x:c>
      <x:c r="J1330" s="73"/>
      <x:c r="K1330" s="74" t="str">
        <x:f>IF(J1330="",H1330,IF(J1330=I1330,I1330,J1330))</x:f>
        <x:v>Cableway climbing Tianmen Mountain</x:v>
      </x:c>
      <x:c r="L1330" s="74" t="str">
        <x:f>IF(J1330="","Keep current",IF(J1330=I1330,"Use suggestion","Custom"))</x:f>
        <x:v>Keep current</x:v>
      </x:c>
      <x:c r="M1330" s="71" t="str">
        <x:v>Pending review</x:v>
      </x:c>
      <x:c r="N1330" s="71" t="str">
        <x:v>Normal</x:v>
      </x:c>
      <x:c r="O1330" s="71" t="str">
        <x:v>components/journey-globe.tsx</x:v>
      </x:c>
      <x:c r="P1330" s="71" t="str">
        <x:v>places:78</x:v>
      </x:c>
      <x:c r="Q1330" s="71" t="str">
        <x:v>EN (default / shared)</x:v>
      </x:c>
      <x:c r="R1330" s="71" t="str">
        <x:v>Already clear and direct; suggested wording intentionally keeps the current copy.</x:v>
      </x:c>
      <x:c r="S1330" s="75" t="str">
        <x:v>Not applied — review required</x:v>
      </x:c>
    </x:row>
    <x:row r="1331">
      <x:c r="A1331" s="71" t="str">
        <x:v>MRV-C4B80CDADA</x:v>
      </x:c>
      <x:c r="B1331" s="71" t="str">
        <x:v>System</x:v>
      </x:c>
      <x:c r="C1331" s="71" t="str">
        <x:v>Shared recovery / system</x:v>
      </x:c>
      <x:c r="D1331" s="71" t="str">
        <x:v>Shared</x:v>
      </x:c>
      <x:c r="E1331" s="71" t="str">
        <x:v>places</x:v>
      </x:c>
      <x:c r="F1331" s="71" t="str">
        <x:v>Accessibility / input support</x:v>
      </x:c>
      <x:c r="G1331" s="71" t="str">
        <x:v>Image alternative</x:v>
      </x:c>
      <x:c r="H1331" s="71" t="str">
        <x:v>Tianmen Mountain natural arch</x:v>
      </x:c>
      <x:c r="I1331" s="71" t="str">
        <x:v>Tianmen Mountain natural arch</x:v>
      </x:c>
      <x:c r="J1331" s="73"/>
      <x:c r="K1331" s="74" t="str">
        <x:f>IF(J1331="",H1331,IF(J1331=I1331,I1331,J1331))</x:f>
        <x:v>Tianmen Mountain natural arch</x:v>
      </x:c>
      <x:c r="L1331" s="74" t="str">
        <x:f>IF(J1331="","Keep current",IF(J1331=I1331,"Use suggestion","Custom"))</x:f>
        <x:v>Keep current</x:v>
      </x:c>
      <x:c r="M1331" s="71" t="str">
        <x:v>Pending review</x:v>
      </x:c>
      <x:c r="N1331" s="71" t="str">
        <x:v>Normal</x:v>
      </x:c>
      <x:c r="O1331" s="71" t="str">
        <x:v>components/journey-globe.tsx</x:v>
      </x:c>
      <x:c r="P1331" s="71" t="str">
        <x:v>places:79</x:v>
      </x:c>
      <x:c r="Q1331" s="71" t="str">
        <x:v>EN (default / shared)</x:v>
      </x:c>
      <x:c r="R1331" s="71" t="str">
        <x:v>Already clear and direct; suggested wording intentionally keeps the current copy.</x:v>
      </x:c>
      <x:c r="S1331" s="75" t="str">
        <x:v>Not applied — review required</x:v>
      </x:c>
    </x:row>
    <x:row r="1332">
      <x:c r="A1332" s="71" t="str">
        <x:v>MRV-2B17E31EC6</x:v>
      </x:c>
      <x:c r="B1332" s="71" t="str">
        <x:v>System</x:v>
      </x:c>
      <x:c r="C1332" s="71" t="str">
        <x:v>Shared recovery / system</x:v>
      </x:c>
      <x:c r="D1332" s="71" t="str">
        <x:v>Shared</x:v>
      </x:c>
      <x:c r="E1332" s="71" t="str">
        <x:v>places</x:v>
      </x:c>
      <x:c r="F1332" s="71" t="str">
        <x:v>Accessibility / input support</x:v>
      </x:c>
      <x:c r="G1332" s="71" t="str">
        <x:v>Image alternative</x:v>
      </x:c>
      <x:c r="H1332" s="71" t="str">
        <x:v>Victoria Harbour from the Peak</x:v>
      </x:c>
      <x:c r="I1332" s="71" t="str">
        <x:v>Victoria Harbour from the Peak</x:v>
      </x:c>
      <x:c r="J1332" s="73"/>
      <x:c r="K1332" s="74" t="str">
        <x:f>IF(J1332="",H1332,IF(J1332=I1332,I1332,J1332))</x:f>
        <x:v>Victoria Harbour from the Peak</x:v>
      </x:c>
      <x:c r="L1332" s="74" t="str">
        <x:f>IF(J1332="","Keep current",IF(J1332=I1332,"Use suggestion","Custom"))</x:f>
        <x:v>Keep current</x:v>
      </x:c>
      <x:c r="M1332" s="71" t="str">
        <x:v>Pending review</x:v>
      </x:c>
      <x:c r="N1332" s="71" t="str">
        <x:v>Normal</x:v>
      </x:c>
      <x:c r="O1332" s="71" t="str">
        <x:v>components/journey-globe.tsx</x:v>
      </x:c>
      <x:c r="P1332" s="71" t="str">
        <x:v>places:82</x:v>
      </x:c>
      <x:c r="Q1332" s="71" t="str">
        <x:v>EN (default / shared)</x:v>
      </x:c>
      <x:c r="R1332" s="71" t="str">
        <x:v>Already clear and direct; suggested wording intentionally keeps the current copy.</x:v>
      </x:c>
      <x:c r="S1332" s="75" t="str">
        <x:v>Not applied — review required</x:v>
      </x:c>
    </x:row>
    <x:row r="1333">
      <x:c r="A1333" s="71" t="str">
        <x:v>MRV-067F7DA5B8</x:v>
      </x:c>
      <x:c r="B1333" s="71" t="str">
        <x:v>System</x:v>
      </x:c>
      <x:c r="C1333" s="71" t="str">
        <x:v>Shared recovery / system</x:v>
      </x:c>
      <x:c r="D1333" s="71" t="str">
        <x:v>Shared</x:v>
      </x:c>
      <x:c r="E1333" s="71" t="str">
        <x:v>places</x:v>
      </x:c>
      <x:c r="F1333" s="71" t="str">
        <x:v>Accessibility / input support</x:v>
      </x:c>
      <x:c r="G1333" s="71" t="str">
        <x:v>Image alternative</x:v>
      </x:c>
      <x:c r="H1333" s="71" t="str">
        <x:v>Tsim Sha Tsui Star Ferry Pier on Victoria Harbour</x:v>
      </x:c>
      <x:c r="I1333" s="71" t="str">
        <x:v>Tsim Sha Tsui Star Ferry Pier on Victoria Harbour</x:v>
      </x:c>
      <x:c r="J1333" s="73"/>
      <x:c r="K1333" s="74" t="str">
        <x:f>IF(J1333="",H1333,IF(J1333=I1333,I1333,J1333))</x:f>
        <x:v>Tsim Sha Tsui Star Ferry Pier on Victoria Harbour</x:v>
      </x:c>
      <x:c r="L1333" s="74" t="str">
        <x:f>IF(J1333="","Keep current",IF(J1333=I1333,"Use suggestion","Custom"))</x:f>
        <x:v>Keep current</x:v>
      </x:c>
      <x:c r="M1333" s="71" t="str">
        <x:v>Pending review</x:v>
      </x:c>
      <x:c r="N1333" s="71" t="str">
        <x:v>Normal</x:v>
      </x:c>
      <x:c r="O1333" s="71" t="str">
        <x:v>components/journey-globe.tsx</x:v>
      </x:c>
      <x:c r="P1333" s="71" t="str">
        <x:v>places:83</x:v>
      </x:c>
      <x:c r="Q1333" s="71" t="str">
        <x:v>EN (default / shared)</x:v>
      </x:c>
      <x:c r="R1333" s="71" t="str">
        <x:v>Already clear and direct; suggested wording intentionally keeps the current copy.</x:v>
      </x:c>
      <x:c r="S1333" s="75" t="str">
        <x:v>Not applied — review required</x:v>
      </x:c>
    </x:row>
    <x:row r="1334">
      <x:c r="A1334" s="71" t="str">
        <x:v>MRV-C3A11A7C27</x:v>
      </x:c>
      <x:c r="B1334" s="71" t="str">
        <x:v>System</x:v>
      </x:c>
      <x:c r="C1334" s="71" t="str">
        <x:v>Shared recovery / system</x:v>
      </x:c>
      <x:c r="D1334" s="71" t="str">
        <x:v>Shared</x:v>
      </x:c>
      <x:c r="E1334" s="71" t="str">
        <x:v>places</x:v>
      </x:c>
      <x:c r="F1334" s="71" t="str">
        <x:v>Accessibility / input support</x:v>
      </x:c>
      <x:c r="G1334" s="71" t="str">
        <x:v>Image alternative</x:v>
      </x:c>
      <x:c r="H1334" s="71" t="str">
        <x:v>Dragon's Back trail</x:v>
      </x:c>
      <x:c r="I1334" s="71" t="str">
        <x:v>Dragon's Back trail</x:v>
      </x:c>
      <x:c r="J1334" s="73"/>
      <x:c r="K1334" s="74" t="str">
        <x:f>IF(J1334="",H1334,IF(J1334=I1334,I1334,J1334))</x:f>
        <x:v>Dragon's Back trail</x:v>
      </x:c>
      <x:c r="L1334" s="74" t="str">
        <x:f>IF(J1334="","Keep current",IF(J1334=I1334,"Use suggestion","Custom"))</x:f>
        <x:v>Keep current</x:v>
      </x:c>
      <x:c r="M1334" s="71" t="str">
        <x:v>Pending review</x:v>
      </x:c>
      <x:c r="N1334" s="71" t="str">
        <x:v>Normal</x:v>
      </x:c>
      <x:c r="O1334" s="71" t="str">
        <x:v>components/journey-globe.tsx</x:v>
      </x:c>
      <x:c r="P1334" s="71" t="str">
        <x:v>places:84</x:v>
      </x:c>
      <x:c r="Q1334" s="71" t="str">
        <x:v>EN (default / shared)</x:v>
      </x:c>
      <x:c r="R1334" s="71" t="str">
        <x:v>Already clear and direct; suggested wording intentionally keeps the current copy.</x:v>
      </x:c>
      <x:c r="S1334" s="75" t="str">
        <x:v>Not applied — review required</x:v>
      </x:c>
    </x:row>
    <x:row r="1335">
      <x:c r="A1335" s="71" t="str">
        <x:v>MRV-084C7E3056</x:v>
      </x:c>
      <x:c r="B1335" s="71" t="str">
        <x:v>System</x:v>
      </x:c>
      <x:c r="C1335" s="71" t="str">
        <x:v>Shared recovery / system</x:v>
      </x:c>
      <x:c r="D1335" s="71" t="str">
        <x:v>Shared</x:v>
      </x:c>
      <x:c r="E1335" s="71" t="str">
        <x:v>countryCode</x:v>
      </x:c>
      <x:c r="F1335" s="71" t="str">
        <x:v>Default</x:v>
      </x:c>
      <x:c r="G1335" s="71" t="str">
        <x:v>Label</x:v>
      </x:c>
      <x:c r="H1335" s="71" t="str">
        <x:v>Guatemala</x:v>
      </x:c>
      <x:c r="I1335" s="71" t="str">
        <x:v>Guatemala</x:v>
      </x:c>
      <x:c r="J1335" s="73"/>
      <x:c r="K1335" s="74" t="str">
        <x:f>IF(J1335="",H1335,IF(J1335=I1335,I1335,J1335))</x:f>
        <x:v>Guatemala</x:v>
      </x:c>
      <x:c r="L1335" s="74" t="str">
        <x:f>IF(J1335="","Keep current",IF(J1335=I1335,"Use suggestion","Custom"))</x:f>
        <x:v>Keep current</x:v>
      </x:c>
      <x:c r="M1335" s="71" t="str">
        <x:v>Pending review</x:v>
      </x:c>
      <x:c r="N1335" s="71" t="str">
        <x:v>Normal</x:v>
      </x:c>
      <x:c r="O1335" s="71" t="str">
        <x:v>components/journey-globe.tsx</x:v>
      </x:c>
      <x:c r="P1335" s="71" t="str">
        <x:v>countryCode:90</x:v>
      </x:c>
      <x:c r="Q1335" s="71" t="str">
        <x:v>EN (default / shared)</x:v>
      </x:c>
      <x:c r="R1335" s="71" t="str">
        <x:v>Already clear and direct; suggested wording intentionally keeps the current copy. Duplicate wording: appears 3 times.</x:v>
      </x:c>
      <x:c r="S1335" s="75" t="str">
        <x:v>Not applied — review required</x:v>
      </x:c>
    </x:row>
    <x:row r="1336">
      <x:c r="A1336" s="71" t="str">
        <x:v>MRV-819B09BEF3</x:v>
      </x:c>
      <x:c r="B1336" s="71" t="str">
        <x:v>System</x:v>
      </x:c>
      <x:c r="C1336" s="71" t="str">
        <x:v>Shared recovery / system</x:v>
      </x:c>
      <x:c r="D1336" s="71" t="str">
        <x:v>Shared</x:v>
      </x:c>
      <x:c r="E1336" s="71" t="str">
        <x:v>countryCode</x:v>
      </x:c>
      <x:c r="F1336" s="71" t="str">
        <x:v>Default</x:v>
      </x:c>
      <x:c r="G1336" s="71" t="str">
        <x:v>Label</x:v>
      </x:c>
      <x:c r="H1336" s="71" t="str">
        <x:v>United States</x:v>
      </x:c>
      <x:c r="I1336" s="71" t="str">
        <x:v>United States</x:v>
      </x:c>
      <x:c r="J1336" s="73"/>
      <x:c r="K1336" s="74" t="str">
        <x:f>IF(J1336="",H1336,IF(J1336=I1336,I1336,J1336))</x:f>
        <x:v>United States</x:v>
      </x:c>
      <x:c r="L1336" s="74" t="str">
        <x:f>IF(J1336="","Keep current",IF(J1336=I1336,"Use suggestion","Custom"))</x:f>
        <x:v>Keep current</x:v>
      </x:c>
      <x:c r="M1336" s="71" t="str">
        <x:v>Pending review</x:v>
      </x:c>
      <x:c r="N1336" s="71" t="str">
        <x:v>Normal</x:v>
      </x:c>
      <x:c r="O1336" s="71" t="str">
        <x:v>components/journey-globe.tsx</x:v>
      </x:c>
      <x:c r="P1336" s="71" t="str">
        <x:v>countryCode:91</x:v>
      </x:c>
      <x:c r="Q1336" s="71" t="str">
        <x:v>EN (default / shared)</x:v>
      </x:c>
      <x:c r="R1336" s="71" t="str">
        <x:v>Already clear and direct; suggested wording intentionally keeps the current copy. Duplicate wording: appears 3 times.</x:v>
      </x:c>
      <x:c r="S1336" s="75" t="str">
        <x:v>Not applied — review required</x:v>
      </x:c>
    </x:row>
    <x:row r="1337">
      <x:c r="A1337" s="71" t="str">
        <x:v>MRV-78DF7AC7DD</x:v>
      </x:c>
      <x:c r="B1337" s="71" t="str">
        <x:v>System</x:v>
      </x:c>
      <x:c r="C1337" s="71" t="str">
        <x:v>Shared recovery / system</x:v>
      </x:c>
      <x:c r="D1337" s="71" t="str">
        <x:v>Shared</x:v>
      </x:c>
      <x:c r="E1337" s="71" t="str">
        <x:v>countryCode</x:v>
      </x:c>
      <x:c r="F1337" s="71" t="str">
        <x:v>Default</x:v>
      </x:c>
      <x:c r="G1337" s="71" t="str">
        <x:v>Label</x:v>
      </x:c>
      <x:c r="H1337" s="71" t="str">
        <x:v>Japan</x:v>
      </x:c>
      <x:c r="I1337" s="71" t="str">
        <x:v>Japan</x:v>
      </x:c>
      <x:c r="J1337" s="73"/>
      <x:c r="K1337" s="74" t="str">
        <x:f>IF(J1337="",H1337,IF(J1337=I1337,I1337,J1337))</x:f>
        <x:v>Japan</x:v>
      </x:c>
      <x:c r="L1337" s="74" t="str">
        <x:f>IF(J1337="","Keep current",IF(J1337=I1337,"Use suggestion","Custom"))</x:f>
        <x:v>Keep current</x:v>
      </x:c>
      <x:c r="M1337" s="71" t="str">
        <x:v>Pending review</x:v>
      </x:c>
      <x:c r="N1337" s="71" t="str">
        <x:v>Normal</x:v>
      </x:c>
      <x:c r="O1337" s="71" t="str">
        <x:v>components/journey-globe.tsx</x:v>
      </x:c>
      <x:c r="P1337" s="71" t="str">
        <x:v>countryCode:92</x:v>
      </x:c>
      <x:c r="Q1337" s="71" t="str">
        <x:v>EN (default / shared)</x:v>
      </x:c>
      <x:c r="R1337" s="71" t="str">
        <x:v>Already clear and direct; suggested wording intentionally keeps the current copy. Duplicate wording: appears 2 times.</x:v>
      </x:c>
      <x:c r="S1337" s="75" t="str">
        <x:v>Not applied — review required</x:v>
      </x:c>
    </x:row>
    <x:row r="1338">
      <x:c r="A1338" s="71" t="str">
        <x:v>MRV-E95252F694</x:v>
      </x:c>
      <x:c r="B1338" s="71" t="str">
        <x:v>System</x:v>
      </x:c>
      <x:c r="C1338" s="71" t="str">
        <x:v>Shared recovery / system</x:v>
      </x:c>
      <x:c r="D1338" s="71" t="str">
        <x:v>Shared</x:v>
      </x:c>
      <x:c r="E1338" s="71" t="str">
        <x:v>countryCode</x:v>
      </x:c>
      <x:c r="F1338" s="71" t="str">
        <x:v>Default</x:v>
      </x:c>
      <x:c r="G1338" s="71" t="str">
        <x:v>Label</x:v>
      </x:c>
      <x:c r="H1338" s="71" t="str">
        <x:v>China</x:v>
      </x:c>
      <x:c r="I1338" s="71" t="str">
        <x:v>China</x:v>
      </x:c>
      <x:c r="J1338" s="73"/>
      <x:c r="K1338" s="74" t="str">
        <x:f>IF(J1338="",H1338,IF(J1338=I1338,I1338,J1338))</x:f>
        <x:v>China</x:v>
      </x:c>
      <x:c r="L1338" s="74" t="str">
        <x:f>IF(J1338="","Keep current",IF(J1338=I1338,"Use suggestion","Custom"))</x:f>
        <x:v>Keep current</x:v>
      </x:c>
      <x:c r="M1338" s="71" t="str">
        <x:v>Pending review</x:v>
      </x:c>
      <x:c r="N1338" s="71" t="str">
        <x:v>Normal</x:v>
      </x:c>
      <x:c r="O1338" s="71" t="str">
        <x:v>components/journey-globe.tsx</x:v>
      </x:c>
      <x:c r="P1338" s="71" t="str">
        <x:v>countryCode:93</x:v>
      </x:c>
      <x:c r="Q1338" s="71" t="str">
        <x:v>EN (default / shared)</x:v>
      </x:c>
      <x:c r="R1338" s="71" t="str">
        <x:v>Already clear and direct; suggested wording intentionally keeps the current copy. Duplicate wording: appears 3 times.</x:v>
      </x:c>
      <x:c r="S1338" s="75" t="str">
        <x:v>Not applied — review required</x:v>
      </x:c>
    </x:row>
    <x:row r="1339">
      <x:c r="A1339" s="71" t="str">
        <x:v>MRV-D0083ACB06</x:v>
      </x:c>
      <x:c r="B1339" s="71" t="str">
        <x:v>System</x:v>
      </x:c>
      <x:c r="C1339" s="71" t="str">
        <x:v>Shared recovery / system</x:v>
      </x:c>
      <x:c r="D1339" s="71" t="str">
        <x:v>Shared</x:v>
      </x:c>
      <x:c r="E1339" s="71" t="str">
        <x:v>countryCode</x:v>
      </x:c>
      <x:c r="F1339" s="71" t="str">
        <x:v>Default</x:v>
      </x:c>
      <x:c r="G1339" s="71" t="str">
        <x:v>Label</x:v>
      </x:c>
      <x:c r="H1339" s="71" t="str">
        <x:v>Hong Kong</x:v>
      </x:c>
      <x:c r="I1339" s="71" t="str">
        <x:v>Hong Kong</x:v>
      </x:c>
      <x:c r="J1339" s="73"/>
      <x:c r="K1339" s="74" t="str">
        <x:f>IF(J1339="",H1339,IF(J1339=I1339,I1339,J1339))</x:f>
        <x:v>Hong Kong</x:v>
      </x:c>
      <x:c r="L1339" s="74" t="str">
        <x:f>IF(J1339="","Keep current",IF(J1339=I1339,"Use suggestion","Custom"))</x:f>
        <x:v>Keep current</x:v>
      </x:c>
      <x:c r="M1339" s="71" t="str">
        <x:v>Pending review</x:v>
      </x:c>
      <x:c r="N1339" s="71" t="str">
        <x:v>Normal</x:v>
      </x:c>
      <x:c r="O1339" s="71" t="str">
        <x:v>components/journey-globe.tsx</x:v>
      </x:c>
      <x:c r="P1339" s="71" t="str">
        <x:v>countryCode:94</x:v>
      </x:c>
      <x:c r="Q1339" s="71" t="str">
        <x:v>EN (default / shared)</x:v>
      </x:c>
      <x:c r="R1339" s="71" t="str">
        <x:v>Already clear and direct; suggested wording intentionally keeps the current copy. Duplicate wording: appears 2 times.</x:v>
      </x:c>
      <x:c r="S1339" s="75" t="str">
        <x:v>Not applied — review required</x:v>
      </x:c>
    </x:row>
    <x:row r="1340">
      <x:c r="A1340" s="71" t="str">
        <x:v>MRV-F6468AF0D3</x:v>
      </x:c>
      <x:c r="B1340" s="71" t="str">
        <x:v>System</x:v>
      </x:c>
      <x:c r="C1340" s="71" t="str">
        <x:v>Shared recovery / system</x:v>
      </x:c>
      <x:c r="D1340" s="71" t="str">
        <x:v>Shared</x:v>
      </x:c>
      <x:c r="E1340" s="71" t="str">
        <x:v>countryZoom</x:v>
      </x:c>
      <x:c r="F1340" s="71" t="str">
        <x:v>Default</x:v>
      </x:c>
      <x:c r="G1340" s="71" t="str">
        <x:v>Label</x:v>
      </x:c>
      <x:c r="H1340" s="71" t="str">
        <x:v>United States</x:v>
      </x:c>
      <x:c r="I1340" s="71" t="str">
        <x:v>United States</x:v>
      </x:c>
      <x:c r="J1340" s="73"/>
      <x:c r="K1340" s="74" t="str">
        <x:f>IF(J1340="",H1340,IF(J1340=I1340,I1340,J1340))</x:f>
        <x:v>United States</x:v>
      </x:c>
      <x:c r="L1340" s="74" t="str">
        <x:f>IF(J1340="","Keep current",IF(J1340=I1340,"Use suggestion","Custom"))</x:f>
        <x:v>Keep current</x:v>
      </x:c>
      <x:c r="M1340" s="71" t="str">
        <x:v>Pending review</x:v>
      </x:c>
      <x:c r="N1340" s="71" t="str">
        <x:v>Normal</x:v>
      </x:c>
      <x:c r="O1340" s="71" t="str">
        <x:v>components/journey-globe.tsx</x:v>
      </x:c>
      <x:c r="P1340" s="71" t="str">
        <x:v>countryZoom:99</x:v>
      </x:c>
      <x:c r="Q1340" s="71" t="str">
        <x:v>EN (default / shared)</x:v>
      </x:c>
      <x:c r="R1340" s="71" t="str">
        <x:v>Already clear and direct; suggested wording intentionally keeps the current copy. Duplicate wording: appears 3 times.</x:v>
      </x:c>
      <x:c r="S1340" s="75" t="str">
        <x:v>Not applied — review required</x:v>
      </x:c>
    </x:row>
    <x:row r="1341">
      <x:c r="A1341" s="71" t="str">
        <x:v>MRV-24CB34D681</x:v>
      </x:c>
      <x:c r="B1341" s="71" t="str">
        <x:v>System</x:v>
      </x:c>
      <x:c r="C1341" s="71" t="str">
        <x:v>Shared recovery / system</x:v>
      </x:c>
      <x:c r="D1341" s="71" t="str">
        <x:v>Shared</x:v>
      </x:c>
      <x:c r="E1341" s="71" t="str">
        <x:v>countryZoom</x:v>
      </x:c>
      <x:c r="F1341" s="71" t="str">
        <x:v>Default</x:v>
      </x:c>
      <x:c r="G1341" s="71" t="str">
        <x:v>Label</x:v>
      </x:c>
      <x:c r="H1341" s="71" t="str">
        <x:v>Guatemala</x:v>
      </x:c>
      <x:c r="I1341" s="71" t="str">
        <x:v>Guatemala</x:v>
      </x:c>
      <x:c r="J1341" s="73"/>
      <x:c r="K1341" s="74" t="str">
        <x:f>IF(J1341="",H1341,IF(J1341=I1341,I1341,J1341))</x:f>
        <x:v>Guatemala</x:v>
      </x:c>
      <x:c r="L1341" s="74" t="str">
        <x:f>IF(J1341="","Keep current",IF(J1341=I1341,"Use suggestion","Custom"))</x:f>
        <x:v>Keep current</x:v>
      </x:c>
      <x:c r="M1341" s="71" t="str">
        <x:v>Pending review</x:v>
      </x:c>
      <x:c r="N1341" s="71" t="str">
        <x:v>Normal</x:v>
      </x:c>
      <x:c r="O1341" s="71" t="str">
        <x:v>components/journey-globe.tsx</x:v>
      </x:c>
      <x:c r="P1341" s="71" t="str">
        <x:v>countryZoom:100</x:v>
      </x:c>
      <x:c r="Q1341" s="71" t="str">
        <x:v>EN (default / shared)</x:v>
      </x:c>
      <x:c r="R1341" s="71" t="str">
        <x:v>Already clear and direct; suggested wording intentionally keeps the current copy. Duplicate wording: appears 3 times.</x:v>
      </x:c>
      <x:c r="S1341" s="75" t="str">
        <x:v>Not applied — review required</x:v>
      </x:c>
    </x:row>
    <x:row r="1342">
      <x:c r="A1342" s="71" t="str">
        <x:v>MRV-BDF99CBA96</x:v>
      </x:c>
      <x:c r="B1342" s="71" t="str">
        <x:v>System</x:v>
      </x:c>
      <x:c r="C1342" s="71" t="str">
        <x:v>Shared recovery / system</x:v>
      </x:c>
      <x:c r="D1342" s="71" t="str">
        <x:v>Shared</x:v>
      </x:c>
      <x:c r="E1342" s="71" t="str">
        <x:v>countryZoom</x:v>
      </x:c>
      <x:c r="F1342" s="71" t="str">
        <x:v>Default</x:v>
      </x:c>
      <x:c r="G1342" s="71" t="str">
        <x:v>Label</x:v>
      </x:c>
      <x:c r="H1342" s="71" t="str">
        <x:v>Japan</x:v>
      </x:c>
      <x:c r="I1342" s="71" t="str">
        <x:v>Japan</x:v>
      </x:c>
      <x:c r="J1342" s="73"/>
      <x:c r="K1342" s="74" t="str">
        <x:f>IF(J1342="",H1342,IF(J1342=I1342,I1342,J1342))</x:f>
        <x:v>Japan</x:v>
      </x:c>
      <x:c r="L1342" s="74" t="str">
        <x:f>IF(J1342="","Keep current",IF(J1342=I1342,"Use suggestion","Custom"))</x:f>
        <x:v>Keep current</x:v>
      </x:c>
      <x:c r="M1342" s="71" t="str">
        <x:v>Pending review</x:v>
      </x:c>
      <x:c r="N1342" s="71" t="str">
        <x:v>Normal</x:v>
      </x:c>
      <x:c r="O1342" s="71" t="str">
        <x:v>components/journey-globe.tsx</x:v>
      </x:c>
      <x:c r="P1342" s="71" t="str">
        <x:v>countryZoom:102</x:v>
      </x:c>
      <x:c r="Q1342" s="71" t="str">
        <x:v>EN (default / shared)</x:v>
      </x:c>
      <x:c r="R1342" s="71" t="str">
        <x:v>Already clear and direct; suggested wording intentionally keeps the current copy. Duplicate wording: appears 2 times.</x:v>
      </x:c>
      <x:c r="S1342" s="75" t="str">
        <x:v>Not applied — review required</x:v>
      </x:c>
    </x:row>
    <x:row r="1343">
      <x:c r="A1343" s="71" t="str">
        <x:v>MRV-8467DA0416</x:v>
      </x:c>
      <x:c r="B1343" s="71" t="str">
        <x:v>System</x:v>
      </x:c>
      <x:c r="C1343" s="71" t="str">
        <x:v>Shared recovery / system</x:v>
      </x:c>
      <x:c r="D1343" s="71" t="str">
        <x:v>Shared</x:v>
      </x:c>
      <x:c r="E1343" s="71" t="str">
        <x:v>countryZoom</x:v>
      </x:c>
      <x:c r="F1343" s="71" t="str">
        <x:v>Default</x:v>
      </x:c>
      <x:c r="G1343" s="71" t="str">
        <x:v>Label</x:v>
      </x:c>
      <x:c r="H1343" s="71" t="str">
        <x:v>Hong Kong</x:v>
      </x:c>
      <x:c r="I1343" s="71" t="str">
        <x:v>Hong Kong</x:v>
      </x:c>
      <x:c r="J1343" s="73"/>
      <x:c r="K1343" s="74" t="str">
        <x:f>IF(J1343="",H1343,IF(J1343=I1343,I1343,J1343))</x:f>
        <x:v>Hong Kong</x:v>
      </x:c>
      <x:c r="L1343" s="74" t="str">
        <x:f>IF(J1343="","Keep current",IF(J1343=I1343,"Use suggestion","Custom"))</x:f>
        <x:v>Keep current</x:v>
      </x:c>
      <x:c r="M1343" s="71" t="str">
        <x:v>Pending review</x:v>
      </x:c>
      <x:c r="N1343" s="71" t="str">
        <x:v>Normal</x:v>
      </x:c>
      <x:c r="O1343" s="71" t="str">
        <x:v>components/journey-globe.tsx</x:v>
      </x:c>
      <x:c r="P1343" s="71" t="str">
        <x:v>countryZoom:107</x:v>
      </x:c>
      <x:c r="Q1343" s="71" t="str">
        <x:v>EN (default / shared)</x:v>
      </x:c>
      <x:c r="R1343" s="71" t="str">
        <x:v>Already clear and direct; suggested wording intentionally keeps the current copy. Duplicate wording: appears 2 times.</x:v>
      </x:c>
      <x:c r="S1343" s="75" t="str">
        <x:v>Not applied — review required</x:v>
      </x:c>
    </x:row>
    <x:row r="1344">
      <x:c r="A1344" s="71" t="str">
        <x:v>MRV-A16C8D2A13</x:v>
      </x:c>
      <x:c r="B1344" s="71" t="str">
        <x:v>System</x:v>
      </x:c>
      <x:c r="C1344" s="71" t="str">
        <x:v>Shared recovery / system</x:v>
      </x:c>
      <x:c r="D1344" s="71" t="str">
        <x:v>Shared</x:v>
      </x:c>
      <x:c r="E1344" s="71" t="str">
        <x:v>placeAddress</x:v>
      </x:c>
      <x:c r="F1344" s="71" t="str">
        <x:v>Default</x:v>
      </x:c>
      <x:c r="G1344" s="71" t="str">
        <x:v>Body copy</x:v>
      </x:c>
      <x:c r="H1344" s="71" t="str">
        <x:v>{place.name}, {stop.city}, {stop.country}</x:v>
      </x:c>
      <x:c r="I1344" s="71" t="str">
        <x:v>{place.name}, {stop.city}, {stop.country}</x:v>
      </x:c>
      <x:c r="J1344" s="73"/>
      <x:c r="K1344" s="74" t="str">
        <x:f>IF(J1344="",H1344,IF(J1344=I1344,I1344,J1344))</x:f>
        <x:v>{place.name}, {stop.city}, {stop.country}</x:v>
      </x:c>
      <x:c r="L1344" s="74" t="str">
        <x:f>IF(J1344="","Keep current",IF(J1344=I1344,"Use suggestion","Custom"))</x:f>
        <x:v>Keep current</x:v>
      </x:c>
      <x:c r="M1344" s="71" t="str">
        <x:v>Pending review</x:v>
      </x:c>
      <x:c r="N1344" s="71" t="str">
        <x:v>Normal</x:v>
      </x:c>
      <x:c r="O1344" s="71" t="str">
        <x:v>components/journey-globe.tsx</x:v>
      </x:c>
      <x:c r="P1344" s="71" t="str">
        <x:v>placeAddress:130</x:v>
      </x:c>
      <x:c r="Q1344" s="71" t="str">
        <x:v>EN (default / shared)</x:v>
      </x:c>
      <x:c r="R134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344" s="75" t="str">
        <x:v>Not applied — review required</x:v>
      </x:c>
    </x:row>
    <x:row r="1345">
      <x:c r="A1345" s="71" t="str">
        <x:v>MRV-AE4D29A378</x:v>
      </x:c>
      <x:c r="B1345" s="71" t="str">
        <x:v>System</x:v>
      </x:c>
      <x:c r="C1345" s="71" t="str">
        <x:v>Shared recovery / system</x:v>
      </x:c>
      <x:c r="D1345" s="71" t="str">
        <x:v>Shared</x:v>
      </x:c>
      <x:c r="E1345" s="71" t="str">
        <x:v>placeMapUrl</x:v>
      </x:c>
      <x:c r="F1345" s="71" t="str">
        <x:v>Default</x:v>
      </x:c>
      <x:c r="G1345" s="71" t="str">
        <x:v>Label</x:v>
      </x:c>
      <x:c r="H1345" s="71" t="str">
        <x:v>China</x:v>
      </x:c>
      <x:c r="I1345" s="71" t="str">
        <x:v>China</x:v>
      </x:c>
      <x:c r="J1345" s="73"/>
      <x:c r="K1345" s="74" t="str">
        <x:f>IF(J1345="",H1345,IF(J1345=I1345,I1345,J1345))</x:f>
        <x:v>China</x:v>
      </x:c>
      <x:c r="L1345" s="74" t="str">
        <x:f>IF(J1345="","Keep current",IF(J1345=I1345,"Use suggestion","Custom"))</x:f>
        <x:v>Keep current</x:v>
      </x:c>
      <x:c r="M1345" s="71" t="str">
        <x:v>Pending review</x:v>
      </x:c>
      <x:c r="N1345" s="71" t="str">
        <x:v>Normal</x:v>
      </x:c>
      <x:c r="O1345" s="71" t="str">
        <x:v>components/journey-globe.tsx</x:v>
      </x:c>
      <x:c r="P1345" s="71" t="str">
        <x:v>placeMapUrl:135</x:v>
      </x:c>
      <x:c r="Q1345" s="71" t="str">
        <x:v>EN (default / shared)</x:v>
      </x:c>
      <x:c r="R1345" s="71" t="str">
        <x:v>Already clear and direct; suggested wording intentionally keeps the current copy. Duplicate wording: appears 3 times.</x:v>
      </x:c>
      <x:c r="S1345" s="75" t="str">
        <x:v>Not applied — review required</x:v>
      </x:c>
    </x:row>
    <x:row r="1346">
      <x:c r="A1346" s="71" t="str">
        <x:v>MRV-02FEF28F74</x:v>
      </x:c>
      <x:c r="B1346" s="71" t="str">
        <x:v>System</x:v>
      </x:c>
      <x:c r="C1346" s="71" t="str">
        <x:v>Shared recovery / system</x:v>
      </x:c>
      <x:c r="D1346" s="71" t="str">
        <x:v>Shared</x:v>
      </x:c>
      <x:c r="E1346" s="71" t="str">
        <x:v>media</x:v>
      </x:c>
      <x:c r="F1346" s="71" t="str">
        <x:v>Default</x:v>
      </x:c>
      <x:c r="G1346" s="71" t="str">
        <x:v>Label</x:v>
      </x:c>
      <x:c r="H1346" s="71" t="str">
        <x:v>(max-width: 980px)</x:v>
      </x:c>
      <x:c r="I1346" s="71" t="str">
        <x:v>(max-width: 980px)</x:v>
      </x:c>
      <x:c r="J1346" s="73"/>
      <x:c r="K1346" s="74" t="str">
        <x:f>IF(J1346="",H1346,IF(J1346=I1346,I1346,J1346))</x:f>
        <x:v>(max-width: 980px)</x:v>
      </x:c>
      <x:c r="L1346" s="74" t="str">
        <x:f>IF(J1346="","Keep current",IF(J1346=I1346,"Use suggestion","Custom"))</x:f>
        <x:v>Keep current</x:v>
      </x:c>
      <x:c r="M1346" s="71" t="str">
        <x:v>Pending review</x:v>
      </x:c>
      <x:c r="N1346" s="71" t="str">
        <x:v>Normal</x:v>
      </x:c>
      <x:c r="O1346" s="71" t="str">
        <x:v>components/journey-globe.tsx</x:v>
      </x:c>
      <x:c r="P1346" s="71" t="str">
        <x:v>media:171</x:v>
      </x:c>
      <x:c r="Q1346" s="71" t="str">
        <x:v>EN (default / shared)</x:v>
      </x:c>
      <x:c r="R1346" s="71" t="str">
        <x:v>Already clear and direct; suggested wording intentionally keeps the current copy.</x:v>
      </x:c>
      <x:c r="S1346" s="75" t="str">
        <x:v>Not applied — review required</x:v>
      </x:c>
    </x:row>
    <x:row r="1347">
      <x:c r="A1347" s="71" t="str">
        <x:v>MRV-DFE8833389</x:v>
      </x:c>
      <x:c r="B1347" s="71" t="str">
        <x:v>System</x:v>
      </x:c>
      <x:c r="C1347" s="71" t="str">
        <x:v>Shared recovery / system</x:v>
      </x:c>
      <x:c r="D1347" s="71" t="str">
        <x:v>Shared</x:v>
      </x:c>
      <x:c r="E1347" s="71" t="str">
        <x:v>writeView</x:v>
      </x:c>
      <x:c r="F1347" s="71" t="str">
        <x:v>Default</x:v>
      </x:c>
      <x:c r="G1347" s="71" t="str">
        <x:v>Body copy</x:v>
      </x:c>
      <x:c r="H1347" s="71" t="str">
        <x:v>translate({next.x} {next.y}) scale({next.scale})</x:v>
      </x:c>
      <x:c r="I1347" s="71" t="str">
        <x:v>translate({next.x} {next.y}) scale({next.scale})</x:v>
      </x:c>
      <x:c r="J1347" s="73"/>
      <x:c r="K1347" s="74" t="str">
        <x:f>IF(J1347="",H1347,IF(J1347=I1347,I1347,J1347))</x:f>
        <x:v>translate({next.x} {next.y}) scale({next.scale})</x:v>
      </x:c>
      <x:c r="L1347" s="74" t="str">
        <x:f>IF(J1347="","Keep current",IF(J1347=I1347,"Use suggestion","Custom"))</x:f>
        <x:v>Keep current</x:v>
      </x:c>
      <x:c r="M1347" s="71" t="str">
        <x:v>Pending review</x:v>
      </x:c>
      <x:c r="N1347" s="71" t="str">
        <x:v>Normal</x:v>
      </x:c>
      <x:c r="O1347" s="71" t="str">
        <x:v>components/journey-globe.tsx</x:v>
      </x:c>
      <x:c r="P1347" s="71" t="str">
        <x:v>writeView:262</x:v>
      </x:c>
      <x:c r="Q1347" s="71" t="str">
        <x:v>EN (default / shared)</x:v>
      </x:c>
      <x:c r="R1347" s="71" t="str">
        <x:v>Already clear and direct; suggested wording intentionally keeps the current copy. Dynamic traveller or trip value is represented as a token; user-generated values are excluded.</x:v>
      </x:c>
      <x:c r="S1347" s="75" t="str">
        <x:v>Not applied — review required</x:v>
      </x:c>
    </x:row>
    <x:row r="1348">
      <x:c r="A1348" s="71" t="str">
        <x:v>MRV-23F3C08561</x:v>
      </x:c>
      <x:c r="B1348" s="71" t="str">
        <x:v>System</x:v>
      </x:c>
      <x:c r="C1348" s="71" t="str">
        <x:v>Shared recovery / system</x:v>
      </x:c>
      <x:c r="D1348" s="71" t="str">
        <x:v>Shared</x:v>
      </x:c>
      <x:c r="E1348" s="71" t="str">
        <x:v>writeView</x:v>
      </x:c>
      <x:c r="F1348" s="71" t="str">
        <x:v>Default</x:v>
      </x:c>
      <x:c r="G1348" s="71" t="str">
        <x:v>Label</x:v>
      </x:c>
      <x:c r="H1348" s="71" t="str">
        <x:v>scale({screenScale})</x:v>
      </x:c>
      <x:c r="I1348" s="71" t="str">
        <x:v>scale({screenScale})</x:v>
      </x:c>
      <x:c r="J1348" s="73"/>
      <x:c r="K1348" s="74" t="str">
        <x:f>IF(J1348="",H1348,IF(J1348=I1348,I1348,J1348))</x:f>
        <x:v>scale({screenScale})</x:v>
      </x:c>
      <x:c r="L1348" s="74" t="str">
        <x:f>IF(J1348="","Keep current",IF(J1348=I1348,"Use suggestion","Custom"))</x:f>
        <x:v>Keep current</x:v>
      </x:c>
      <x:c r="M1348" s="71" t="str">
        <x:v>Pending review</x:v>
      </x:c>
      <x:c r="N1348" s="71" t="str">
        <x:v>Normal</x:v>
      </x:c>
      <x:c r="O1348" s="71" t="str">
        <x:v>components/journey-globe.tsx</x:v>
      </x:c>
      <x:c r="P1348" s="71" t="str">
        <x:v>writeView:266</x:v>
      </x:c>
      <x:c r="Q1348" s="71" t="str">
        <x:v>EN (default / shared)</x:v>
      </x:c>
      <x:c r="R1348" s="71" t="str">
        <x:v>Already clear and direct; suggested wording intentionally keeps the current copy. Dynamic traveller or trip value is represented as a token; user-generated values are excluded.</x:v>
      </x:c>
      <x:c r="S1348" s="75" t="str">
        <x:v>Not applied — review required</x:v>
      </x:c>
    </x:row>
    <x:row r="1349">
      <x:c r="A1349" s="71" t="str">
        <x:v>MRV-E1D74C4A23</x:v>
      </x:c>
      <x:c r="B1349" s="71" t="str">
        <x:v>System</x:v>
      </x:c>
      <x:c r="C1349" s="71" t="str">
        <x:v>Shared recovery / system</x:v>
      </x:c>
      <x:c r="D1349" s="71" t="str">
        <x:v>Shared</x:v>
      </x:c>
      <x:c r="E1349" s="71" t="str">
        <x:v>writeView</x:v>
      </x:c>
      <x:c r="F1349" s="71" t="str">
        <x:v>Default</x:v>
      </x:c>
      <x:c r="G1349" s="71" t="str">
        <x:v>Body copy</x:v>
      </x:c>
      <x:c r="H1349" s="71" t="str">
        <x:v>{Math.round(next.scale * 10) / 10}×</x:v>
      </x:c>
      <x:c r="I1349" s="71" t="str">
        <x:v>{Math.round(next.scale * 10) / 10}×</x:v>
      </x:c>
      <x:c r="J1349" s="73"/>
      <x:c r="K1349" s="74" t="str">
        <x:f>IF(J1349="",H1349,IF(J1349=I1349,I1349,J1349))</x:f>
        <x:v>{Math.round(next.scale * 10) / 10}×</x:v>
      </x:c>
      <x:c r="L1349" s="74" t="str">
        <x:f>IF(J1349="","Keep current",IF(J1349=I1349,"Use suggestion","Custom"))</x:f>
        <x:v>Keep current</x:v>
      </x:c>
      <x:c r="M1349" s="71" t="str">
        <x:v>Pending review</x:v>
      </x:c>
      <x:c r="N1349" s="71" t="str">
        <x:v>Normal</x:v>
      </x:c>
      <x:c r="O1349" s="71" t="str">
        <x:v>components/journey-globe.tsx</x:v>
      </x:c>
      <x:c r="P1349" s="71" t="str">
        <x:v>writeView:267</x:v>
      </x:c>
      <x:c r="Q1349" s="71" t="str">
        <x:v>EN (default / shared)</x:v>
      </x:c>
      <x:c r="R1349" s="71" t="str">
        <x:v>Already clear and direct; suggested wording intentionally keeps the current copy. Dynamic traveller or trip value is represented as a token; user-generated values are excluded.</x:v>
      </x:c>
      <x:c r="S1349" s="75" t="str">
        <x:v>Not applied — review required</x:v>
      </x:c>
    </x:row>
    <x:row r="1350">
      <x:c r="A1350" s="71" t="str">
        <x:v>MRV-44153E2237</x:v>
      </x:c>
      <x:c r="B1350" s="71" t="str">
        <x:v>System</x:v>
      </x:c>
      <x:c r="C1350" s="71" t="str">
        <x:v>Shared recovery / system</x:v>
      </x:c>
      <x:c r="D1350" s="71" t="str">
        <x:v>Shared</x:v>
      </x:c>
      <x:c r="E1350" s="71" t="str">
        <x:v>selectedPlaceMapProvider</x:v>
      </x:c>
      <x:c r="F1350" s="71" t="str">
        <x:v>Default</x:v>
      </x:c>
      <x:c r="G1350" s="71" t="str">
        <x:v>Label</x:v>
      </x:c>
      <x:c r="H1350" s="71" t="str">
        <x:v>China</x:v>
      </x:c>
      <x:c r="I1350" s="71" t="str">
        <x:v>China</x:v>
      </x:c>
      <x:c r="J1350" s="73"/>
      <x:c r="K1350" s="74" t="str">
        <x:f>IF(J1350="",H1350,IF(J1350=I1350,I1350,J1350))</x:f>
        <x:v>China</x:v>
      </x:c>
      <x:c r="L1350" s="74" t="str">
        <x:f>IF(J1350="","Keep current",IF(J1350=I1350,"Use suggestion","Custom"))</x:f>
        <x:v>Keep current</x:v>
      </x:c>
      <x:c r="M1350" s="71" t="str">
        <x:v>Pending review</x:v>
      </x:c>
      <x:c r="N1350" s="71" t="str">
        <x:v>Normal</x:v>
      </x:c>
      <x:c r="O1350" s="71" t="str">
        <x:v>components/journey-globe.tsx</x:v>
      </x:c>
      <x:c r="P1350" s="71" t="str">
        <x:v>selectedPlaceMapProvider:403</x:v>
      </x:c>
      <x:c r="Q1350" s="71" t="str">
        <x:v>EN (default / shared)</x:v>
      </x:c>
      <x:c r="R1350" s="71" t="str">
        <x:v>Already clear and direct; suggested wording intentionally keeps the current copy. Duplicate wording: appears 3 times.</x:v>
      </x:c>
      <x:c r="S1350" s="75" t="str">
        <x:v>Not applied — review required</x:v>
      </x:c>
    </x:row>
    <x:row r="1351">
      <x:c r="A1351" s="71" t="str">
        <x:v>MRV-BA45C7063F</x:v>
      </x:c>
      <x:c r="B1351" s="71" t="str">
        <x:v>System</x:v>
      </x:c>
      <x:c r="C1351" s="71" t="str">
        <x:v>Shared recovery / system</x:v>
      </x:c>
      <x:c r="D1351" s="71" t="str">
        <x:v>Shared</x:v>
      </x:c>
      <x:c r="E1351" s="71" t="str">
        <x:v>selectedPlaceMapProvider</x:v>
      </x:c>
      <x:c r="F1351" s="71" t="str">
        <x:v>Default</x:v>
      </x:c>
      <x:c r="G1351" s="71" t="str">
        <x:v>Label</x:v>
      </x:c>
      <x:c r="H1351" s="71" t="str">
        <x:v>Amap</x:v>
      </x:c>
      <x:c r="I1351" s="71" t="str">
        <x:v>Amap</x:v>
      </x:c>
      <x:c r="J1351" s="73"/>
      <x:c r="K1351" s="74" t="str">
        <x:f>IF(J1351="",H1351,IF(J1351=I1351,I1351,J1351))</x:f>
        <x:v>Amap</x:v>
      </x:c>
      <x:c r="L1351" s="74" t="str">
        <x:f>IF(J1351="","Keep current",IF(J1351=I1351,"Use suggestion","Custom"))</x:f>
        <x:v>Keep current</x:v>
      </x:c>
      <x:c r="M1351" s="71" t="str">
        <x:v>Pending review</x:v>
      </x:c>
      <x:c r="N1351" s="71" t="str">
        <x:v>Normal</x:v>
      </x:c>
      <x:c r="O1351" s="71" t="str">
        <x:v>components/journey-globe.tsx</x:v>
      </x:c>
      <x:c r="P1351" s="71" t="str">
        <x:v>selectedPlaceMapProvider:403</x:v>
      </x:c>
      <x:c r="Q1351" s="71" t="str">
        <x:v>EN (default / shared)</x:v>
      </x:c>
      <x:c r="R1351" s="71" t="str">
        <x:v>Already clear and direct; suggested wording intentionally keeps the current copy.</x:v>
      </x:c>
      <x:c r="S1351" s="75" t="str">
        <x:v>Not applied — review required</x:v>
      </x:c>
    </x:row>
    <x:row r="1352">
      <x:c r="A1352" s="71" t="str">
        <x:v>MRV-A6CDF20B3F</x:v>
      </x:c>
      <x:c r="B1352" s="71" t="str">
        <x:v>System</x:v>
      </x:c>
      <x:c r="C1352" s="71" t="str">
        <x:v>Shared recovery / system</x:v>
      </x:c>
      <x:c r="D1352" s="71" t="str">
        <x:v>Shared</x:v>
      </x:c>
      <x:c r="E1352" s="71" t="str">
        <x:v>selectedPlaceMapProvider</x:v>
      </x:c>
      <x:c r="F1352" s="71" t="str">
        <x:v>Default</x:v>
      </x:c>
      <x:c r="G1352" s="71" t="str">
        <x:v>CTA / button</x:v>
      </x:c>
      <x:c r="H1352" s="71" t="str">
        <x:v>Google Maps</x:v>
      </x:c>
      <x:c r="I1352" s="71" t="str">
        <x:v>Google Maps</x:v>
      </x:c>
      <x:c r="J1352" s="73"/>
      <x:c r="K1352" s="74" t="str">
        <x:f>IF(J1352="",H1352,IF(J1352=I1352,I1352,J1352))</x:f>
        <x:v>Google Maps</x:v>
      </x:c>
      <x:c r="L1352" s="74" t="str">
        <x:f>IF(J1352="","Keep current",IF(J1352=I1352,"Use suggestion","Custom"))</x:f>
        <x:v>Keep current</x:v>
      </x:c>
      <x:c r="M1352" s="71" t="str">
        <x:v>Pending review</x:v>
      </x:c>
      <x:c r="N1352" s="71" t="str">
        <x:v>Medium</x:v>
      </x:c>
      <x:c r="O1352" s="71" t="str">
        <x:v>components/journey-globe.tsx</x:v>
      </x:c>
      <x:c r="P1352" s="71" t="str">
        <x:v>selectedPlaceMapProvider:403</x:v>
      </x:c>
      <x:c r="Q1352" s="71" t="str">
        <x:v>EN (default / shared)</x:v>
      </x:c>
      <x:c r="R1352" s="71" t="str">
        <x:v>Already clear and direct; suggested wording intentionally keeps the current copy.</x:v>
      </x:c>
      <x:c r="S1352" s="75" t="str">
        <x:v>Not applied — review required</x:v>
      </x:c>
    </x:row>
    <x:row r="1353">
      <x:c r="A1353" s="71" t="str">
        <x:v>MRV-9167DE1C71</x:v>
      </x:c>
      <x:c r="B1353" s="71" t="str">
        <x:v>System</x:v>
      </x:c>
      <x:c r="C1353" s="71" t="str">
        <x:v>Shared recovery / system</x:v>
      </x:c>
      <x:c r="D1353" s="71" t="str">
        <x:v>Shared</x:v>
      </x:c>
      <x:c r="E1353" s="71" t="str">
        <x:v>JourneyGlobe</x:v>
      </x:c>
      <x:c r="F1353" s="71" t="str">
        <x:v>Accessibility / input support</x:v>
      </x:c>
      <x:c r="G1353" s="71" t="str">
        <x:v>Accessibility label</x:v>
      </x:c>
      <x:c r="H1353" s="71" t="str">
        <x:v>Interactive journey map</x:v>
      </x:c>
      <x:c r="I1353" s="71" t="str">
        <x:v>Interactive journey map</x:v>
      </x:c>
      <x:c r="J1353" s="73"/>
      <x:c r="K1353" s="74" t="str">
        <x:f>IF(J1353="",H1353,IF(J1353=I1353,I1353,J1353))</x:f>
        <x:v>Interactive journey map</x:v>
      </x:c>
      <x:c r="L1353" s="74" t="str">
        <x:f>IF(J1353="","Keep current",IF(J1353=I1353,"Use suggestion","Custom"))</x:f>
        <x:v>Keep current</x:v>
      </x:c>
      <x:c r="M1353" s="71" t="str">
        <x:v>Pending review</x:v>
      </x:c>
      <x:c r="N1353" s="71" t="str">
        <x:v>Medium</x:v>
      </x:c>
      <x:c r="O1353" s="71" t="str">
        <x:v>components/journey-globe.tsx</x:v>
      </x:c>
      <x:c r="P1353" s="71" t="str">
        <x:v>JourneyGlobe:415</x:v>
      </x:c>
      <x:c r="Q1353" s="71" t="str">
        <x:v>EN (default / shared)</x:v>
      </x:c>
      <x:c r="R1353" s="71" t="str">
        <x:v>Already clear and direct; suggested wording intentionally keeps the current copy. Terminology watch: ‘trip’ and ‘journey’ both describe the same plan. Terminology watch: ‘stops’, ‘destinations’ and ‘places’ overlap.</x:v>
      </x:c>
      <x:c r="S1353" s="75" t="str">
        <x:v>Not applied — review required</x:v>
      </x:c>
    </x:row>
    <x:row r="1354">
      <x:c r="A1354" s="71" t="str">
        <x:v>MRV-4B3B7EEE2B</x:v>
      </x:c>
      <x:c r="B1354" s="71" t="str">
        <x:v>System</x:v>
      </x:c>
      <x:c r="C1354" s="71" t="str">
        <x:v>Shared recovery / system</x:v>
      </x:c>
      <x:c r="D1354" s="71" t="str">
        <x:v>Shared</x:v>
      </x:c>
      <x:c r="E1354" s="71" t="str">
        <x:v>JourneyGlobe</x:v>
      </x:c>
      <x:c r="F1354" s="71" t="str">
        <x:v>Accessibility / input support</x:v>
      </x:c>
      <x:c r="G1354" s="71" t="str">
        <x:v>Accessibility label</x:v>
      </x:c>
      <x:c r="H1354" s="71" t="str">
        <x:v>Interactive Pacific journey map</x:v>
      </x:c>
      <x:c r="I1354" s="71" t="str">
        <x:v>Interactive Pacific journey map</x:v>
      </x:c>
      <x:c r="J1354" s="73"/>
      <x:c r="K1354" s="74" t="str">
        <x:f>IF(J1354="",H1354,IF(J1354=I1354,I1354,J1354))</x:f>
        <x:v>Interactive Pacific journey map</x:v>
      </x:c>
      <x:c r="L1354" s="74" t="str">
        <x:f>IF(J1354="","Keep current",IF(J1354=I1354,"Use suggestion","Custom"))</x:f>
        <x:v>Keep current</x:v>
      </x:c>
      <x:c r="M1354" s="71" t="str">
        <x:v>Pending review</x:v>
      </x:c>
      <x:c r="N1354" s="71" t="str">
        <x:v>Medium</x:v>
      </x:c>
      <x:c r="O1354" s="71" t="str">
        <x:v>components/journey-globe.tsx</x:v>
      </x:c>
      <x:c r="P1354" s="71" t="str">
        <x:v>JourneyGlobe:415</x:v>
      </x:c>
      <x:c r="Q1354" s="71" t="str">
        <x:v>EN (default / shared)</x:v>
      </x:c>
      <x:c r="R1354" s="71" t="str">
        <x:v>Already clear and direct; suggested wording intentionally keeps the current copy. Terminology watch: ‘trip’ and ‘journey’ both describe the same plan. Terminology watch: ‘stops’, ‘destinations’ and ‘places’ overlap.</x:v>
      </x:c>
      <x:c r="S1354" s="75" t="str">
        <x:v>Not applied — review required</x:v>
      </x:c>
    </x:row>
    <x:row r="1355">
      <x:c r="A1355" s="71" t="str">
        <x:v>MRV-2B83245292</x:v>
      </x:c>
      <x:c r="B1355" s="71" t="str">
        <x:v>System</x:v>
      </x:c>
      <x:c r="C1355" s="71" t="str">
        <x:v>Shared recovery / system</x:v>
      </x:c>
      <x:c r="D1355" s="71" t="str">
        <x:v>Shared</x:v>
      </x:c>
      <x:c r="E1355" s="71" t="str">
        <x:v>JourneyGlobe</x:v>
      </x:c>
      <x:c r="F1355" s="71" t="str">
        <x:v>Accessibility / input support</x:v>
      </x:c>
      <x:c r="G1355" s="71" t="str">
        <x:v>Accessibility label</x:v>
      </x:c>
      <x:c r="H1355" s="71" t="str">
        <x:v>Interactive geographic route map</x:v>
      </x:c>
      <x:c r="I1355" s="71" t="str">
        <x:v>Interactive geographic route map</x:v>
      </x:c>
      <x:c r="J1355" s="73"/>
      <x:c r="K1355" s="74" t="str">
        <x:f>IF(J1355="",H1355,IF(J1355=I1355,I1355,J1355))</x:f>
        <x:v>Interactive geographic route map</x:v>
      </x:c>
      <x:c r="L1355" s="74" t="str">
        <x:f>IF(J1355="","Keep current",IF(J1355=I1355,"Use suggestion","Custom"))</x:f>
        <x:v>Keep current</x:v>
      </x:c>
      <x:c r="M1355" s="71" t="str">
        <x:v>Pending review</x:v>
      </x:c>
      <x:c r="N1355" s="71" t="str">
        <x:v>Medium</x:v>
      </x:c>
      <x:c r="O1355" s="71" t="str">
        <x:v>components/journey-globe.tsx</x:v>
      </x:c>
      <x:c r="P1355" s="71" t="str">
        <x:v>JourneyGlobe:416</x:v>
      </x:c>
      <x:c r="Q1355" s="71" t="str">
        <x:v>EN (default / shared)</x:v>
      </x:c>
      <x:c r="R1355" s="71" t="str">
        <x:v>Already clear and direct; suggested wording intentionally keeps the current copy.</x:v>
      </x:c>
      <x:c r="S1355" s="75" t="str">
        <x:v>Not applied — review required</x:v>
      </x:c>
    </x:row>
    <x:row r="1356">
      <x:c r="A1356" s="71" t="str">
        <x:v>MRV-38B556FFB8</x:v>
      </x:c>
      <x:c r="B1356" s="71" t="str">
        <x:v>System</x:v>
      </x:c>
      <x:c r="C1356" s="71" t="str">
        <x:v>Shared recovery / system</x:v>
      </x:c>
      <x:c r="D1356" s="71" t="str">
        <x:v>Shared</x:v>
      </x:c>
      <x:c r="E1356" s="71" t="str">
        <x:v>JourneyGlobe</x:v>
      </x:c>
      <x:c r="F1356" s="71" t="str">
        <x:v>Accessibility / input support</x:v>
      </x:c>
      <x:c r="G1356" s="71" t="str">
        <x:v>Accessibility label</x:v>
      </x:c>
      <x:c r="H1356" s="71" t="str">
        <x:v>Geographic Pacific route from Guatemala to Los Angeles, Japan, China and Hong Kong</x:v>
      </x:c>
      <x:c r="I1356" s="71" t="str">
        <x:v>Geographic Pacific route from Guatemala to Los Angeles, Japan, China and Hong Kong</x:v>
      </x:c>
      <x:c r="J1356" s="73"/>
      <x:c r="K1356" s="74" t="str">
        <x:f>IF(J1356="",H1356,IF(J1356=I1356,I1356,J1356))</x:f>
        <x:v>Geographic Pacific route from Guatemala to Los Angeles, Japan, China and Hong Kong</x:v>
      </x:c>
      <x:c r="L1356" s="74" t="str">
        <x:f>IF(J1356="","Keep current",IF(J1356=I1356,"Use suggestion","Custom"))</x:f>
        <x:v>Keep current</x:v>
      </x:c>
      <x:c r="M1356" s="71" t="str">
        <x:v>Pending review</x:v>
      </x:c>
      <x:c r="N1356" s="71" t="str">
        <x:v>Medium</x:v>
      </x:c>
      <x:c r="O1356" s="71" t="str">
        <x:v>components/journey-globe.tsx</x:v>
      </x:c>
      <x:c r="P1356" s="71" t="str">
        <x:v>JourneyGlobe:416</x:v>
      </x:c>
      <x:c r="Q1356" s="71" t="str">
        <x:v>EN (default / shared)</x:v>
      </x:c>
      <x:c r="R1356" s="71" t="str">
        <x:v>Already clear and direct; suggested wording intentionally keeps the current copy.</x:v>
      </x:c>
      <x:c r="S1356" s="75" t="str">
        <x:v>Not applied — review required</x:v>
      </x:c>
    </x:row>
    <x:row r="1357">
      <x:c r="A1357" s="71" t="str">
        <x:v>MRV-9AE30BF4F0</x:v>
      </x:c>
      <x:c r="B1357" s="71" t="str">
        <x:v>System</x:v>
      </x:c>
      <x:c r="C1357" s="71" t="str">
        <x:v>Shared recovery / system</x:v>
      </x:c>
      <x:c r="D1357" s="71" t="str">
        <x:v>Shared</x:v>
      </x:c>
      <x:c r="E1357" s="71" t="str">
        <x:v>JourneyGlobe</x:v>
      </x:c>
      <x:c r="F1357" s="71" t="str">
        <x:v>Accessibility / input support</x:v>
      </x:c>
      <x:c r="G1357" s="71" t="str">
        <x:v>Accessibility label</x:v>
      </x:c>
      <x:c r="H1357" s="71" t="str">
        <x:v>Select {stop.city}</x:v>
      </x:c>
      <x:c r="I1357" s="71" t="str">
        <x:v>Select {stop.city}</x:v>
      </x:c>
      <x:c r="J1357" s="73"/>
      <x:c r="K1357" s="74" t="str">
        <x:f>IF(J1357="",H1357,IF(J1357=I1357,I1357,J1357))</x:f>
        <x:v>Select {stop.city}</x:v>
      </x:c>
      <x:c r="L1357" s="74" t="str">
        <x:f>IF(J1357="","Keep current",IF(J1357=I1357,"Use suggestion","Custom"))</x:f>
        <x:v>Keep current</x:v>
      </x:c>
      <x:c r="M1357" s="71" t="str">
        <x:v>Pending review</x:v>
      </x:c>
      <x:c r="N1357" s="71" t="str">
        <x:v>Medium</x:v>
      </x:c>
      <x:c r="O1357" s="71" t="str">
        <x:v>components/journey-globe.tsx</x:v>
      </x:c>
      <x:c r="P1357" s="71" t="str">
        <x:v>JourneyGlobe:436</x:v>
      </x:c>
      <x:c r="Q1357" s="71" t="str">
        <x:v>EN (default / shared)</x:v>
      </x:c>
      <x:c r="R1357"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357" s="75" t="str">
        <x:v>Not applied — review required</x:v>
      </x:c>
    </x:row>
    <x:row r="1358">
      <x:c r="A1358" s="71" t="str">
        <x:v>MRV-54321CAB77</x:v>
      </x:c>
      <x:c r="B1358" s="71" t="str">
        <x:v>System</x:v>
      </x:c>
      <x:c r="C1358" s="71" t="str">
        <x:v>Shared recovery / system</x:v>
      </x:c>
      <x:c r="D1358" s="71" t="str">
        <x:v>Shared</x:v>
      </x:c>
      <x:c r="E1358" s="71" t="str">
        <x:v>JourneyGlobe</x:v>
      </x:c>
      <x:c r="F1358" s="71" t="str">
        <x:v>Accessibility / input support</x:v>
      </x:c>
      <x:c r="G1358" s="71" t="str">
        <x:v>Accessibility label</x:v>
      </x:c>
      <x:c r="H1358" s="71" t="str">
        <x:v>Open details for {place.name}</x:v>
      </x:c>
      <x:c r="I1358" s="71" t="str">
        <x:v>Open details for {place.name}</x:v>
      </x:c>
      <x:c r="J1358" s="73"/>
      <x:c r="K1358" s="74" t="str">
        <x:f>IF(J1358="",H1358,IF(J1358=I1358,I1358,J1358))</x:f>
        <x:v>Open details for {place.name}</x:v>
      </x:c>
      <x:c r="L1358" s="74" t="str">
        <x:f>IF(J1358="","Keep current",IF(J1358=I1358,"Use suggestion","Custom"))</x:f>
        <x:v>Keep current</x:v>
      </x:c>
      <x:c r="M1358" s="71" t="str">
        <x:v>Pending review</x:v>
      </x:c>
      <x:c r="N1358" s="71" t="str">
        <x:v>Medium</x:v>
      </x:c>
      <x:c r="O1358" s="71" t="str">
        <x:v>components/journey-globe.tsx</x:v>
      </x:c>
      <x:c r="P1358" s="71" t="str">
        <x:v>JourneyGlobe:454</x:v>
      </x:c>
      <x:c r="Q1358" s="71" t="str">
        <x:v>EN (default / shared)</x:v>
      </x:c>
      <x:c r="R135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358" s="75" t="str">
        <x:v>Not applied — review required</x:v>
      </x:c>
    </x:row>
    <x:row r="1359">
      <x:c r="A1359" s="71" t="str">
        <x:v>MRV-6F383DFE20</x:v>
      </x:c>
      <x:c r="B1359" s="71" t="str">
        <x:v>System</x:v>
      </x:c>
      <x:c r="C1359" s="71" t="str">
        <x:v>Shared recovery / system</x:v>
      </x:c>
      <x:c r="D1359" s="71" t="str">
        <x:v>Shared</x:v>
      </x:c>
      <x:c r="E1359" s="71" t="str">
        <x:v>JourneyGlobe</x:v>
      </x:c>
      <x:c r="F1359" s="71" t="str">
        <x:v>Accessibility / input support</x:v>
      </x:c>
      <x:c r="G1359" s="71" t="str">
        <x:v>Accessibility label</x:v>
      </x:c>
      <x:c r="H1359" s="71" t="str">
        <x:v>Open {pin.title} pin details</x:v>
      </x:c>
      <x:c r="I1359" s="71" t="str">
        <x:v>Open {pin.title} pin details</x:v>
      </x:c>
      <x:c r="J1359" s="73"/>
      <x:c r="K1359" s="74" t="str">
        <x:f>IF(J1359="",H1359,IF(J1359=I1359,I1359,J1359))</x:f>
        <x:v>Open {pin.title} pin details</x:v>
      </x:c>
      <x:c r="L1359" s="74" t="str">
        <x:f>IF(J1359="","Keep current",IF(J1359=I1359,"Use suggestion","Custom"))</x:f>
        <x:v>Keep current</x:v>
      </x:c>
      <x:c r="M1359" s="71" t="str">
        <x:v>Pending review</x:v>
      </x:c>
      <x:c r="N1359" s="71" t="str">
        <x:v>Medium</x:v>
      </x:c>
      <x:c r="O1359" s="71" t="str">
        <x:v>components/journey-globe.tsx</x:v>
      </x:c>
      <x:c r="P1359" s="71" t="str">
        <x:v>JourneyGlobe:462</x:v>
      </x:c>
      <x:c r="Q1359" s="71" t="str">
        <x:v>EN (default / shared)</x:v>
      </x:c>
      <x:c r="R1359" s="71" t="str">
        <x:v>Already clear and direct; suggested wording intentionally keeps the current copy. Dynamic traveller or trip value is represented as a token; user-generated values are excluded.</x:v>
      </x:c>
      <x:c r="S1359" s="75" t="str">
        <x:v>Not applied — review required</x:v>
      </x:c>
    </x:row>
    <x:row r="1360">
      <x:c r="A1360" s="71" t="str">
        <x:v>MRV-03375B475A</x:v>
      </x:c>
      <x:c r="B1360" s="71" t="str">
        <x:v>System</x:v>
      </x:c>
      <x:c r="C1360" s="71" t="str">
        <x:v>Shared recovery / system</x:v>
      </x:c>
      <x:c r="D1360" s="71" t="str">
        <x:v>Shared</x:v>
      </x:c>
      <x:c r="E1360" s="71" t="str">
        <x:v>JourneyGlobe</x:v>
      </x:c>
      <x:c r="F1360" s="71" t="str">
        <x:v>Accessibility / input support</x:v>
      </x:c>
      <x:c r="G1360" s="71" t="str">
        <x:v>Accessibility label</x:v>
      </x:c>
      <x:c r="H1360" s="71" t="str">
        <x:v>More about {place.name}</x:v>
      </x:c>
      <x:c r="I1360" s="71" t="str">
        <x:v>More about {place.name}</x:v>
      </x:c>
      <x:c r="J1360" s="73"/>
      <x:c r="K1360" s="74" t="str">
        <x:f>IF(J1360="",H1360,IF(J1360=I1360,I1360,J1360))</x:f>
        <x:v>More about {place.name}</x:v>
      </x:c>
      <x:c r="L1360" s="74" t="str">
        <x:f>IF(J1360="","Keep current",IF(J1360=I1360,"Use suggestion","Custom"))</x:f>
        <x:v>Keep current</x:v>
      </x:c>
      <x:c r="M1360" s="71" t="str">
        <x:v>Pending review</x:v>
      </x:c>
      <x:c r="N1360" s="71" t="str">
        <x:v>Medium</x:v>
      </x:c>
      <x:c r="O1360" s="71" t="str">
        <x:v>components/journey-globe.tsx</x:v>
      </x:c>
      <x:c r="P1360" s="71" t="str">
        <x:v>JourneyGlobe:478</x:v>
      </x:c>
      <x:c r="Q1360" s="71" t="str">
        <x:v>EN (default / shared)</x:v>
      </x:c>
      <x:c r="R1360"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360" s="75" t="str">
        <x:v>Not applied — review required</x:v>
      </x:c>
    </x:row>
    <x:row r="1361">
      <x:c r="A1361" s="71" t="str">
        <x:v>MRV-4FDA2380A3</x:v>
      </x:c>
      <x:c r="B1361" s="71" t="str">
        <x:v>System</x:v>
      </x:c>
      <x:c r="C1361" s="71" t="str">
        <x:v>Shared recovery / system</x:v>
      </x:c>
      <x:c r="D1361" s="71" t="str">
        <x:v>Shared</x:v>
      </x:c>
      <x:c r="E1361" s="71" t="str">
        <x:v>JourneyGlobe</x:v>
      </x:c>
      <x:c r="F1361" s="71" t="str">
        <x:v>Default</x:v>
      </x:c>
      <x:c r="G1361" s="71" t="str">
        <x:v>Body copy</x:v>
      </x:c>
      <x:c r="H1361" s="71" t="str">
        <x:v>{place.image.caption.slice(0, 19)}…</x:v>
      </x:c>
      <x:c r="I1361" s="71" t="str">
        <x:v>{place.image.caption.slice(0, 19)}…</x:v>
      </x:c>
      <x:c r="J1361" s="73"/>
      <x:c r="K1361" s="74" t="str">
        <x:f>IF(J1361="",H1361,IF(J1361=I1361,I1361,J1361))</x:f>
        <x:v>{place.image.caption.slice(0, 19)}…</x:v>
      </x:c>
      <x:c r="L1361" s="74" t="str">
        <x:f>IF(J1361="","Keep current",IF(J1361=I1361,"Use suggestion","Custom"))</x:f>
        <x:v>Keep current</x:v>
      </x:c>
      <x:c r="M1361" s="71" t="str">
        <x:v>Pending review</x:v>
      </x:c>
      <x:c r="N1361" s="71" t="str">
        <x:v>Normal</x:v>
      </x:c>
      <x:c r="O1361" s="71" t="str">
        <x:v>components/journey-globe.tsx</x:v>
      </x:c>
      <x:c r="P1361" s="71" t="str">
        <x:v>JourneyGlobe:481</x:v>
      </x:c>
      <x:c r="Q1361" s="71" t="str">
        <x:v>EN (default / shared)</x:v>
      </x:c>
      <x:c r="R1361"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361" s="75" t="str">
        <x:v>Not applied — review required</x:v>
      </x:c>
    </x:row>
    <x:row r="1362">
      <x:c r="A1362" s="71" t="str">
        <x:v>MRV-029E440C45</x:v>
      </x:c>
      <x:c r="B1362" s="71" t="str">
        <x:v>System</x:v>
      </x:c>
      <x:c r="C1362" s="71" t="str">
        <x:v>Shared recovery / system</x:v>
      </x:c>
      <x:c r="D1362" s="71" t="str">
        <x:v>Shared</x:v>
      </x:c>
      <x:c r="E1362" s="71" t="str">
        <x:v>JourneyGlobe</x:v>
      </x:c>
      <x:c r="F1362" s="71" t="str">
        <x:v>Default</x:v>
      </x:c>
      <x:c r="G1362" s="71" t="str">
        <x:v>Body copy</x:v>
      </x:c>
      <x:c r="H1362" s="71" t="str">
        <x:v>{previewImage.caption.slice(0, 24)}…</x:v>
      </x:c>
      <x:c r="I1362" s="71" t="str">
        <x:v>{previewImage.caption.slice(0, 24)}…</x:v>
      </x:c>
      <x:c r="J1362" s="73"/>
      <x:c r="K1362" s="74" t="str">
        <x:f>IF(J1362="",H1362,IF(J1362=I1362,I1362,J1362))</x:f>
        <x:v>{previewImage.caption.slice(0, 24)}…</x:v>
      </x:c>
      <x:c r="L1362" s="74" t="str">
        <x:f>IF(J1362="","Keep current",IF(J1362=I1362,"Use suggestion","Custom"))</x:f>
        <x:v>Keep current</x:v>
      </x:c>
      <x:c r="M1362" s="71" t="str">
        <x:v>Pending review</x:v>
      </x:c>
      <x:c r="N1362" s="71" t="str">
        <x:v>Normal</x:v>
      </x:c>
      <x:c r="O1362" s="71" t="str">
        <x:v>components/journey-globe.tsx</x:v>
      </x:c>
      <x:c r="P1362" s="71" t="str">
        <x:v>JourneyGlobe:493</x:v>
      </x:c>
      <x:c r="Q1362" s="71" t="str">
        <x:v>EN (default / shared)</x:v>
      </x:c>
      <x:c r="R1362" s="71" t="str">
        <x:v>Already clear and direct; suggested wording intentionally keeps the current copy. Dynamic traveller or trip value is represented as a token; user-generated values are excluded.</x:v>
      </x:c>
      <x:c r="S1362" s="75" t="str">
        <x:v>Not applied — review required</x:v>
      </x:c>
    </x:row>
    <x:row r="1363">
      <x:c r="A1363" s="71" t="str">
        <x:v>MRV-76313EF625</x:v>
      </x:c>
      <x:c r="B1363" s="71" t="str">
        <x:v>System</x:v>
      </x:c>
      <x:c r="C1363" s="71" t="str">
        <x:v>Shared recovery / system</x:v>
      </x:c>
      <x:c r="D1363" s="71" t="str">
        <x:v>Shared</x:v>
      </x:c>
      <x:c r="E1363" s="71" t="str">
        <x:v>JourneyGlobe</x:v>
      </x:c>
      <x:c r="F1363" s="71" t="str">
        <x:v>Accessibility / input support</x:v>
      </x:c>
      <x:c r="G1363" s="71" t="str">
        <x:v>Accessibility label</x:v>
      </x:c>
      <x:c r="H1363" s="71" t="str">
        <x:v>{restaurantOpen ? "Hide" : "Show"} {restaurant.meal ?? "meal"} pick: {restaurant.restaurant.name}</x:v>
      </x:c>
      <x:c r="I1363" s="71" t="str">
        <x:v>{restaurantOpen ? "Hide" : "Show"} {restaurant.meal ?? "meal"} pick: {restaurant.restaurant.name}</x:v>
      </x:c>
      <x:c r="J1363" s="73"/>
      <x:c r="K1363" s="74" t="str">
        <x:f>IF(J1363="",H1363,IF(J1363=I1363,I1363,J1363))</x:f>
        <x:v>{restaurantOpen ? "Hide" : "Show"} {restaurant.meal ?? "meal"} pick: {restaurant.restaurant.name}</x:v>
      </x:c>
      <x:c r="L1363" s="74" t="str">
        <x:f>IF(J1363="","Keep current",IF(J1363=I1363,"Use suggestion","Custom"))</x:f>
        <x:v>Keep current</x:v>
      </x:c>
      <x:c r="M1363" s="71" t="str">
        <x:v>Pending review</x:v>
      </x:c>
      <x:c r="N1363" s="71" t="str">
        <x:v>Medium</x:v>
      </x:c>
      <x:c r="O1363" s="71" t="str">
        <x:v>components/journey-globe.tsx</x:v>
      </x:c>
      <x:c r="P1363" s="71" t="str">
        <x:v>JourneyGlobe:499</x:v>
      </x:c>
      <x:c r="Q1363" s="71" t="str">
        <x:v>EN (default / shared)</x:v>
      </x:c>
      <x:c r="R1363" s="71" t="str">
        <x:v>Already clear and direct; suggested wording intentionally keeps the current copy. Dynamic traveller or trip value is represented as a token; user-generated values are excluded.</x:v>
      </x:c>
      <x:c r="S1363" s="75" t="str">
        <x:v>Not applied — review required</x:v>
      </x:c>
    </x:row>
    <x:row r="1364">
      <x:c r="A1364" s="71" t="str">
        <x:v>MRV-5EE23D393A</x:v>
      </x:c>
      <x:c r="B1364" s="71" t="str">
        <x:v>System</x:v>
      </x:c>
      <x:c r="C1364" s="71" t="str">
        <x:v>Shared recovery / system</x:v>
      </x:c>
      <x:c r="D1364" s="71" t="str">
        <x:v>Shared</x:v>
      </x:c>
      <x:c r="E1364" s="71" t="str">
        <x:v>JourneyGlobe</x:v>
      </x:c>
      <x:c r="F1364" s="71" t="str">
        <x:v>Accessibility / input support</x:v>
      </x:c>
      <x:c r="G1364" s="71" t="str">
        <x:v>Accessibility label</x:v>
      </x:c>
      <x:c r="H1364" s="71" t="str">
        <x:v>Hide</x:v>
      </x:c>
      <x:c r="I1364" s="71" t="str">
        <x:v>Hide</x:v>
      </x:c>
      <x:c r="J1364" s="73"/>
      <x:c r="K1364" s="74" t="str">
        <x:f>IF(J1364="",H1364,IF(J1364=I1364,I1364,J1364))</x:f>
        <x:v>Hide</x:v>
      </x:c>
      <x:c r="L1364" s="74" t="str">
        <x:f>IF(J1364="","Keep current",IF(J1364=I1364,"Use suggestion","Custom"))</x:f>
        <x:v>Keep current</x:v>
      </x:c>
      <x:c r="M1364" s="71" t="str">
        <x:v>Pending review</x:v>
      </x:c>
      <x:c r="N1364" s="71" t="str">
        <x:v>Medium</x:v>
      </x:c>
      <x:c r="O1364" s="71" t="str">
        <x:v>components/journey-globe.tsx</x:v>
      </x:c>
      <x:c r="P1364" s="71" t="str">
        <x:v>JourneyGlobe:499</x:v>
      </x:c>
      <x:c r="Q1364" s="71" t="str">
        <x:v>EN (default / shared)</x:v>
      </x:c>
      <x:c r="R1364" s="71" t="str">
        <x:v>Already clear and direct; suggested wording intentionally keeps the current copy. Duplicate wording: appears 3 times.</x:v>
      </x:c>
      <x:c r="S1364" s="75" t="str">
        <x:v>Not applied — review required</x:v>
      </x:c>
    </x:row>
    <x:row r="1365">
      <x:c r="A1365" s="71" t="str">
        <x:v>MRV-F3AF4984C0</x:v>
      </x:c>
      <x:c r="B1365" s="71" t="str">
        <x:v>System</x:v>
      </x:c>
      <x:c r="C1365" s="71" t="str">
        <x:v>Shared recovery / system</x:v>
      </x:c>
      <x:c r="D1365" s="71" t="str">
        <x:v>Shared</x:v>
      </x:c>
      <x:c r="E1365" s="71" t="str">
        <x:v>JourneyGlobe</x:v>
      </x:c>
      <x:c r="F1365" s="71" t="str">
        <x:v>Accessibility / input support</x:v>
      </x:c>
      <x:c r="G1365" s="71" t="str">
        <x:v>Accessibility label</x:v>
      </x:c>
      <x:c r="H1365" s="71" t="str">
        <x:v>Show</x:v>
      </x:c>
      <x:c r="I1365" s="71" t="str">
        <x:v>Show</x:v>
      </x:c>
      <x:c r="J1365" s="73"/>
      <x:c r="K1365" s="74" t="str">
        <x:f>IF(J1365="",H1365,IF(J1365=I1365,I1365,J1365))</x:f>
        <x:v>Show</x:v>
      </x:c>
      <x:c r="L1365" s="74" t="str">
        <x:f>IF(J1365="","Keep current",IF(J1365=I1365,"Use suggestion","Custom"))</x:f>
        <x:v>Keep current</x:v>
      </x:c>
      <x:c r="M1365" s="71" t="str">
        <x:v>Pending review</x:v>
      </x:c>
      <x:c r="N1365" s="71" t="str">
        <x:v>Medium</x:v>
      </x:c>
      <x:c r="O1365" s="71" t="str">
        <x:v>components/journey-globe.tsx</x:v>
      </x:c>
      <x:c r="P1365" s="71" t="str">
        <x:v>JourneyGlobe:499</x:v>
      </x:c>
      <x:c r="Q1365" s="71" t="str">
        <x:v>EN (default / shared)</x:v>
      </x:c>
      <x:c r="R1365" s="71" t="str">
        <x:v>Already clear and direct; suggested wording intentionally keeps the current copy. Duplicate wording: appears 3 times.</x:v>
      </x:c>
      <x:c r="S1365" s="75" t="str">
        <x:v>Not applied — review required</x:v>
      </x:c>
    </x:row>
    <x:row r="1366">
      <x:c r="A1366" s="71" t="str">
        <x:v>MRV-760F42CA9F</x:v>
      </x:c>
      <x:c r="B1366" s="71" t="str">
        <x:v>System</x:v>
      </x:c>
      <x:c r="C1366" s="71" t="str">
        <x:v>Shared recovery / system</x:v>
      </x:c>
      <x:c r="D1366" s="71" t="str">
        <x:v>Shared</x:v>
      </x:c>
      <x:c r="E1366" s="71" t="str">
        <x:v>JourneyGlobe</x:v>
      </x:c>
      <x:c r="F1366" s="71" t="str">
        <x:v>Accessibility / input support</x:v>
      </x:c>
      <x:c r="G1366" s="71" t="str">
        <x:v>Accessibility label</x:v>
      </x:c>
      <x:c r="H1366" s="71" t="str">
        <x:v>Open {restaurant.restaurant.name} in maps</x:v>
      </x:c>
      <x:c r="I1366" s="71" t="str">
        <x:v>Open {restaurant.restaurant.name} in maps</x:v>
      </x:c>
      <x:c r="J1366" s="73"/>
      <x:c r="K1366" s="74" t="str">
        <x:f>IF(J1366="",H1366,IF(J1366=I1366,I1366,J1366))</x:f>
        <x:v>Open {restaurant.restaurant.name} in maps</x:v>
      </x:c>
      <x:c r="L1366" s="74" t="str">
        <x:f>IF(J1366="","Keep current",IF(J1366=I1366,"Use suggestion","Custom"))</x:f>
        <x:v>Keep current</x:v>
      </x:c>
      <x:c r="M1366" s="71" t="str">
        <x:v>Pending review</x:v>
      </x:c>
      <x:c r="N1366" s="71" t="str">
        <x:v>Medium</x:v>
      </x:c>
      <x:c r="O1366" s="71" t="str">
        <x:v>components/journey-globe.tsx</x:v>
      </x:c>
      <x:c r="P1366" s="71" t="str">
        <x:v>JourneyGlobe:505</x:v>
      </x:c>
      <x:c r="Q1366" s="71" t="str">
        <x:v>EN (default / shared)</x:v>
      </x:c>
      <x:c r="R1366" s="71" t="str">
        <x:v>Already clear and direct; suggested wording intentionally keeps the current copy. Dynamic traveller or trip value is represented as a token; user-generated values are excluded.</x:v>
      </x:c>
      <x:c r="S1366" s="75" t="str">
        <x:v>Not applied — review required</x:v>
      </x:c>
    </x:row>
    <x:row r="1367">
      <x:c r="A1367" s="71" t="str">
        <x:v>MRV-B364FA83E7</x:v>
      </x:c>
      <x:c r="B1367" s="71" t="str">
        <x:v>System</x:v>
      </x:c>
      <x:c r="C1367" s="71" t="str">
        <x:v>Shared recovery / system</x:v>
      </x:c>
      <x:c r="D1367" s="71" t="str">
        <x:v>Shared</x:v>
      </x:c>
      <x:c r="E1367" s="71" t="str">
        <x:v>JourneyGlobe</x:v>
      </x:c>
      <x:c r="F1367" s="71" t="str">
        <x:v>Default</x:v>
      </x:c>
      <x:c r="G1367" s="71" t="str">
        <x:v>Body copy</x:v>
      </x:c>
      <x:c r="H1367" s="71" t="str">
        <x:v>{restaurant.restaurant.name.slice(0, 24)}…</x:v>
      </x:c>
      <x:c r="I1367" s="71" t="str">
        <x:v>{restaurant.restaurant.name.slice(0, 24)}…</x:v>
      </x:c>
      <x:c r="J1367" s="73"/>
      <x:c r="K1367" s="74" t="str">
        <x:f>IF(J1367="",H1367,IF(J1367=I1367,I1367,J1367))</x:f>
        <x:v>{restaurant.restaurant.name.slice(0, 24)}…</x:v>
      </x:c>
      <x:c r="L1367" s="74" t="str">
        <x:f>IF(J1367="","Keep current",IF(J1367=I1367,"Use suggestion","Custom"))</x:f>
        <x:v>Keep current</x:v>
      </x:c>
      <x:c r="M1367" s="71" t="str">
        <x:v>Pending review</x:v>
      </x:c>
      <x:c r="N1367" s="71" t="str">
        <x:v>Normal</x:v>
      </x:c>
      <x:c r="O1367" s="71" t="str">
        <x:v>components/journey-globe.tsx</x:v>
      </x:c>
      <x:c r="P1367" s="71" t="str">
        <x:v>JourneyGlobe:510</x:v>
      </x:c>
      <x:c r="Q1367" s="71" t="str">
        <x:v>EN (default / shared)</x:v>
      </x:c>
      <x:c r="R1367" s="71" t="str">
        <x:v>Already clear and direct; suggested wording intentionally keeps the current copy. Dynamic traveller or trip value is represented as a token; user-generated values are excluded.</x:v>
      </x:c>
      <x:c r="S1367" s="75" t="str">
        <x:v>Not applied — review required</x:v>
      </x:c>
    </x:row>
    <x:row r="1368">
      <x:c r="A1368" s="71" t="str">
        <x:v>MRV-52DB644A3A</x:v>
      </x:c>
      <x:c r="B1368" s="71" t="str">
        <x:v>System</x:v>
      </x:c>
      <x:c r="C1368" s="71" t="str">
        <x:v>Shared recovery / system</x:v>
      </x:c>
      <x:c r="D1368" s="71" t="str">
        <x:v>Shared</x:v>
      </x:c>
      <x:c r="E1368" s="71" t="str">
        <x:v>JourneyGlobe</x:v>
      </x:c>
      <x:c r="F1368" s="71" t="str">
        <x:v>Default</x:v>
      </x:c>
      <x:c r="G1368" s="71" t="str">
        <x:v>Label</x:v>
      </x:c>
      <x:c r="H1368" s="71" t="str">
        <x:v>· DAY</x:v>
      </x:c>
      <x:c r="I1368" s="71" t="str">
        <x:v>· DAY</x:v>
      </x:c>
      <x:c r="J1368" s="73"/>
      <x:c r="K1368" s="74" t="str">
        <x:f>IF(J1368="",H1368,IF(J1368=I1368,I1368,J1368))</x:f>
        <x:v>· DAY</x:v>
      </x:c>
      <x:c r="L1368" s="74" t="str">
        <x:f>IF(J1368="","Keep current",IF(J1368=I1368,"Use suggestion","Custom"))</x:f>
        <x:v>Keep current</x:v>
      </x:c>
      <x:c r="M1368" s="71" t="str">
        <x:v>Pending review</x:v>
      </x:c>
      <x:c r="N1368" s="71" t="str">
        <x:v>Normal</x:v>
      </x:c>
      <x:c r="O1368" s="71" t="str">
        <x:v>components/journey-globe.tsx</x:v>
      </x:c>
      <x:c r="P1368" s="71" t="str">
        <x:v>JourneyGlobe:522</x:v>
      </x:c>
      <x:c r="Q1368" s="71" t="str">
        <x:v>EN (default / shared)</x:v>
      </x:c>
      <x:c r="R1368" s="71" t="str">
        <x:v>Already clear and direct; suggested wording intentionally keeps the current copy. Duplicate wording: appears 3 times.</x:v>
      </x:c>
      <x:c r="S1368" s="75" t="str">
        <x:v>Not applied — review required</x:v>
      </x:c>
    </x:row>
    <x:row r="1369">
      <x:c r="A1369" s="71" t="str">
        <x:v>MRV-620A7657F8</x:v>
      </x:c>
      <x:c r="B1369" s="71" t="str">
        <x:v>System</x:v>
      </x:c>
      <x:c r="C1369" s="71" t="str">
        <x:v>Shared recovery / system</x:v>
      </x:c>
      <x:c r="D1369" s="71" t="str">
        <x:v>Shared</x:v>
      </x:c>
      <x:c r="E1369" s="71" t="str">
        <x:v>JourneyGlobe</x:v>
      </x:c>
      <x:c r="F1369" s="71" t="str">
        <x:v>Default</x:v>
      </x:c>
      <x:c r="G1369" s="71" t="str">
        <x:v>Body copy</x:v>
      </x:c>
      <x:c r="H1369" s="71" t="str">
        <x:v>{openPlannerPin.title.slice(0, 26)}…</x:v>
      </x:c>
      <x:c r="I1369" s="71" t="str">
        <x:v>{openPlannerPin.title.slice(0, 26)}…</x:v>
      </x:c>
      <x:c r="J1369" s="73"/>
      <x:c r="K1369" s="74" t="str">
        <x:f>IF(J1369="",H1369,IF(J1369=I1369,I1369,J1369))</x:f>
        <x:v>{openPlannerPin.title.slice(0, 26)}…</x:v>
      </x:c>
      <x:c r="L1369" s="74" t="str">
        <x:f>IF(J1369="","Keep current",IF(J1369=I1369,"Use suggestion","Custom"))</x:f>
        <x:v>Keep current</x:v>
      </x:c>
      <x:c r="M1369" s="71" t="str">
        <x:v>Pending review</x:v>
      </x:c>
      <x:c r="N1369" s="71" t="str">
        <x:v>Normal</x:v>
      </x:c>
      <x:c r="O1369" s="71" t="str">
        <x:v>components/journey-globe.tsx</x:v>
      </x:c>
      <x:c r="P1369" s="71" t="str">
        <x:v>JourneyGlobe:522</x:v>
      </x:c>
      <x:c r="Q1369" s="71" t="str">
        <x:v>EN (default / shared)</x:v>
      </x:c>
      <x:c r="R1369" s="71" t="str">
        <x:v>Already clear and direct; suggested wording intentionally keeps the current copy. Dynamic traveller or trip value is represented as a token; user-generated values are excluded.</x:v>
      </x:c>
      <x:c r="S1369" s="75" t="str">
        <x:v>Not applied — review required</x:v>
      </x:c>
    </x:row>
    <x:row r="1370">
      <x:c r="A1370" s="71" t="str">
        <x:v>MRV-50138B951A</x:v>
      </x:c>
      <x:c r="B1370" s="71" t="str">
        <x:v>System</x:v>
      </x:c>
      <x:c r="C1370" s="71" t="str">
        <x:v>Shared recovery / system</x:v>
      </x:c>
      <x:c r="D1370" s="71" t="str">
        <x:v>Shared</x:v>
      </x:c>
      <x:c r="E1370" s="71" t="str">
        <x:v>JourneyGlobe</x:v>
      </x:c>
      <x:c r="F1370" s="71" t="str">
        <x:v>Default</x:v>
      </x:c>
      <x:c r="G1370" s="71" t="str">
        <x:v>Label</x:v>
      </x:c>
      <x:c r="H1370" s="71" t="str">
        <x:v>MAP ↗</x:v>
      </x:c>
      <x:c r="I1370" s="71" t="str">
        <x:v>MAP ↗</x:v>
      </x:c>
      <x:c r="J1370" s="73"/>
      <x:c r="K1370" s="74" t="str">
        <x:f>IF(J1370="",H1370,IF(J1370=I1370,I1370,J1370))</x:f>
        <x:v>MAP ↗</x:v>
      </x:c>
      <x:c r="L1370" s="74" t="str">
        <x:f>IF(J1370="","Keep current",IF(J1370=I1370,"Use suggestion","Custom"))</x:f>
        <x:v>Keep current</x:v>
      </x:c>
      <x:c r="M1370" s="71" t="str">
        <x:v>Pending review</x:v>
      </x:c>
      <x:c r="N1370" s="71" t="str">
        <x:v>Normal</x:v>
      </x:c>
      <x:c r="O1370" s="71" t="str">
        <x:v>components/journey-globe.tsx</x:v>
      </x:c>
      <x:c r="P1370" s="71" t="str">
        <x:v>JourneyGlobe:522</x:v>
      </x:c>
      <x:c r="Q1370" s="71" t="str">
        <x:v>EN (default / shared)</x:v>
      </x:c>
      <x:c r="R1370" s="71" t="str">
        <x:v>Already clear and direct; suggested wording intentionally keeps the current copy.</x:v>
      </x:c>
      <x:c r="S1370" s="75" t="str">
        <x:v>Not applied — review required</x:v>
      </x:c>
    </x:row>
    <x:row r="1371">
      <x:c r="A1371" s="71" t="str">
        <x:v>MRV-6BA0253C18</x:v>
      </x:c>
      <x:c r="B1371" s="71" t="str">
        <x:v>System</x:v>
      </x:c>
      <x:c r="C1371" s="71" t="str">
        <x:v>Shared recovery / system</x:v>
      </x:c>
      <x:c r="D1371" s="71" t="str">
        <x:v>Shared</x:v>
      </x:c>
      <x:c r="E1371" s="71" t="str">
        <x:v>JourneyGlobe</x:v>
      </x:c>
      <x:c r="F1371" s="71" t="str">
        <x:v>Accessibility / input support</x:v>
      </x:c>
      <x:c r="G1371" s="71" t="str">
        <x:v>Accessibility label</x:v>
      </x:c>
      <x:c r="H1371" s="71" t="str">
        <x:v>{routeOpen ? "Hide" : "Show"} {activeRoute.leg.mode} details for {activeRoute.leg.label}</x:v>
      </x:c>
      <x:c r="I1371" s="71" t="str">
        <x:v>{routeOpen ? "Hide" : "Show"} {activeRoute.leg.mode} details for {activeRoute.leg.label}</x:v>
      </x:c>
      <x:c r="J1371" s="73"/>
      <x:c r="K1371" s="74" t="str">
        <x:f>IF(J1371="",H1371,IF(J1371=I1371,I1371,J1371))</x:f>
        <x:v>{routeOpen ? "Hide" : "Show"} {activeRoute.leg.mode} details for {activeRoute.leg.label}</x:v>
      </x:c>
      <x:c r="L1371" s="74" t="str">
        <x:f>IF(J1371="","Keep current",IF(J1371=I1371,"Use suggestion","Custom"))</x:f>
        <x:v>Keep current</x:v>
      </x:c>
      <x:c r="M1371" s="71" t="str">
        <x:v>Pending review</x:v>
      </x:c>
      <x:c r="N1371" s="71" t="str">
        <x:v>Medium</x:v>
      </x:c>
      <x:c r="O1371" s="71" t="str">
        <x:v>components/journey-globe.tsx</x:v>
      </x:c>
      <x:c r="P1371" s="71" t="str">
        <x:v>JourneyGlobe:528</x:v>
      </x:c>
      <x:c r="Q1371" s="71" t="str">
        <x:v>EN (default / shared)</x:v>
      </x:c>
      <x:c r="R1371" s="71" t="str">
        <x:v>Already clear and direct; suggested wording intentionally keeps the current copy. Dynamic traveller or trip value is represented as a token; user-generated values are excluded.</x:v>
      </x:c>
      <x:c r="S1371" s="75" t="str">
        <x:v>Not applied — review required</x:v>
      </x:c>
    </x:row>
    <x:row r="1372">
      <x:c r="A1372" s="71" t="str">
        <x:v>MRV-5ABBAA421B</x:v>
      </x:c>
      <x:c r="B1372" s="71" t="str">
        <x:v>System</x:v>
      </x:c>
      <x:c r="C1372" s="71" t="str">
        <x:v>Shared recovery / system</x:v>
      </x:c>
      <x:c r="D1372" s="71" t="str">
        <x:v>Shared</x:v>
      </x:c>
      <x:c r="E1372" s="71" t="str">
        <x:v>JourneyGlobe</x:v>
      </x:c>
      <x:c r="F1372" s="71" t="str">
        <x:v>Accessibility / input support</x:v>
      </x:c>
      <x:c r="G1372" s="71" t="str">
        <x:v>Accessibility label</x:v>
      </x:c>
      <x:c r="H1372" s="71" t="str">
        <x:v>Hide</x:v>
      </x:c>
      <x:c r="I1372" s="71" t="str">
        <x:v>Hide</x:v>
      </x:c>
      <x:c r="J1372" s="73"/>
      <x:c r="K1372" s="74" t="str">
        <x:f>IF(J1372="",H1372,IF(J1372=I1372,I1372,J1372))</x:f>
        <x:v>Hide</x:v>
      </x:c>
      <x:c r="L1372" s="74" t="str">
        <x:f>IF(J1372="","Keep current",IF(J1372=I1372,"Use suggestion","Custom"))</x:f>
        <x:v>Keep current</x:v>
      </x:c>
      <x:c r="M1372" s="71" t="str">
        <x:v>Pending review</x:v>
      </x:c>
      <x:c r="N1372" s="71" t="str">
        <x:v>Medium</x:v>
      </x:c>
      <x:c r="O1372" s="71" t="str">
        <x:v>components/journey-globe.tsx</x:v>
      </x:c>
      <x:c r="P1372" s="71" t="str">
        <x:v>JourneyGlobe:528</x:v>
      </x:c>
      <x:c r="Q1372" s="71" t="str">
        <x:v>EN (default / shared)</x:v>
      </x:c>
      <x:c r="R1372" s="71" t="str">
        <x:v>Already clear and direct; suggested wording intentionally keeps the current copy. Duplicate wording: appears 3 times.</x:v>
      </x:c>
      <x:c r="S1372" s="75" t="str">
        <x:v>Not applied — review required</x:v>
      </x:c>
    </x:row>
    <x:row r="1373">
      <x:c r="A1373" s="71" t="str">
        <x:v>MRV-0232D2E324</x:v>
      </x:c>
      <x:c r="B1373" s="71" t="str">
        <x:v>System</x:v>
      </x:c>
      <x:c r="C1373" s="71" t="str">
        <x:v>Shared recovery / system</x:v>
      </x:c>
      <x:c r="D1373" s="71" t="str">
        <x:v>Shared</x:v>
      </x:c>
      <x:c r="E1373" s="71" t="str">
        <x:v>JourneyGlobe</x:v>
      </x:c>
      <x:c r="F1373" s="71" t="str">
        <x:v>Accessibility / input support</x:v>
      </x:c>
      <x:c r="G1373" s="71" t="str">
        <x:v>Accessibility label</x:v>
      </x:c>
      <x:c r="H1373" s="71" t="str">
        <x:v>Show</x:v>
      </x:c>
      <x:c r="I1373" s="71" t="str">
        <x:v>Show</x:v>
      </x:c>
      <x:c r="J1373" s="73"/>
      <x:c r="K1373" s="74" t="str">
        <x:f>IF(J1373="",H1373,IF(J1373=I1373,I1373,J1373))</x:f>
        <x:v>Show</x:v>
      </x:c>
      <x:c r="L1373" s="74" t="str">
        <x:f>IF(J1373="","Keep current",IF(J1373=I1373,"Use suggestion","Custom"))</x:f>
        <x:v>Keep current</x:v>
      </x:c>
      <x:c r="M1373" s="71" t="str">
        <x:v>Pending review</x:v>
      </x:c>
      <x:c r="N1373" s="71" t="str">
        <x:v>Medium</x:v>
      </x:c>
      <x:c r="O1373" s="71" t="str">
        <x:v>components/journey-globe.tsx</x:v>
      </x:c>
      <x:c r="P1373" s="71" t="str">
        <x:v>JourneyGlobe:528</x:v>
      </x:c>
      <x:c r="Q1373" s="71" t="str">
        <x:v>EN (default / shared)</x:v>
      </x:c>
      <x:c r="R1373" s="71" t="str">
        <x:v>Already clear and direct; suggested wording intentionally keeps the current copy. Duplicate wording: appears 3 times.</x:v>
      </x:c>
      <x:c r="S1373" s="75" t="str">
        <x:v>Not applied — review required</x:v>
      </x:c>
    </x:row>
    <x:row r="1374">
      <x:c r="A1374" s="71" t="str">
        <x:v>MRV-1AA8481343</x:v>
      </x:c>
      <x:c r="B1374" s="71" t="str">
        <x:v>System</x:v>
      </x:c>
      <x:c r="C1374" s="71" t="str">
        <x:v>Shared recovery / system</x:v>
      </x:c>
      <x:c r="D1374" s="71" t="str">
        <x:v>Shared</x:v>
      </x:c>
      <x:c r="E1374" s="71" t="str">
        <x:v>JourneyGlobe</x:v>
      </x:c>
      <x:c r="F1374" s="71" t="str">
        <x:v>Default</x:v>
      </x:c>
      <x:c r="G1374" s="71" t="str">
        <x:v>Body copy</x:v>
      </x:c>
      <x:c r="H1374" s="71" t="str">
        <x:v>{activeRoute.leg.label.slice(0, 30)}…</x:v>
      </x:c>
      <x:c r="I1374" s="71" t="str">
        <x:v>{activeRoute.leg.label.slice(0, 30)}…</x:v>
      </x:c>
      <x:c r="J1374" s="73"/>
      <x:c r="K1374" s="74" t="str">
        <x:f>IF(J1374="",H1374,IF(J1374=I1374,I1374,J1374))</x:f>
        <x:v>{activeRoute.leg.label.slice(0, 30)}…</x:v>
      </x:c>
      <x:c r="L1374" s="74" t="str">
        <x:f>IF(J1374="","Keep current",IF(J1374=I1374,"Use suggestion","Custom"))</x:f>
        <x:v>Keep current</x:v>
      </x:c>
      <x:c r="M1374" s="71" t="str">
        <x:v>Pending review</x:v>
      </x:c>
      <x:c r="N1374" s="71" t="str">
        <x:v>Normal</x:v>
      </x:c>
      <x:c r="O1374" s="71" t="str">
        <x:v>components/journey-globe.tsx</x:v>
      </x:c>
      <x:c r="P1374" s="71" t="str">
        <x:v>JourneyGlobe:536</x:v>
      </x:c>
      <x:c r="Q1374" s="71" t="str">
        <x:v>EN (default / shared)</x:v>
      </x:c>
      <x:c r="R1374" s="71" t="str">
        <x:v>Already clear and direct; suggested wording intentionally keeps the current copy. Dynamic traveller or trip value is represented as a token; user-generated values are excluded.</x:v>
      </x:c>
      <x:c r="S1374" s="75" t="str">
        <x:v>Not applied — review required</x:v>
      </x:c>
    </x:row>
    <x:row r="1375">
      <x:c r="A1375" s="71" t="str">
        <x:v>MRV-A40B96FF80</x:v>
      </x:c>
      <x:c r="B1375" s="71" t="str">
        <x:v>System</x:v>
      </x:c>
      <x:c r="C1375" s="71" t="str">
        <x:v>Shared recovery / system</x:v>
      </x:c>
      <x:c r="D1375" s="71" t="str">
        <x:v>Shared</x:v>
      </x:c>
      <x:c r="E1375" s="71" t="str">
        <x:v>JourneyGlobe</x:v>
      </x:c>
      <x:c r="F1375" s="71" t="str">
        <x:v>Accessibility / input support</x:v>
      </x:c>
      <x:c r="G1375" s="71" t="str">
        <x:v>Accessibility label</x:v>
      </x:c>
      <x:c r="H1375" s="71" t="str">
        <x:v>Map controls</x:v>
      </x:c>
      <x:c r="I1375" s="71" t="str">
        <x:v>Map controls</x:v>
      </x:c>
      <x:c r="J1375" s="73"/>
      <x:c r="K1375" s="74" t="str">
        <x:f>IF(J1375="",H1375,IF(J1375=I1375,I1375,J1375))</x:f>
        <x:v>Map controls</x:v>
      </x:c>
      <x:c r="L1375" s="74" t="str">
        <x:f>IF(J1375="","Keep current",IF(J1375=I1375,"Use suggestion","Custom"))</x:f>
        <x:v>Keep current</x:v>
      </x:c>
      <x:c r="M1375" s="71" t="str">
        <x:v>Pending review</x:v>
      </x:c>
      <x:c r="N1375" s="71" t="str">
        <x:v>Medium</x:v>
      </x:c>
      <x:c r="O1375" s="71" t="str">
        <x:v>components/journey-globe.tsx</x:v>
      </x:c>
      <x:c r="P1375" s="71" t="str">
        <x:v>JourneyGlobe:544</x:v>
      </x:c>
      <x:c r="Q1375" s="71" t="str">
        <x:v>EN (default / shared)</x:v>
      </x:c>
      <x:c r="R1375" s="71" t="str">
        <x:v>Already clear and direct; suggested wording intentionally keeps the current copy. Duplicate wording: appears 2 times.</x:v>
      </x:c>
      <x:c r="S1375" s="75" t="str">
        <x:v>Not applied — review required</x:v>
      </x:c>
    </x:row>
    <x:row r="1376">
      <x:c r="A1376" s="71" t="str">
        <x:v>MRV-45C4B61A5C</x:v>
      </x:c>
      <x:c r="B1376" s="71" t="str">
        <x:v>System</x:v>
      </x:c>
      <x:c r="C1376" s="71" t="str">
        <x:v>Shared recovery / system</x:v>
      </x:c>
      <x:c r="D1376" s="71" t="str">
        <x:v>Shared</x:v>
      </x:c>
      <x:c r="E1376" s="71" t="str">
        <x:v>JourneyGlobe</x:v>
      </x:c>
      <x:c r="F1376" s="71" t="str">
        <x:v>Accessibility / input support</x:v>
      </x:c>
      <x:c r="G1376" s="71" t="str">
        <x:v>Accessibility label</x:v>
      </x:c>
      <x:c r="H1376" s="71" t="str">
        <x:v>Zoom in map</x:v>
      </x:c>
      <x:c r="I1376" s="71" t="str">
        <x:v>Zoom in map</x:v>
      </x:c>
      <x:c r="J1376" s="73"/>
      <x:c r="K1376" s="74" t="str">
        <x:f>IF(J1376="",H1376,IF(J1376=I1376,I1376,J1376))</x:f>
        <x:v>Zoom in map</x:v>
      </x:c>
      <x:c r="L1376" s="74" t="str">
        <x:f>IF(J1376="","Keep current",IF(J1376=I1376,"Use suggestion","Custom"))</x:f>
        <x:v>Keep current</x:v>
      </x:c>
      <x:c r="M1376" s="71" t="str">
        <x:v>Pending review</x:v>
      </x:c>
      <x:c r="N1376" s="71" t="str">
        <x:v>Medium</x:v>
      </x:c>
      <x:c r="O1376" s="71" t="str">
        <x:v>components/journey-globe.tsx</x:v>
      </x:c>
      <x:c r="P1376" s="71" t="str">
        <x:v>JourneyGlobe:545</x:v>
      </x:c>
      <x:c r="Q1376" s="71" t="str">
        <x:v>EN (default / shared)</x:v>
      </x:c>
      <x:c r="R1376" s="71" t="str">
        <x:v>Already clear and direct; suggested wording intentionally keeps the current copy.</x:v>
      </x:c>
      <x:c r="S1376" s="75" t="str">
        <x:v>Not applied — review required</x:v>
      </x:c>
    </x:row>
    <x:row r="1377">
      <x:c r="A1377" s="71" t="str">
        <x:v>MRV-2CA4875A3A</x:v>
      </x:c>
      <x:c r="B1377" s="71" t="str">
        <x:v>System</x:v>
      </x:c>
      <x:c r="C1377" s="71" t="str">
        <x:v>Shared recovery / system</x:v>
      </x:c>
      <x:c r="D1377" s="71" t="str">
        <x:v>Shared</x:v>
      </x:c>
      <x:c r="E1377" s="71" t="str">
        <x:v>JourneyGlobe</x:v>
      </x:c>
      <x:c r="F1377" s="71" t="str">
        <x:v>Default</x:v>
      </x:c>
      <x:c r="G1377" s="71" t="str">
        <x:v>Tooltip</x:v>
      </x:c>
      <x:c r="H1377" s="71" t="str">
        <x:v>Zoom in</x:v>
      </x:c>
      <x:c r="I1377" s="71" t="str">
        <x:v>Zoom in</x:v>
      </x:c>
      <x:c r="J1377" s="73"/>
      <x:c r="K1377" s="74" t="str">
        <x:f>IF(J1377="",H1377,IF(J1377=I1377,I1377,J1377))</x:f>
        <x:v>Zoom in</x:v>
      </x:c>
      <x:c r="L1377" s="74" t="str">
        <x:f>IF(J1377="","Keep current",IF(J1377=I1377,"Use suggestion","Custom"))</x:f>
        <x:v>Keep current</x:v>
      </x:c>
      <x:c r="M1377" s="71" t="str">
        <x:v>Pending review</x:v>
      </x:c>
      <x:c r="N1377" s="71" t="str">
        <x:v>Normal</x:v>
      </x:c>
      <x:c r="O1377" s="71" t="str">
        <x:v>components/journey-globe.tsx</x:v>
      </x:c>
      <x:c r="P1377" s="71" t="str">
        <x:v>JourneyGlobe:545</x:v>
      </x:c>
      <x:c r="Q1377" s="71" t="str">
        <x:v>EN (default / shared)</x:v>
      </x:c>
      <x:c r="R1377" s="71" t="str">
        <x:v>Already clear and direct; suggested wording intentionally keeps the current copy.</x:v>
      </x:c>
      <x:c r="S1377" s="75" t="str">
        <x:v>Not applied — review required</x:v>
      </x:c>
    </x:row>
    <x:row r="1378">
      <x:c r="A1378" s="71" t="str">
        <x:v>MRV-E1F9251F4D</x:v>
      </x:c>
      <x:c r="B1378" s="71" t="str">
        <x:v>System</x:v>
      </x:c>
      <x:c r="C1378" s="71" t="str">
        <x:v>Shared recovery / system</x:v>
      </x:c>
      <x:c r="D1378" s="71" t="str">
        <x:v>Shared</x:v>
      </x:c>
      <x:c r="E1378" s="71" t="str">
        <x:v>JourneyGlobe</x:v>
      </x:c>
      <x:c r="F1378" s="71" t="str">
        <x:v>Accessibility / input support</x:v>
      </x:c>
      <x:c r="G1378" s="71" t="str">
        <x:v>Accessibility label</x:v>
      </x:c>
      <x:c r="H1378" s="71" t="str">
        <x:v>Zoom out map</x:v>
      </x:c>
      <x:c r="I1378" s="71" t="str">
        <x:v>Zoom out map</x:v>
      </x:c>
      <x:c r="J1378" s="73"/>
      <x:c r="K1378" s="74" t="str">
        <x:f>IF(J1378="",H1378,IF(J1378=I1378,I1378,J1378))</x:f>
        <x:v>Zoom out map</x:v>
      </x:c>
      <x:c r="L1378" s="74" t="str">
        <x:f>IF(J1378="","Keep current",IF(J1378=I1378,"Use suggestion","Custom"))</x:f>
        <x:v>Keep current</x:v>
      </x:c>
      <x:c r="M1378" s="71" t="str">
        <x:v>Pending review</x:v>
      </x:c>
      <x:c r="N1378" s="71" t="str">
        <x:v>Medium</x:v>
      </x:c>
      <x:c r="O1378" s="71" t="str">
        <x:v>components/journey-globe.tsx</x:v>
      </x:c>
      <x:c r="P1378" s="71" t="str">
        <x:v>JourneyGlobe:546</x:v>
      </x:c>
      <x:c r="Q1378" s="71" t="str">
        <x:v>EN (default / shared)</x:v>
      </x:c>
      <x:c r="R1378" s="71" t="str">
        <x:v>Already clear and direct; suggested wording intentionally keeps the current copy.</x:v>
      </x:c>
      <x:c r="S1378" s="75" t="str">
        <x:v>Not applied — review required</x:v>
      </x:c>
    </x:row>
    <x:row r="1379">
      <x:c r="A1379" s="71" t="str">
        <x:v>MRV-C41691A775</x:v>
      </x:c>
      <x:c r="B1379" s="71" t="str">
        <x:v>System</x:v>
      </x:c>
      <x:c r="C1379" s="71" t="str">
        <x:v>Shared recovery / system</x:v>
      </x:c>
      <x:c r="D1379" s="71" t="str">
        <x:v>Shared</x:v>
      </x:c>
      <x:c r="E1379" s="71" t="str">
        <x:v>JourneyGlobe</x:v>
      </x:c>
      <x:c r="F1379" s="71" t="str">
        <x:v>Default</x:v>
      </x:c>
      <x:c r="G1379" s="71" t="str">
        <x:v>Tooltip</x:v>
      </x:c>
      <x:c r="H1379" s="71" t="str">
        <x:v>Zoom out</x:v>
      </x:c>
      <x:c r="I1379" s="71" t="str">
        <x:v>Zoom out</x:v>
      </x:c>
      <x:c r="J1379" s="73"/>
      <x:c r="K1379" s="74" t="str">
        <x:f>IF(J1379="",H1379,IF(J1379=I1379,I1379,J1379))</x:f>
        <x:v>Zoom out</x:v>
      </x:c>
      <x:c r="L1379" s="74" t="str">
        <x:f>IF(J1379="","Keep current",IF(J1379=I1379,"Use suggestion","Custom"))</x:f>
        <x:v>Keep current</x:v>
      </x:c>
      <x:c r="M1379" s="71" t="str">
        <x:v>Pending review</x:v>
      </x:c>
      <x:c r="N1379" s="71" t="str">
        <x:v>Normal</x:v>
      </x:c>
      <x:c r="O1379" s="71" t="str">
        <x:v>components/journey-globe.tsx</x:v>
      </x:c>
      <x:c r="P1379" s="71" t="str">
        <x:v>JourneyGlobe:546</x:v>
      </x:c>
      <x:c r="Q1379" s="71" t="str">
        <x:v>EN (default / shared)</x:v>
      </x:c>
      <x:c r="R1379" s="71" t="str">
        <x:v>Already clear and direct; suggested wording intentionally keeps the current copy.</x:v>
      </x:c>
      <x:c r="S1379" s="75" t="str">
        <x:v>Not applied — review required</x:v>
      </x:c>
    </x:row>
    <x:row r="1380">
      <x:c r="A1380" s="71" t="str">
        <x:v>MRV-4EA364A256</x:v>
      </x:c>
      <x:c r="B1380" s="71" t="str">
        <x:v>System</x:v>
      </x:c>
      <x:c r="C1380" s="71" t="str">
        <x:v>Shared recovery / system</x:v>
      </x:c>
      <x:c r="D1380" s="71" t="str">
        <x:v>Shared</x:v>
      </x:c>
      <x:c r="E1380" s="71" t="str">
        <x:v>JourneyGlobe</x:v>
      </x:c>
      <x:c r="F1380" s="71" t="str">
        <x:v>Accessibility / input support</x:v>
      </x:c>
      <x:c r="G1380" s="71" t="str">
        <x:v>Accessibility label</x:v>
      </x:c>
      <x:c r="H1380" s="71" t="str">
        <x:v>Fit all route destinations</x:v>
      </x:c>
      <x:c r="I1380" s="71" t="str">
        <x:v>Fit all route destinations</x:v>
      </x:c>
      <x:c r="J1380" s="73"/>
      <x:c r="K1380" s="74" t="str">
        <x:f>IF(J1380="",H1380,IF(J1380=I1380,I1380,J1380))</x:f>
        <x:v>Fit all route destinations</x:v>
      </x:c>
      <x:c r="L1380" s="74" t="str">
        <x:f>IF(J1380="","Keep current",IF(J1380=I1380,"Use suggestion","Custom"))</x:f>
        <x:v>Keep current</x:v>
      </x:c>
      <x:c r="M1380" s="71" t="str">
        <x:v>Pending review</x:v>
      </x:c>
      <x:c r="N1380" s="71" t="str">
        <x:v>Medium</x:v>
      </x:c>
      <x:c r="O1380" s="71" t="str">
        <x:v>components/journey-globe.tsx</x:v>
      </x:c>
      <x:c r="P1380" s="71" t="str">
        <x:v>JourneyGlobe:547</x:v>
      </x:c>
      <x:c r="Q1380" s="71" t="str">
        <x:v>EN (default / shared)</x:v>
      </x:c>
      <x:c r="R1380" s="71" t="str">
        <x:v>Already clear and direct; suggested wording intentionally keeps the current copy. Terminology watch: ‘trip’ and ‘journey’ both describe the same plan. Terminology watch: ‘stops’, ‘destinations’ and ‘places’ overlap.</x:v>
      </x:c>
      <x:c r="S1380" s="75" t="str">
        <x:v>Not applied — review required</x:v>
      </x:c>
    </x:row>
    <x:row r="1381">
      <x:c r="A1381" s="71" t="str">
        <x:v>MRV-B8B6EEC8CF</x:v>
      </x:c>
      <x:c r="B1381" s="71" t="str">
        <x:v>System</x:v>
      </x:c>
      <x:c r="C1381" s="71" t="str">
        <x:v>Shared recovery / system</x:v>
      </x:c>
      <x:c r="D1381" s="71" t="str">
        <x:v>Shared</x:v>
      </x:c>
      <x:c r="E1381" s="71" t="str">
        <x:v>JourneyGlobe</x:v>
      </x:c>
      <x:c r="F1381" s="71" t="str">
        <x:v>Accessibility / input support</x:v>
      </x:c>
      <x:c r="G1381" s="71" t="str">
        <x:v>Accessibility label</x:v>
      </x:c>
      <x:c r="H1381" s="71" t="str">
        <x:v>Reset map to {selected.city}</x:v>
      </x:c>
      <x:c r="I1381" s="71" t="str">
        <x:v>Reset map to {selected.city}</x:v>
      </x:c>
      <x:c r="J1381" s="73"/>
      <x:c r="K1381" s="74" t="str">
        <x:f>IF(J1381="",H1381,IF(J1381=I1381,I1381,J1381))</x:f>
        <x:v>Reset map to {selected.city}</x:v>
      </x:c>
      <x:c r="L1381" s="74" t="str">
        <x:f>IF(J1381="","Keep current",IF(J1381=I1381,"Use suggestion","Custom"))</x:f>
        <x:v>Keep current</x:v>
      </x:c>
      <x:c r="M1381" s="71" t="str">
        <x:v>Pending review</x:v>
      </x:c>
      <x:c r="N1381" s="71" t="str">
        <x:v>Medium</x:v>
      </x:c>
      <x:c r="O1381" s="71" t="str">
        <x:v>components/journey-globe.tsx</x:v>
      </x:c>
      <x:c r="P1381" s="71" t="str">
        <x:v>JourneyGlobe:547</x:v>
      </x:c>
      <x:c r="Q1381" s="71" t="str">
        <x:v>EN (default / shared)</x:v>
      </x:c>
      <x:c r="R1381" s="71" t="str">
        <x:v>Already clear and direct; suggested wording intentionally keeps the current copy. Dynamic traveller or trip value is represented as a token; user-generated values are excluded.</x:v>
      </x:c>
      <x:c r="S1381" s="75" t="str">
        <x:v>Not applied — review required</x:v>
      </x:c>
    </x:row>
    <x:row r="1382">
      <x:c r="A1382" s="71" t="str">
        <x:v>MRV-DBE4FDE7C3</x:v>
      </x:c>
      <x:c r="B1382" s="71" t="str">
        <x:v>System</x:v>
      </x:c>
      <x:c r="C1382" s="71" t="str">
        <x:v>Shared recovery / system</x:v>
      </x:c>
      <x:c r="D1382" s="71" t="str">
        <x:v>Shared</x:v>
      </x:c>
      <x:c r="E1382" s="71" t="str">
        <x:v>JourneyGlobe</x:v>
      </x:c>
      <x:c r="F1382" s="71" t="str">
        <x:v>Default</x:v>
      </x:c>
      <x:c r="G1382" s="71" t="str">
        <x:v>Tooltip</x:v>
      </x:c>
      <x:c r="H1382" s="71" t="str">
        <x:v>Fit destination</x:v>
      </x:c>
      <x:c r="I1382" s="71" t="str">
        <x:v>Fit destination</x:v>
      </x:c>
      <x:c r="J1382" s="73"/>
      <x:c r="K1382" s="74" t="str">
        <x:f>IF(J1382="",H1382,IF(J1382=I1382,I1382,J1382))</x:f>
        <x:v>Fit destination</x:v>
      </x:c>
      <x:c r="L1382" s="74" t="str">
        <x:f>IF(J1382="","Keep current",IF(J1382=I1382,"Use suggestion","Custom"))</x:f>
        <x:v>Keep current</x:v>
      </x:c>
      <x:c r="M1382" s="71" t="str">
        <x:v>Pending review</x:v>
      </x:c>
      <x:c r="N1382" s="71" t="str">
        <x:v>Normal</x:v>
      </x:c>
      <x:c r="O1382" s="71" t="str">
        <x:v>components/journey-globe.tsx</x:v>
      </x:c>
      <x:c r="P1382" s="71" t="str">
        <x:v>JourneyGlobe:547</x:v>
      </x:c>
      <x:c r="Q1382" s="71" t="str">
        <x:v>EN (default / shared)</x:v>
      </x:c>
      <x:c r="R1382" s="71" t="str">
        <x:v>Already clear and direct; suggested wording intentionally keeps the current copy. Duplicate wording: appears 2 times. Terminology watch: ‘trip’ and ‘journey’ both describe the same plan. Terminology watch: ‘stops’, ‘destinations’ and ‘places’ overlap.</x:v>
      </x:c>
      <x:c r="S1382" s="75" t="str">
        <x:v>Not applied — review required</x:v>
      </x:c>
    </x:row>
    <x:row r="1383">
      <x:c r="A1383" s="71" t="str">
        <x:v>MRV-ACA49A4553</x:v>
      </x:c>
      <x:c r="B1383" s="71" t="str">
        <x:v>System</x:v>
      </x:c>
      <x:c r="C1383" s="71" t="str">
        <x:v>Shared recovery / system</x:v>
      </x:c>
      <x:c r="D1383" s="71" t="str">
        <x:v>Shared</x:v>
      </x:c>
      <x:c r="E1383" s="71" t="str">
        <x:v>JourneyGlobe</x:v>
      </x:c>
      <x:c r="F1383" s="71" t="str">
        <x:v>Default</x:v>
      </x:c>
      <x:c r="G1383" s="71" t="str">
        <x:v>Label</x:v>
      </x:c>
      <x:c r="H1383" s="71" t="str">
        <x:v>On this day</x:v>
      </x:c>
      <x:c r="I1383" s="71" t="str">
        <x:v>On this day</x:v>
      </x:c>
      <x:c r="J1383" s="73"/>
      <x:c r="K1383" s="74" t="str">
        <x:f>IF(J1383="",H1383,IF(J1383=I1383,I1383,J1383))</x:f>
        <x:v>On this day</x:v>
      </x:c>
      <x:c r="L1383" s="74" t="str">
        <x:f>IF(J1383="","Keep current",IF(J1383=I1383,"Use suggestion","Custom"))</x:f>
        <x:v>Keep current</x:v>
      </x:c>
      <x:c r="M1383" s="71" t="str">
        <x:v>Pending review</x:v>
      </x:c>
      <x:c r="N1383" s="71" t="str">
        <x:v>Normal</x:v>
      </x:c>
      <x:c r="O1383" s="71" t="str">
        <x:v>components/journey-globe.tsx</x:v>
      </x:c>
      <x:c r="P1383" s="71" t="str">
        <x:v>JourneyGlobe:552</x:v>
      </x:c>
      <x:c r="Q1383" s="71" t="str">
        <x:v>EN (default / shared)</x:v>
      </x:c>
      <x:c r="R1383" s="71" t="str">
        <x:v>Already clear and direct; suggested wording intentionally keeps the current copy.</x:v>
      </x:c>
      <x:c r="S1383" s="75" t="str">
        <x:v>Not applied — review required</x:v>
      </x:c>
    </x:row>
    <x:row r="1384">
      <x:c r="A1384" s="71" t="str">
        <x:v>MRV-7ABACE34D8</x:v>
      </x:c>
      <x:c r="B1384" s="71" t="str">
        <x:v>System</x:v>
      </x:c>
      <x:c r="C1384" s="71" t="str">
        <x:v>Shared recovery / system</x:v>
      </x:c>
      <x:c r="D1384" s="71" t="str">
        <x:v>Shared</x:v>
      </x:c>
      <x:c r="E1384" s="71" t="str">
        <x:v>JourneyGlobe</x:v>
      </x:c>
      <x:c r="F1384" s="71" t="str">
        <x:v>Default</x:v>
      </x:c>
      <x:c r="G1384" s="71" t="str">
        <x:v>Body copy</x:v>
      </x:c>
      <x:c r="H1384" s="71" t="str">
        <x:v>A planned stop in {selected.city}.</x:v>
      </x:c>
      <x:c r="I1384" s="71" t="str">
        <x:v>A planned stop in {selected.city}.</x:v>
      </x:c>
      <x:c r="J1384" s="73"/>
      <x:c r="K1384" s="74" t="str">
        <x:f>IF(J1384="",H1384,IF(J1384=I1384,I1384,J1384))</x:f>
        <x:v>A planned stop in {selected.city}.</x:v>
      </x:c>
      <x:c r="L1384" s="74" t="str">
        <x:f>IF(J1384="","Keep current",IF(J1384=I1384,"Use suggestion","Custom"))</x:f>
        <x:v>Keep current</x:v>
      </x:c>
      <x:c r="M1384" s="71" t="str">
        <x:v>Pending review</x:v>
      </x:c>
      <x:c r="N1384" s="71" t="str">
        <x:v>Normal</x:v>
      </x:c>
      <x:c r="O1384" s="71" t="str">
        <x:v>components/journey-globe.tsx</x:v>
      </x:c>
      <x:c r="P1384" s="71" t="str">
        <x:v>JourneyGlobe:552</x:v>
      </x:c>
      <x:c r="Q1384" s="71" t="str">
        <x:v>EN (default / shared)</x:v>
      </x:c>
      <x:c r="R138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384" s="75" t="str">
        <x:v>Not applied — review required</x:v>
      </x:c>
    </x:row>
    <x:row r="1385">
      <x:c r="A1385" s="71" t="str">
        <x:v>MRV-EC3341B644</x:v>
      </x:c>
      <x:c r="B1385" s="71" t="str">
        <x:v>System</x:v>
      </x:c>
      <x:c r="C1385" s="71" t="str">
        <x:v>Shared recovery / system</x:v>
      </x:c>
      <x:c r="D1385" s="71" t="str">
        <x:v>Shared</x:v>
      </x:c>
      <x:c r="E1385" s="71" t="str">
        <x:v>JourneyGlobe</x:v>
      </x:c>
      <x:c r="F1385" s="71" t="str">
        <x:v>Default</x:v>
      </x:c>
      <x:c r="G1385" s="71" t="str">
        <x:v>CTA / button</x:v>
      </x:c>
      <x:c r="H1385" s="71" t="str">
        <x:v>Open in</x:v>
      </x:c>
      <x:c r="I1385" s="71" t="str">
        <x:v>Open in</x:v>
      </x:c>
      <x:c r="J1385" s="73"/>
      <x:c r="K1385" s="74" t="str">
        <x:f>IF(J1385="",H1385,IF(J1385=I1385,I1385,J1385))</x:f>
        <x:v>Open in</x:v>
      </x:c>
      <x:c r="L1385" s="74" t="str">
        <x:f>IF(J1385="","Keep current",IF(J1385=I1385,"Use suggestion","Custom"))</x:f>
        <x:v>Keep current</x:v>
      </x:c>
      <x:c r="M1385" s="71" t="str">
        <x:v>Pending review</x:v>
      </x:c>
      <x:c r="N1385" s="71" t="str">
        <x:v>Medium</x:v>
      </x:c>
      <x:c r="O1385" s="71" t="str">
        <x:v>components/journey-globe.tsx</x:v>
      </x:c>
      <x:c r="P1385" s="71" t="str">
        <x:v>JourneyGlobe:552</x:v>
      </x:c>
      <x:c r="Q1385" s="71" t="str">
        <x:v>EN (default / shared)</x:v>
      </x:c>
      <x:c r="R1385" s="71" t="str">
        <x:v>Already clear and direct; suggested wording intentionally keeps the current copy.</x:v>
      </x:c>
      <x:c r="S1385" s="75" t="str">
        <x:v>Not applied — review required</x:v>
      </x:c>
    </x:row>
    <x:row r="1386">
      <x:c r="A1386" s="71" t="str">
        <x:v>MRV-C714EE97C8</x:v>
      </x:c>
      <x:c r="B1386" s="71" t="str">
        <x:v>System</x:v>
      </x:c>
      <x:c r="C1386" s="71" t="str">
        <x:v>Shared recovery / system</x:v>
      </x:c>
      <x:c r="D1386" s="71" t="str">
        <x:v>Shared</x:v>
      </x:c>
      <x:c r="E1386" s="71" t="str">
        <x:v>JourneyGlobe</x:v>
      </x:c>
      <x:c r="F1386" s="71" t="str">
        <x:v>Default</x:v>
      </x:c>
      <x:c r="G1386" s="71" t="str">
        <x:v>Label</x:v>
      </x:c>
      <x:c r="H1386" s="71" t="str">
        <x:v>Learn more</x:v>
      </x:c>
      <x:c r="I1386" s="71" t="str">
        <x:v>Learn more</x:v>
      </x:c>
      <x:c r="J1386" s="73"/>
      <x:c r="K1386" s="74" t="str">
        <x:f>IF(J1386="",H1386,IF(J1386=I1386,I1386,J1386))</x:f>
        <x:v>Learn more</x:v>
      </x:c>
      <x:c r="L1386" s="74" t="str">
        <x:f>IF(J1386="","Keep current",IF(J1386=I1386,"Use suggestion","Custom"))</x:f>
        <x:v>Keep current</x:v>
      </x:c>
      <x:c r="M1386" s="71" t="str">
        <x:v>Pending review</x:v>
      </x:c>
      <x:c r="N1386" s="71" t="str">
        <x:v>Normal</x:v>
      </x:c>
      <x:c r="O1386" s="71" t="str">
        <x:v>components/journey-globe.tsx</x:v>
      </x:c>
      <x:c r="P1386" s="71" t="str">
        <x:v>JourneyGlobe:552</x:v>
      </x:c>
      <x:c r="Q1386" s="71" t="str">
        <x:v>EN (default / shared)</x:v>
      </x:c>
      <x:c r="R1386" s="71" t="str">
        <x:v>Already clear and direct; suggested wording intentionally keeps the current copy.</x:v>
      </x:c>
      <x:c r="S1386" s="75" t="str">
        <x:v>Not applied — review required</x:v>
      </x:c>
    </x:row>
    <x:row r="1387">
      <x:c r="A1387" s="71" t="str">
        <x:v>MRV-DB8BC8FAC5</x:v>
      </x:c>
      <x:c r="B1387" s="71" t="str">
        <x:v>System</x:v>
      </x:c>
      <x:c r="C1387" s="71" t="str">
        <x:v>Shared recovery / system</x:v>
      </x:c>
      <x:c r="D1387" s="71" t="str">
        <x:v>Shared</x:v>
      </x:c>
      <x:c r="E1387" s="71" t="str">
        <x:v>JourneyGlobe</x:v>
      </x:c>
      <x:c r="F1387" s="71" t="str">
        <x:v>Accessibility / input support</x:v>
      </x:c>
      <x:c r="G1387" s="71" t="str">
        <x:v>Accessibility label</x:v>
      </x:c>
      <x:c r="H1387" s="71" t="str">
        <x:v>Close {selectedPlace.name} details</x:v>
      </x:c>
      <x:c r="I1387" s="71" t="str">
        <x:v>Close {selectedPlace.name} details</x:v>
      </x:c>
      <x:c r="J1387" s="73"/>
      <x:c r="K1387" s="74" t="str">
        <x:f>IF(J1387="",H1387,IF(J1387=I1387,I1387,J1387))</x:f>
        <x:v>Close {selectedPlace.name} details</x:v>
      </x:c>
      <x:c r="L1387" s="74" t="str">
        <x:f>IF(J1387="","Keep current",IF(J1387=I1387,"Use suggestion","Custom"))</x:f>
        <x:v>Keep current</x:v>
      </x:c>
      <x:c r="M1387" s="71" t="str">
        <x:v>Pending review</x:v>
      </x:c>
      <x:c r="N1387" s="71" t="str">
        <x:v>Medium</x:v>
      </x:c>
      <x:c r="O1387" s="71" t="str">
        <x:v>components/journey-globe.tsx</x:v>
      </x:c>
      <x:c r="P1387" s="71" t="str">
        <x:v>JourneyGlobe:553</x:v>
      </x:c>
      <x:c r="Q1387" s="71" t="str">
        <x:v>EN (default / shared)</x:v>
      </x:c>
      <x:c r="R1387" s="71" t="str">
        <x:v>Already clear and direct; suggested wording intentionally keeps the current copy. Dynamic traveller or trip value is represented as a token; user-generated values are excluded.</x:v>
      </x:c>
      <x:c r="S1387" s="75" t="str">
        <x:v>Not applied — review required</x:v>
      </x:c>
    </x:row>
    <x:row r="1388">
      <x:c r="A1388" s="71" t="str">
        <x:v>MRV-9CFBBD188B</x:v>
      </x:c>
      <x:c r="B1388" s="71" t="str">
        <x:v>System</x:v>
      </x:c>
      <x:c r="C1388" s="71" t="str">
        <x:v>Shared recovery / system</x:v>
      </x:c>
      <x:c r="D1388" s="71" t="str">
        <x:v>Shared</x:v>
      </x:c>
      <x:c r="E1388" s="71" t="str">
        <x:v>accommodationDateLabel</x:v>
      </x:c>
      <x:c r="F1388" s="71" t="str">
        <x:v>Default</x:v>
      </x:c>
      <x:c r="G1388" s="71" t="str">
        <x:v>Label</x:v>
      </x:c>
      <x:c r="H1388" s="71" t="str">
        <x:v>Dates to confirm</x:v>
      </x:c>
      <x:c r="I1388" s="71" t="str">
        <x:v>Dates to confirm</x:v>
      </x:c>
      <x:c r="J1388" s="73"/>
      <x:c r="K1388" s="74" t="str">
        <x:f>IF(J1388="",H1388,IF(J1388=I1388,I1388,J1388))</x:f>
        <x:v>Dates to confirm</x:v>
      </x:c>
      <x:c r="L1388" s="74" t="str">
        <x:f>IF(J1388="","Keep current",IF(J1388=I1388,"Use suggestion","Custom"))</x:f>
        <x:v>Keep current</x:v>
      </x:c>
      <x:c r="M1388" s="71" t="str">
        <x:v>Pending review</x:v>
      </x:c>
      <x:c r="N1388" s="71" t="str">
        <x:v>Normal</x:v>
      </x:c>
      <x:c r="O1388" s="71" t="str">
        <x:v>components/journey-itinerary-accommodation.tsx</x:v>
      </x:c>
      <x:c r="P1388" s="71" t="str">
        <x:v>accommodationDateLabel:13</x:v>
      </x:c>
      <x:c r="Q1388" s="71" t="str">
        <x:v>EN (default / shared)</x:v>
      </x:c>
      <x:c r="R1388" s="71" t="str">
        <x:v>Already clear and direct; suggested wording intentionally keeps the current copy. Duplicate wording: appears 5 times.</x:v>
      </x:c>
      <x:c r="S1388" s="75" t="str">
        <x:v>Not applied — review required</x:v>
      </x:c>
    </x:row>
    <x:row r="1389">
      <x:c r="A1389" s="71" t="str">
        <x:v>MRV-6DB9255914</x:v>
      </x:c>
      <x:c r="B1389" s="71" t="str">
        <x:v>System</x:v>
      </x:c>
      <x:c r="C1389" s="71" t="str">
        <x:v>Shared recovery / system</x:v>
      </x:c>
      <x:c r="D1389" s="71" t="str">
        <x:v>Shared</x:v>
      </x:c>
      <x:c r="E1389" s="71" t="str">
        <x:v>accommodationDateLabel</x:v>
      </x:c>
      <x:c r="F1389" s="71" t="str">
        <x:v>Default</x:v>
      </x:c>
      <x:c r="G1389" s="71" t="str">
        <x:v>Label</x:v>
      </x:c>
      <x:c r="H1389" s="71" t="str">
        <x:v>{arrival}–{departure}</x:v>
      </x:c>
      <x:c r="I1389" s="71" t="str">
        <x:v>{arrival}–{departure}</x:v>
      </x:c>
      <x:c r="J1389" s="73"/>
      <x:c r="K1389" s="74" t="str">
        <x:f>IF(J1389="",H1389,IF(J1389=I1389,I1389,J1389))</x:f>
        <x:v>{arrival}–{departure}</x:v>
      </x:c>
      <x:c r="L1389" s="74" t="str">
        <x:f>IF(J1389="","Keep current",IF(J1389=I1389,"Use suggestion","Custom"))</x:f>
        <x:v>Keep current</x:v>
      </x:c>
      <x:c r="M1389" s="71" t="str">
        <x:v>Pending review</x:v>
      </x:c>
      <x:c r="N1389" s="71" t="str">
        <x:v>Normal</x:v>
      </x:c>
      <x:c r="O1389" s="71" t="str">
        <x:v>components/journey-itinerary-accommodation.tsx</x:v>
      </x:c>
      <x:c r="P1389" s="71" t="str">
        <x:v>accommodationDateLabel:16</x:v>
      </x:c>
      <x:c r="Q1389" s="71" t="str">
        <x:v>EN (default / shared)</x:v>
      </x:c>
      <x:c r="R1389" s="71" t="str">
        <x:v>Already clear and direct; suggested wording intentionally keeps the current copy. Duplicate wording: appears 2 times. Dynamic traveller or trip value is represented as a token; user-generated values are excluded.</x:v>
      </x:c>
      <x:c r="S1389" s="75" t="str">
        <x:v>Not applied — review required</x:v>
      </x:c>
    </x:row>
    <x:row r="1390">
      <x:c r="A1390" s="71" t="str">
        <x:v>MRV-0273792E61</x:v>
      </x:c>
      <x:c r="B1390" s="71" t="str">
        <x:v>System</x:v>
      </x:c>
      <x:c r="C1390" s="71" t="str">
        <x:v>Shared recovery / system</x:v>
      </x:c>
      <x:c r="D1390" s="71" t="str">
        <x:v>Shared</x:v>
      </x:c>
      <x:c r="E1390" s="71" t="str">
        <x:v>accommodationDateLabel</x:v>
      </x:c>
      <x:c r="F1390" s="71" t="str">
        <x:v>Default</x:v>
      </x:c>
      <x:c r="G1390" s="71" t="str">
        <x:v>Label</x:v>
      </x:c>
      <x:c r="H1390" s="71" t="str">
        <x:v>Dates to confirm</x:v>
      </x:c>
      <x:c r="I1390" s="71" t="str">
        <x:v>Dates to confirm</x:v>
      </x:c>
      <x:c r="J1390" s="73"/>
      <x:c r="K1390" s="74" t="str">
        <x:f>IF(J1390="",H1390,IF(J1390=I1390,I1390,J1390))</x:f>
        <x:v>Dates to confirm</x:v>
      </x:c>
      <x:c r="L1390" s="74" t="str">
        <x:f>IF(J1390="","Keep current",IF(J1390=I1390,"Use suggestion","Custom"))</x:f>
        <x:v>Keep current</x:v>
      </x:c>
      <x:c r="M1390" s="71" t="str">
        <x:v>Pending review</x:v>
      </x:c>
      <x:c r="N1390" s="71" t="str">
        <x:v>Normal</x:v>
      </x:c>
      <x:c r="O1390" s="71" t="str">
        <x:v>components/journey-itinerary-accommodation.tsx</x:v>
      </x:c>
      <x:c r="P1390" s="71" t="str">
        <x:v>accommodationDateLabel:16</x:v>
      </x:c>
      <x:c r="Q1390" s="71" t="str">
        <x:v>EN (default / shared)</x:v>
      </x:c>
      <x:c r="R1390" s="71" t="str">
        <x:v>Already clear and direct; suggested wording intentionally keeps the current copy. Duplicate wording: appears 5 times.</x:v>
      </x:c>
      <x:c r="S1390" s="75" t="str">
        <x:v>Not applied — review required</x:v>
      </x:c>
    </x:row>
    <x:row r="1391">
      <x:c r="A1391" s="71" t="str">
        <x:v>MRV-87456FD32F</x:v>
      </x:c>
      <x:c r="B1391" s="71" t="str">
        <x:v>System</x:v>
      </x:c>
      <x:c r="C1391" s="71" t="str">
        <x:v>Shared recovery / system</x:v>
      </x:c>
      <x:c r="D1391" s="71" t="str">
        <x:v>Shared</x:v>
      </x:c>
      <x:c r="E1391" s="71" t="str">
        <x:v>key</x:v>
      </x:c>
      <x:c r="F1391" s="71" t="str">
        <x:v>Default</x:v>
      </x:c>
      <x:c r="G1391" s="71" t="str">
        <x:v>Body copy</x:v>
      </x:c>
      <x:c r="H1391" s="71" t="str">
        <x:v>morrovia:accommodation-viewed:{trip.id}:{currentStopId}</x:v>
      </x:c>
      <x:c r="I1391" s="71" t="str">
        <x:v>morrovia:accommodation-viewed:{trip.id}:{currentStopId}</x:v>
      </x:c>
      <x:c r="J1391" s="73"/>
      <x:c r="K1391" s="74" t="str">
        <x:f>IF(J1391="",H1391,IF(J1391=I1391,I1391,J1391))</x:f>
        <x:v>morrovia:accommodation-viewed:{trip.id}:{currentStopId}</x:v>
      </x:c>
      <x:c r="L1391" s="74" t="str">
        <x:f>IF(J1391="","Keep current",IF(J1391=I1391,"Use suggestion","Custom"))</x:f>
        <x:v>Keep current</x:v>
      </x:c>
      <x:c r="M1391" s="71" t="str">
        <x:v>Pending review</x:v>
      </x:c>
      <x:c r="N1391" s="71" t="str">
        <x:v>Normal</x:v>
      </x:c>
      <x:c r="O1391" s="71" t="str">
        <x:v>components/journey-itinerary-accommodation.tsx</x:v>
      </x:c>
      <x:c r="P1391" s="71" t="str">
        <x:v>key:34</x:v>
      </x:c>
      <x:c r="Q1391" s="71" t="str">
        <x:v>EN (default / shared)</x:v>
      </x:c>
      <x:c r="R1391"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391" s="75" t="str">
        <x:v>Not applied — review required</x:v>
      </x:c>
    </x:row>
    <x:row r="1392">
      <x:c r="A1392" s="71" t="str">
        <x:v>MRV-20645B9C63</x:v>
      </x:c>
      <x:c r="B1392" s="71" t="str">
        <x:v>System</x:v>
      </x:c>
      <x:c r="C1392" s="71" t="str">
        <x:v>Shared recovery / system</x:v>
      </x:c>
      <x:c r="D1392" s="71" t="str">
        <x:v>Shared</x:v>
      </x:c>
      <x:c r="E1392" s="71" t="str">
        <x:v>JourneyItineraryAccommodation</x:v>
      </x:c>
      <x:c r="F1392" s="71" t="str">
        <x:v>Default</x:v>
      </x:c>
      <x:c r="G1392" s="71" t="str">
        <x:v>Label</x:v>
      </x:c>
      <x:c r="H1392" s="71" t="str">
        <x:v>stays sorted</x:v>
      </x:c>
      <x:c r="I1392" s="71" t="str">
        <x:v>stays sorted</x:v>
      </x:c>
      <x:c r="J1392" s="73"/>
      <x:c r="K1392" s="74" t="str">
        <x:f>IF(J1392="",H1392,IF(J1392=I1392,I1392,J1392))</x:f>
        <x:v>stays sorted</x:v>
      </x:c>
      <x:c r="L1392" s="74" t="str">
        <x:f>IF(J1392="","Keep current",IF(J1392=I1392,"Use suggestion","Custom"))</x:f>
        <x:v>Keep current</x:v>
      </x:c>
      <x:c r="M1392" s="71" t="str">
        <x:v>Pending review</x:v>
      </x:c>
      <x:c r="N1392" s="71" t="str">
        <x:v>Normal</x:v>
      </x:c>
      <x:c r="O1392" s="71" t="str">
        <x:v>components/journey-itinerary-accommodation.tsx</x:v>
      </x:c>
      <x:c r="P1392" s="71" t="str">
        <x:v>JourneyItineraryAccommodation:46</x:v>
      </x:c>
      <x:c r="Q1392" s="71" t="str">
        <x:v>EN (default / shared)</x:v>
      </x:c>
      <x:c r="R1392" s="71" t="str">
        <x:v>Already clear and direct; suggested wording intentionally keeps the current copy. Duplicate wording: appears 3 times.</x:v>
      </x:c>
      <x:c r="S1392" s="75" t="str">
        <x:v>Not applied — review required</x:v>
      </x:c>
    </x:row>
    <x:row r="1393">
      <x:c r="A1393" s="71" t="str">
        <x:v>MRV-6A1544378F</x:v>
      </x:c>
      <x:c r="B1393" s="71" t="str">
        <x:v>System</x:v>
      </x:c>
      <x:c r="C1393" s="71" t="str">
        <x:v>Shared recovery / system</x:v>
      </x:c>
      <x:c r="D1393" s="71" t="str">
        <x:v>Shared</x:v>
      </x:c>
      <x:c r="E1393" s="71" t="str">
        <x:v>JourneyItineraryAccommodation</x:v>
      </x:c>
      <x:c r="F1393" s="71" t="str">
        <x:v>Default</x:v>
      </x:c>
      <x:c r="G1393" s="71" t="str">
        <x:v>Label</x:v>
      </x:c>
      <x:c r="H1393" s="71" t="str">
        <x:v>stays sorted</x:v>
      </x:c>
      <x:c r="I1393" s="71" t="str">
        <x:v>stays sorted</x:v>
      </x:c>
      <x:c r="J1393" s="73"/>
      <x:c r="K1393" s="74" t="str">
        <x:f>IF(J1393="",H1393,IF(J1393=I1393,I1393,J1393))</x:f>
        <x:v>stays sorted</x:v>
      </x:c>
      <x:c r="L1393" s="74" t="str">
        <x:f>IF(J1393="","Keep current",IF(J1393=I1393,"Use suggestion","Custom"))</x:f>
        <x:v>Keep current</x:v>
      </x:c>
      <x:c r="M1393" s="71" t="str">
        <x:v>Pending review</x:v>
      </x:c>
      <x:c r="N1393" s="71" t="str">
        <x:v>Normal</x:v>
      </x:c>
      <x:c r="O1393" s="71" t="str">
        <x:v>components/journey-itinerary-accommodation.tsx</x:v>
      </x:c>
      <x:c r="P1393" s="71" t="str">
        <x:v>JourneyItineraryAccommodation:50</x:v>
      </x:c>
      <x:c r="Q1393" s="71" t="str">
        <x:v>EN (default / shared)</x:v>
      </x:c>
      <x:c r="R1393" s="71" t="str">
        <x:v>Already clear and direct; suggested wording intentionally keeps the current copy. Duplicate wording: appears 3 times.</x:v>
      </x:c>
      <x:c r="S1393" s="75" t="str">
        <x:v>Not applied — review required</x:v>
      </x:c>
    </x:row>
    <x:row r="1394">
      <x:c r="A1394" s="71" t="str">
        <x:v>MRV-D0A84C43AF</x:v>
      </x:c>
      <x:c r="B1394" s="71" t="str">
        <x:v>System</x:v>
      </x:c>
      <x:c r="C1394" s="71" t="str">
        <x:v>Shared recovery / system</x:v>
      </x:c>
      <x:c r="D1394" s="71" t="str">
        <x:v>Shared</x:v>
      </x:c>
      <x:c r="E1394" s="71" t="str">
        <x:v>JourneyItineraryAccommodation</x:v>
      </x:c>
      <x:c r="F1394" s="71" t="str">
        <x:v>Default</x:v>
      </x:c>
      <x:c r="G1394" s="71" t="str">
        <x:v>Label</x:v>
      </x:c>
      <x:c r="H1394" s="71" t="str">
        <x:v>Stay sorted</x:v>
      </x:c>
      <x:c r="I1394" s="71" t="str">
        <x:v>Stay sorted</x:v>
      </x:c>
      <x:c r="J1394" s="73"/>
      <x:c r="K1394" s="74" t="str">
        <x:f>IF(J1394="",H1394,IF(J1394=I1394,I1394,J1394))</x:f>
        <x:v>Stay sorted</x:v>
      </x:c>
      <x:c r="L1394" s="74" t="str">
        <x:f>IF(J1394="","Keep current",IF(J1394=I1394,"Use suggestion","Custom"))</x:f>
        <x:v>Keep current</x:v>
      </x:c>
      <x:c r="M1394" s="71" t="str">
        <x:v>Pending review</x:v>
      </x:c>
      <x:c r="N1394" s="71" t="str">
        <x:v>Normal</x:v>
      </x:c>
      <x:c r="O1394" s="71" t="str">
        <x:v>components/journey-itinerary-accommodation.tsx</x:v>
      </x:c>
      <x:c r="P1394" s="71" t="str">
        <x:v>JourneyItineraryAccommodation:60</x:v>
      </x:c>
      <x:c r="Q1394" s="71" t="str">
        <x:v>EN (default / shared)</x:v>
      </x:c>
      <x:c r="R1394" s="71" t="str">
        <x:v>Already clear and direct; suggested wording intentionally keeps the current copy. Duplicate wording: appears 2 times.</x:v>
      </x:c>
      <x:c r="S1394" s="75" t="str">
        <x:v>Not applied — review required</x:v>
      </x:c>
    </x:row>
    <x:row r="1395">
      <x:c r="A1395" s="71" t="str">
        <x:v>MRV-9F39C95589</x:v>
      </x:c>
      <x:c r="B1395" s="71" t="str">
        <x:v>System</x:v>
      </x:c>
      <x:c r="C1395" s="71" t="str">
        <x:v>Shared recovery / system</x:v>
      </x:c>
      <x:c r="D1395" s="71" t="str">
        <x:v>Shared</x:v>
      </x:c>
      <x:c r="E1395" s="71" t="str">
        <x:v>JourneyItineraryAccommodation</x:v>
      </x:c>
      <x:c r="F1395" s="71" t="str">
        <x:v>Default</x:v>
      </x:c>
      <x:c r="G1395" s="71" t="str">
        <x:v>Label</x:v>
      </x:c>
      <x:c r="H1395" s="71" t="str">
        <x:v>Needs a stay</x:v>
      </x:c>
      <x:c r="I1395" s="71" t="str">
        <x:v>Needs a stay</x:v>
      </x:c>
      <x:c r="J1395" s="73"/>
      <x:c r="K1395" s="74" t="str">
        <x:f>IF(J1395="",H1395,IF(J1395=I1395,I1395,J1395))</x:f>
        <x:v>Needs a stay</x:v>
      </x:c>
      <x:c r="L1395" s="74" t="str">
        <x:f>IF(J1395="","Keep current",IF(J1395=I1395,"Use suggestion","Custom"))</x:f>
        <x:v>Keep current</x:v>
      </x:c>
      <x:c r="M1395" s="71" t="str">
        <x:v>Pending review</x:v>
      </x:c>
      <x:c r="N1395" s="71" t="str">
        <x:v>Normal</x:v>
      </x:c>
      <x:c r="O1395" s="71" t="str">
        <x:v>components/journey-itinerary-accommodation.tsx</x:v>
      </x:c>
      <x:c r="P1395" s="71" t="str">
        <x:v>JourneyItineraryAccommodation:60</x:v>
      </x:c>
      <x:c r="Q1395" s="71" t="str">
        <x:v>EN (default / shared)</x:v>
      </x:c>
      <x:c r="R1395" s="71" t="str">
        <x:v>Already clear and direct; suggested wording intentionally keeps the current copy. Duplicate wording: appears 2 times.</x:v>
      </x:c>
      <x:c r="S1395" s="75" t="str">
        <x:v>Not applied — review required</x:v>
      </x:c>
    </x:row>
    <x:row r="1396">
      <x:c r="A1396" s="71" t="str">
        <x:v>MRV-CF0BFF4380</x:v>
      </x:c>
      <x:c r="B1396" s="71" t="str">
        <x:v>System</x:v>
      </x:c>
      <x:c r="C1396" s="71" t="str">
        <x:v>Shared recovery / system</x:v>
      </x:c>
      <x:c r="D1396" s="71" t="str">
        <x:v>Shared</x:v>
      </x:c>
      <x:c r="E1396" s="71" t="str">
        <x:v>JourneyItineraryAccommodation</x:v>
      </x:c>
      <x:c r="F1396" s="71" t="str">
        <x:v>Default</x:v>
      </x:c>
      <x:c r="G1396" s="71" t="str">
        <x:v>Label</x:v>
      </x:c>
      <x:c r="H1396" s="71" t="str">
        <x:v>Accommodation saved</x:v>
      </x:c>
      <x:c r="I1396" s="71" t="str">
        <x:v>Accommodation saved</x:v>
      </x:c>
      <x:c r="J1396" s="73"/>
      <x:c r="K1396" s="74" t="str">
        <x:f>IF(J1396="",H1396,IF(J1396=I1396,I1396,J1396))</x:f>
        <x:v>Accommodation saved</x:v>
      </x:c>
      <x:c r="L1396" s="74" t="str">
        <x:f>IF(J1396="","Keep current",IF(J1396=I1396,"Use suggestion","Custom"))</x:f>
        <x:v>Keep current</x:v>
      </x:c>
      <x:c r="M1396" s="71" t="str">
        <x:v>Pending review</x:v>
      </x:c>
      <x:c r="N1396" s="71" t="str">
        <x:v>Normal</x:v>
      </x:c>
      <x:c r="O1396" s="71" t="str">
        <x:v>components/journey-itinerary-accommodation.tsx</x:v>
      </x:c>
      <x:c r="P1396" s="71" t="str">
        <x:v>JourneyItineraryAccommodation:62</x:v>
      </x:c>
      <x:c r="Q1396" s="71" t="str">
        <x:v>EN (default / shared)</x:v>
      </x:c>
      <x:c r="R1396" s="71" t="str">
        <x:v>Already clear and direct; suggested wording intentionally keeps the current copy. Duplicate wording: appears 2 times.</x:v>
      </x:c>
      <x:c r="S1396" s="75" t="str">
        <x:v>Not applied — review required</x:v>
      </x:c>
    </x:row>
    <x:row r="1397">
      <x:c r="A1397" s="71" t="str">
        <x:v>MRV-FA40255FA5</x:v>
      </x:c>
      <x:c r="B1397" s="71" t="str">
        <x:v>System</x:v>
      </x:c>
      <x:c r="C1397" s="71" t="str">
        <x:v>Shared recovery / system</x:v>
      </x:c>
      <x:c r="D1397" s="71" t="str">
        <x:v>Shared</x:v>
      </x:c>
      <x:c r="E1397" s="71" t="str">
        <x:v>filters</x:v>
      </x:c>
      <x:c r="F1397" s="71" t="str">
        <x:v>Default</x:v>
      </x:c>
      <x:c r="G1397" s="71" t="str">
        <x:v>Label</x:v>
      </x:c>
      <x:c r="H1397" s="71" t="str">
        <x:v>All</x:v>
      </x:c>
      <x:c r="I1397" s="71" t="str">
        <x:v>All</x:v>
      </x:c>
      <x:c r="J1397" s="73"/>
      <x:c r="K1397" s="74" t="str">
        <x:f>IF(J1397="",H1397,IF(J1397=I1397,I1397,J1397))</x:f>
        <x:v>All</x:v>
      </x:c>
      <x:c r="L1397" s="74" t="str">
        <x:f>IF(J1397="","Keep current",IF(J1397=I1397,"Use suggestion","Custom"))</x:f>
        <x:v>Keep current</x:v>
      </x:c>
      <x:c r="M1397" s="71" t="str">
        <x:v>Pending review</x:v>
      </x:c>
      <x:c r="N1397" s="71" t="str">
        <x:v>Normal</x:v>
      </x:c>
      <x:c r="O1397" s="71" t="str">
        <x:v>components/journey-itinerary-refinement.tsx</x:v>
      </x:c>
      <x:c r="P1397" s="71" t="str">
        <x:v>filters:10</x:v>
      </x:c>
      <x:c r="Q1397" s="71" t="str">
        <x:v>EN (default / shared)</x:v>
      </x:c>
      <x:c r="R1397" s="71" t="str">
        <x:v>Already clear and direct; suggested wording intentionally keeps the current copy. Duplicate wording: appears 6 times.</x:v>
      </x:c>
      <x:c r="S1397" s="75" t="str">
        <x:v>Not applied — review required</x:v>
      </x:c>
    </x:row>
    <x:row r="1398">
      <x:c r="A1398" s="71" t="str">
        <x:v>MRV-6F0CAACB37</x:v>
      </x:c>
      <x:c r="B1398" s="71" t="str">
        <x:v>System</x:v>
      </x:c>
      <x:c r="C1398" s="71" t="str">
        <x:v>Shared recovery / system</x:v>
      </x:c>
      <x:c r="D1398" s="71" t="str">
        <x:v>Shared</x:v>
      </x:c>
      <x:c r="E1398" s="71" t="str">
        <x:v>filters</x:v>
      </x:c>
      <x:c r="F1398" s="71" t="str">
        <x:v>Default</x:v>
      </x:c>
      <x:c r="G1398" s="71" t="str">
        <x:v>Label</x:v>
      </x:c>
      <x:c r="H1398" s="71" t="str">
        <x:v>Food</x:v>
      </x:c>
      <x:c r="I1398" s="71" t="str">
        <x:v>Food</x:v>
      </x:c>
      <x:c r="J1398" s="73"/>
      <x:c r="K1398" s="74" t="str">
        <x:f>IF(J1398="",H1398,IF(J1398=I1398,I1398,J1398))</x:f>
        <x:v>Food</x:v>
      </x:c>
      <x:c r="L1398" s="74" t="str">
        <x:f>IF(J1398="","Keep current",IF(J1398=I1398,"Use suggestion","Custom"))</x:f>
        <x:v>Keep current</x:v>
      </x:c>
      <x:c r="M1398" s="71" t="str">
        <x:v>Pending review</x:v>
      </x:c>
      <x:c r="N1398" s="71" t="str">
        <x:v>Normal</x:v>
      </x:c>
      <x:c r="O1398" s="71" t="str">
        <x:v>components/journey-itinerary-refinement.tsx</x:v>
      </x:c>
      <x:c r="P1398" s="71" t="str">
        <x:v>filters:10</x:v>
      </x:c>
      <x:c r="Q1398" s="71" t="str">
        <x:v>EN (default / shared)</x:v>
      </x:c>
      <x:c r="R1398" s="71" t="str">
        <x:v>Already clear and direct; suggested wording intentionally keeps the current copy. Duplicate wording: appears 5 times.</x:v>
      </x:c>
      <x:c r="S1398" s="75" t="str">
        <x:v>Not applied — review required</x:v>
      </x:c>
    </x:row>
    <x:row r="1399">
      <x:c r="A1399" s="71" t="str">
        <x:v>MRV-B9D5819A6F</x:v>
      </x:c>
      <x:c r="B1399" s="71" t="str">
        <x:v>System</x:v>
      </x:c>
      <x:c r="C1399" s="71" t="str">
        <x:v>Shared recovery / system</x:v>
      </x:c>
      <x:c r="D1399" s="71" t="str">
        <x:v>Shared</x:v>
      </x:c>
      <x:c r="E1399" s="71" t="str">
        <x:v>filters</x:v>
      </x:c>
      <x:c r="F1399" s="71" t="str">
        <x:v>Default</x:v>
      </x:c>
      <x:c r="G1399" s="71" t="str">
        <x:v>Label</x:v>
      </x:c>
      <x:c r="H1399" s="71" t="str">
        <x:v>Nature</x:v>
      </x:c>
      <x:c r="I1399" s="71" t="str">
        <x:v>Nature</x:v>
      </x:c>
      <x:c r="J1399" s="73"/>
      <x:c r="K1399" s="74" t="str">
        <x:f>IF(J1399="",H1399,IF(J1399=I1399,I1399,J1399))</x:f>
        <x:v>Nature</x:v>
      </x:c>
      <x:c r="L1399" s="74" t="str">
        <x:f>IF(J1399="","Keep current",IF(J1399=I1399,"Use suggestion","Custom"))</x:f>
        <x:v>Keep current</x:v>
      </x:c>
      <x:c r="M1399" s="71" t="str">
        <x:v>Pending review</x:v>
      </x:c>
      <x:c r="N1399" s="71" t="str">
        <x:v>Normal</x:v>
      </x:c>
      <x:c r="O1399" s="71" t="str">
        <x:v>components/journey-itinerary-refinement.tsx</x:v>
      </x:c>
      <x:c r="P1399" s="71" t="str">
        <x:v>filters:10</x:v>
      </x:c>
      <x:c r="Q1399" s="71" t="str">
        <x:v>EN (default / shared)</x:v>
      </x:c>
      <x:c r="R1399" s="71" t="str">
        <x:v>Already clear and direct; suggested wording intentionally keeps the current copy. Duplicate wording: appears 5 times.</x:v>
      </x:c>
      <x:c r="S1399" s="75" t="str">
        <x:v>Not applied — review required</x:v>
      </x:c>
    </x:row>
    <x:row r="1400">
      <x:c r="A1400" s="71" t="str">
        <x:v>MRV-DC5300009E</x:v>
      </x:c>
      <x:c r="B1400" s="71" t="str">
        <x:v>System</x:v>
      </x:c>
      <x:c r="C1400" s="71" t="str">
        <x:v>Shared recovery / system</x:v>
      </x:c>
      <x:c r="D1400" s="71" t="str">
        <x:v>Shared</x:v>
      </x:c>
      <x:c r="E1400" s="71" t="str">
        <x:v>filters</x:v>
      </x:c>
      <x:c r="F1400" s="71" t="str">
        <x:v>Default</x:v>
      </x:c>
      <x:c r="G1400" s="71" t="str">
        <x:v>Label</x:v>
      </x:c>
      <x:c r="H1400" s="71" t="str">
        <x:v>Cities</x:v>
      </x:c>
      <x:c r="I1400" s="71" t="str">
        <x:v>Cities</x:v>
      </x:c>
      <x:c r="J1400" s="73"/>
      <x:c r="K1400" s="74" t="str">
        <x:f>IF(J1400="",H1400,IF(J1400=I1400,I1400,J1400))</x:f>
        <x:v>Cities</x:v>
      </x:c>
      <x:c r="L1400" s="74" t="str">
        <x:f>IF(J1400="","Keep current",IF(J1400=I1400,"Use suggestion","Custom"))</x:f>
        <x:v>Keep current</x:v>
      </x:c>
      <x:c r="M1400" s="71" t="str">
        <x:v>Pending review</x:v>
      </x:c>
      <x:c r="N1400" s="71" t="str">
        <x:v>Normal</x:v>
      </x:c>
      <x:c r="O1400" s="71" t="str">
        <x:v>components/journey-itinerary-refinement.tsx</x:v>
      </x:c>
      <x:c r="P1400" s="71" t="str">
        <x:v>filters:10</x:v>
      </x:c>
      <x:c r="Q1400" s="71" t="str">
        <x:v>EN (default / shared)</x:v>
      </x:c>
      <x:c r="R1400" s="71" t="str">
        <x:v>Already clear and direct; suggested wording intentionally keeps the current copy. Duplicate wording: appears 3 times.</x:v>
      </x:c>
      <x:c r="S1400" s="75" t="str">
        <x:v>Not applied — review required</x:v>
      </x:c>
    </x:row>
    <x:row r="1401">
      <x:c r="A1401" s="71" t="str">
        <x:v>MRV-952567E55E</x:v>
      </x:c>
      <x:c r="B1401" s="71" t="str">
        <x:v>System</x:v>
      </x:c>
      <x:c r="C1401" s="71" t="str">
        <x:v>Shared recovery / system</x:v>
      </x:c>
      <x:c r="D1401" s="71" t="str">
        <x:v>Shared</x:v>
      </x:c>
      <x:c r="E1401" s="71" t="str">
        <x:v>filters</x:v>
      </x:c>
      <x:c r="F1401" s="71" t="str">
        <x:v>Default</x:v>
      </x:c>
      <x:c r="G1401" s="71" t="str">
        <x:v>Label</x:v>
      </x:c>
      <x:c r="H1401" s="71" t="str">
        <x:v>Beach</x:v>
      </x:c>
      <x:c r="I1401" s="71" t="str">
        <x:v>Beach</x:v>
      </x:c>
      <x:c r="J1401" s="73"/>
      <x:c r="K1401" s="74" t="str">
        <x:f>IF(J1401="",H1401,IF(J1401=I1401,I1401,J1401))</x:f>
        <x:v>Beach</x:v>
      </x:c>
      <x:c r="L1401" s="74" t="str">
        <x:f>IF(J1401="","Keep current",IF(J1401=I1401,"Use suggestion","Custom"))</x:f>
        <x:v>Keep current</x:v>
      </x:c>
      <x:c r="M1401" s="71" t="str">
        <x:v>Pending review</x:v>
      </x:c>
      <x:c r="N1401" s="71" t="str">
        <x:v>Normal</x:v>
      </x:c>
      <x:c r="O1401" s="71" t="str">
        <x:v>components/journey-itinerary-refinement.tsx</x:v>
      </x:c>
      <x:c r="P1401" s="71" t="str">
        <x:v>filters:10</x:v>
      </x:c>
      <x:c r="Q1401" s="71" t="str">
        <x:v>EN (default / shared)</x:v>
      </x:c>
      <x:c r="R1401" s="71" t="str">
        <x:v>Already clear and direct; suggested wording intentionally keeps the current copy. Duplicate wording: appears 3 times.</x:v>
      </x:c>
      <x:c r="S1401" s="75" t="str">
        <x:v>Not applied — review required</x:v>
      </x:c>
    </x:row>
    <x:row r="1402">
      <x:c r="A1402" s="71" t="str">
        <x:v>MRV-2FDC0F3475</x:v>
      </x:c>
      <x:c r="B1402" s="71" t="str">
        <x:v>System</x:v>
      </x:c>
      <x:c r="C1402" s="71" t="str">
        <x:v>Shared recovery / system</x:v>
      </x:c>
      <x:c r="D1402" s="71" t="str">
        <x:v>Shared</x:v>
      </x:c>
      <x:c r="E1402" s="71" t="str">
        <x:v>JourneyItineraryRefinement</x:v>
      </x:c>
      <x:c r="F1402" s="71" t="str">
        <x:v>Default</x:v>
      </x:c>
      <x:c r="G1402" s="71" t="str">
        <x:v>Label</x:v>
      </x:c>
      <x:c r="H1402" s="71" t="str">
        <x:v>All</x:v>
      </x:c>
      <x:c r="I1402" s="71" t="str">
        <x:v>All</x:v>
      </x:c>
      <x:c r="J1402" s="73"/>
      <x:c r="K1402" s="74" t="str">
        <x:f>IF(J1402="",H1402,IF(J1402=I1402,I1402,J1402))</x:f>
        <x:v>All</x:v>
      </x:c>
      <x:c r="L1402" s="74" t="str">
        <x:f>IF(J1402="","Keep current",IF(J1402=I1402,"Use suggestion","Custom"))</x:f>
        <x:v>Keep current</x:v>
      </x:c>
      <x:c r="M1402" s="71" t="str">
        <x:v>Pending review</x:v>
      </x:c>
      <x:c r="N1402" s="71" t="str">
        <x:v>Normal</x:v>
      </x:c>
      <x:c r="O1402" s="71" t="str">
        <x:v>components/journey-itinerary-refinement.tsx</x:v>
      </x:c>
      <x:c r="P1402" s="71" t="str">
        <x:v>JourneyItineraryRefinement:15</x:v>
      </x:c>
      <x:c r="Q1402" s="71" t="str">
        <x:v>EN (default / shared)</x:v>
      </x:c>
      <x:c r="R1402" s="71" t="str">
        <x:v>Already clear and direct; suggested wording intentionally keeps the current copy. Duplicate wording: appears 6 times.</x:v>
      </x:c>
      <x:c r="S1402" s="75" t="str">
        <x:v>Not applied — review required</x:v>
      </x:c>
    </x:row>
    <x:row r="1403">
      <x:c r="A1403" s="71" t="str">
        <x:v>MRV-43CA7BA581</x:v>
      </x:c>
      <x:c r="B1403" s="71" t="str">
        <x:v>System</x:v>
      </x:c>
      <x:c r="C1403" s="71" t="str">
        <x:v>Shared recovery / system</x:v>
      </x:c>
      <x:c r="D1403" s="71" t="str">
        <x:v>Shared</x:v>
      </x:c>
      <x:c r="E1403" s="71" t="str">
        <x:v>visible</x:v>
      </x:c>
      <x:c r="F1403" s="71" t="str">
        <x:v>Default</x:v>
      </x:c>
      <x:c r="G1403" s="71" t="str">
        <x:v>Label</x:v>
      </x:c>
      <x:c r="H1403" s="71" t="str">
        <x:v>All</x:v>
      </x:c>
      <x:c r="I1403" s="71" t="str">
        <x:v>All</x:v>
      </x:c>
      <x:c r="J1403" s="73"/>
      <x:c r="K1403" s="74" t="str">
        <x:f>IF(J1403="",H1403,IF(J1403=I1403,I1403,J1403))</x:f>
        <x:v>All</x:v>
      </x:c>
      <x:c r="L1403" s="74" t="str">
        <x:f>IF(J1403="","Keep current",IF(J1403=I1403,"Use suggestion","Custom"))</x:f>
        <x:v>Keep current</x:v>
      </x:c>
      <x:c r="M1403" s="71" t="str">
        <x:v>Pending review</x:v>
      </x:c>
      <x:c r="N1403" s="71" t="str">
        <x:v>Normal</x:v>
      </x:c>
      <x:c r="O1403" s="71" t="str">
        <x:v>components/journey-itinerary-refinement.tsx</x:v>
      </x:c>
      <x:c r="P1403" s="71" t="str">
        <x:v>visible:17</x:v>
      </x:c>
      <x:c r="Q1403" s="71" t="str">
        <x:v>EN (default / shared)</x:v>
      </x:c>
      <x:c r="R1403" s="71" t="str">
        <x:v>Already clear and direct; suggested wording intentionally keeps the current copy. Duplicate wording: appears 6 times.</x:v>
      </x:c>
      <x:c r="S1403" s="75" t="str">
        <x:v>Not applied — review required</x:v>
      </x:c>
    </x:row>
    <x:row r="1404">
      <x:c r="A1404" s="71" t="str">
        <x:v>MRV-A638ECDDD0</x:v>
      </x:c>
      <x:c r="B1404" s="71" t="str">
        <x:v>System</x:v>
      </x:c>
      <x:c r="C1404" s="71" t="str">
        <x:v>Shared recovery / system</x:v>
      </x:c>
      <x:c r="D1404" s="71" t="str">
        <x:v>Shared</x:v>
      </x:c>
      <x:c r="E1404" s="71" t="str">
        <x:v>key</x:v>
      </x:c>
      <x:c r="F1404" s="71" t="str">
        <x:v>Default</x:v>
      </x:c>
      <x:c r="G1404" s="71" t="str">
        <x:v>Body copy</x:v>
      </x:c>
      <x:c r="H1404" s="71" t="str">
        <x:v>morrovia:attraction-viewed:{trip.id}:{stop.id}</x:v>
      </x:c>
      <x:c r="I1404" s="71" t="str">
        <x:v>morrovia:attraction-viewed:{trip.id}:{stop.id}</x:v>
      </x:c>
      <x:c r="J1404" s="73"/>
      <x:c r="K1404" s="74" t="str">
        <x:f>IF(J1404="",H1404,IF(J1404=I1404,I1404,J1404))</x:f>
        <x:v>morrovia:attraction-viewed:{trip.id}:{stop.id}</x:v>
      </x:c>
      <x:c r="L1404" s="74" t="str">
        <x:f>IF(J1404="","Keep current",IF(J1404=I1404,"Use suggestion","Custom"))</x:f>
        <x:v>Keep current</x:v>
      </x:c>
      <x:c r="M1404" s="71" t="str">
        <x:v>Pending review</x:v>
      </x:c>
      <x:c r="N1404" s="71" t="str">
        <x:v>Normal</x:v>
      </x:c>
      <x:c r="O1404" s="71" t="str">
        <x:v>components/journey-itinerary-refinement.tsx</x:v>
      </x:c>
      <x:c r="P1404" s="71" t="str">
        <x:v>key:33</x:v>
      </x:c>
      <x:c r="Q1404" s="71" t="str">
        <x:v>EN (default / shared)</x:v>
      </x:c>
      <x:c r="R140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04" s="75" t="str">
        <x:v>Not applied — review required</x:v>
      </x:c>
    </x:row>
    <x:row r="1405">
      <x:c r="A1405" s="71" t="str">
        <x:v>MRV-4E217E0ACF</x:v>
      </x:c>
      <x:c r="B1405" s="71" t="str">
        <x:v>System</x:v>
      </x:c>
      <x:c r="C1405" s="71" t="str">
        <x:v>Shared recovery / system</x:v>
      </x:c>
      <x:c r="D1405" s="71" t="str">
        <x:v>Shared</x:v>
      </x:c>
      <x:c r="E1405" s="71" t="str">
        <x:v>JourneyItineraryRefinement</x:v>
      </x:c>
      <x:c r="F1405" s="71" t="str">
        <x:v>Default</x:v>
      </x:c>
      <x:c r="G1405" s="71" t="str">
        <x:v>Label</x:v>
      </x:c>
      <x:c r="H1405" s="71" t="str">
        <x:v>SEE IN</x:v>
      </x:c>
      <x:c r="I1405" s="71" t="str">
        <x:v>SEE IN</x:v>
      </x:c>
      <x:c r="J1405" s="73"/>
      <x:c r="K1405" s="74" t="str">
        <x:f>IF(J1405="",H1405,IF(J1405=I1405,I1405,J1405))</x:f>
        <x:v>SEE IN</x:v>
      </x:c>
      <x:c r="L1405" s="74" t="str">
        <x:f>IF(J1405="","Keep current",IF(J1405=I1405,"Use suggestion","Custom"))</x:f>
        <x:v>Keep current</x:v>
      </x:c>
      <x:c r="M1405" s="71" t="str">
        <x:v>Pending review</x:v>
      </x:c>
      <x:c r="N1405" s="71" t="str">
        <x:v>Normal</x:v>
      </x:c>
      <x:c r="O1405" s="71" t="str">
        <x:v>components/journey-itinerary-refinement.tsx</x:v>
      </x:c>
      <x:c r="P1405" s="71" t="str">
        <x:v>JourneyItineraryRefinement:41</x:v>
      </x:c>
      <x:c r="Q1405" s="71" t="str">
        <x:v>EN (default / shared)</x:v>
      </x:c>
      <x:c r="R1405" s="71" t="str">
        <x:v>Already clear and direct; suggested wording intentionally keeps the current copy.</x:v>
      </x:c>
      <x:c r="S1405" s="75" t="str">
        <x:v>Not applied — review required</x:v>
      </x:c>
    </x:row>
    <x:row r="1406">
      <x:c r="A1406" s="71" t="str">
        <x:v>MRV-F941B38BD5</x:v>
      </x:c>
      <x:c r="B1406" s="71" t="str">
        <x:v>System</x:v>
      </x:c>
      <x:c r="C1406" s="71" t="str">
        <x:v>Shared recovery / system</x:v>
      </x:c>
      <x:c r="D1406" s="71" t="str">
        <x:v>Shared</x:v>
      </x:c>
      <x:c r="E1406" s="71" t="str">
        <x:v>JourneyItineraryRefinement</x:v>
      </x:c>
      <x:c r="F1406" s="71" t="str">
        <x:v>Default</x:v>
      </x:c>
      <x:c r="G1406" s="71" t="str">
        <x:v>Label</x:v>
      </x:c>
      <x:c r="H1406" s="71" t="str">
        <x:v>Best fits</x:v>
      </x:c>
      <x:c r="I1406" s="71" t="str">
        <x:v>Best fits</x:v>
      </x:c>
      <x:c r="J1406" s="73"/>
      <x:c r="K1406" s="74" t="str">
        <x:f>IF(J1406="",H1406,IF(J1406=I1406,I1406,J1406))</x:f>
        <x:v>Best fits</x:v>
      </x:c>
      <x:c r="L1406" s="74" t="str">
        <x:f>IF(J1406="","Keep current",IF(J1406=I1406,"Use suggestion","Custom"))</x:f>
        <x:v>Keep current</x:v>
      </x:c>
      <x:c r="M1406" s="71" t="str">
        <x:v>Pending review</x:v>
      </x:c>
      <x:c r="N1406" s="71" t="str">
        <x:v>Normal</x:v>
      </x:c>
      <x:c r="O1406" s="71" t="str">
        <x:v>components/journey-itinerary-refinement.tsx</x:v>
      </x:c>
      <x:c r="P1406" s="71" t="str">
        <x:v>JourneyItineraryRefinement:41</x:v>
      </x:c>
      <x:c r="Q1406" s="71" t="str">
        <x:v>EN (default / shared)</x:v>
      </x:c>
      <x:c r="R1406" s="71" t="str">
        <x:v>Already clear and direct; suggested wording intentionally keeps the current copy.</x:v>
      </x:c>
      <x:c r="S1406" s="75" t="str">
        <x:v>Not applied — review required</x:v>
      </x:c>
    </x:row>
    <x:row r="1407">
      <x:c r="A1407" s="71" t="str">
        <x:v>MRV-270BACE069</x:v>
      </x:c>
      <x:c r="B1407" s="71" t="str">
        <x:v>System</x:v>
      </x:c>
      <x:c r="C1407" s="71" t="str">
        <x:v>Shared recovery / system</x:v>
      </x:c>
      <x:c r="D1407" s="71" t="str">
        <x:v>Shared</x:v>
      </x:c>
      <x:c r="E1407" s="71" t="str">
        <x:v>JourneyItineraryRefinement</x:v>
      </x:c>
      <x:c r="F1407" s="71" t="str">
        <x:v>Loading / in progress</x:v>
      </x:c>
      <x:c r="G1407" s="71" t="str">
        <x:v>CTA / button</x:v>
      </x:c>
      <x:c r="H1407" s="71" t="str">
        <x:v>Finding mapped attractions…</x:v>
      </x:c>
      <x:c r="I1407" s="71" t="str">
        <x:v>Finding mapped attractions…</x:v>
      </x:c>
      <x:c r="J1407" s="73"/>
      <x:c r="K1407" s="74" t="str">
        <x:f>IF(J1407="",H1407,IF(J1407=I1407,I1407,J1407))</x:f>
        <x:v>Finding mapped attractions…</x:v>
      </x:c>
      <x:c r="L1407" s="74" t="str">
        <x:f>IF(J1407="","Keep current",IF(J1407=I1407,"Use suggestion","Custom"))</x:f>
        <x:v>Keep current</x:v>
      </x:c>
      <x:c r="M1407" s="71" t="str">
        <x:v>Pending review</x:v>
      </x:c>
      <x:c r="N1407" s="71" t="str">
        <x:v>Medium</x:v>
      </x:c>
      <x:c r="O1407" s="71" t="str">
        <x:v>components/journey-itinerary-refinement.tsx</x:v>
      </x:c>
      <x:c r="P1407" s="71" t="str">
        <x:v>JourneyItineraryRefinement:41</x:v>
      </x:c>
      <x:c r="Q1407" s="71" t="str">
        <x:v>EN (default / shared)</x:v>
      </x:c>
      <x:c r="R1407" s="71" t="str">
        <x:v>Already clear and direct; suggested wording intentionally keeps the current copy.</x:v>
      </x:c>
      <x:c r="S1407" s="75" t="str">
        <x:v>Not applied — review required</x:v>
      </x:c>
    </x:row>
    <x:row r="1408">
      <x:c r="A1408" s="71" t="str">
        <x:v>MRV-85A544CD4A</x:v>
      </x:c>
      <x:c r="B1408" s="71" t="str">
        <x:v>System</x:v>
      </x:c>
      <x:c r="C1408" s="71" t="str">
        <x:v>Shared recovery / system</x:v>
      </x:c>
      <x:c r="D1408" s="71" t="str">
        <x:v>Shared</x:v>
      </x:c>
      <x:c r="E1408" s="71" t="str">
        <x:v>JourneyItineraryRefinement</x:v>
      </x:c>
      <x:c r="F1408" s="71" t="str">
        <x:v>Loading / in progress</x:v>
      </x:c>
      <x:c r="G1408" s="71" t="str">
        <x:v>Body copy</x:v>
      </x:c>
      <x:c r="H1408" s="71" t="str">
        <x:v>{places.length} places nearby</x:v>
      </x:c>
      <x:c r="I1408" s="71" t="str">
        <x:v>{places.length} places nearby</x:v>
      </x:c>
      <x:c r="J1408" s="73"/>
      <x:c r="K1408" s="74" t="str">
        <x:f>IF(J1408="",H1408,IF(J1408=I1408,I1408,J1408))</x:f>
        <x:v>{places.length} places nearby</x:v>
      </x:c>
      <x:c r="L1408" s="74" t="str">
        <x:f>IF(J1408="","Keep current",IF(J1408=I1408,"Use suggestion","Custom"))</x:f>
        <x:v>Keep current</x:v>
      </x:c>
      <x:c r="M1408" s="71" t="str">
        <x:v>Pending review</x:v>
      </x:c>
      <x:c r="N1408" s="71" t="str">
        <x:v>Normal</x:v>
      </x:c>
      <x:c r="O1408" s="71" t="str">
        <x:v>components/journey-itinerary-refinement.tsx</x:v>
      </x:c>
      <x:c r="P1408" s="71" t="str">
        <x:v>JourneyItineraryRefinement:41</x:v>
      </x:c>
      <x:c r="Q1408" s="71" t="str">
        <x:v>EN (default / shared)</x:v>
      </x:c>
      <x:c r="R140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08" s="75" t="str">
        <x:v>Not applied — review required</x:v>
      </x:c>
    </x:row>
    <x:row r="1409">
      <x:c r="A1409" s="71" t="str">
        <x:v>MRV-346F8D0000</x:v>
      </x:c>
      <x:c r="B1409" s="71" t="str">
        <x:v>System</x:v>
      </x:c>
      <x:c r="C1409" s="71" t="str">
        <x:v>Shared recovery / system</x:v>
      </x:c>
      <x:c r="D1409" s="71" t="str">
        <x:v>Shared</x:v>
      </x:c>
      <x:c r="E1409" s="71" t="str">
        <x:v>JourneyItineraryRefinement</x:v>
      </x:c>
      <x:c r="F1409" s="71" t="str">
        <x:v>Default</x:v>
      </x:c>
      <x:c r="G1409" s="71" t="str">
        <x:v>Label</x:v>
      </x:c>
      <x:c r="H1409" s="71" t="str">
        <x:v>IN YOUR TRIP</x:v>
      </x:c>
      <x:c r="I1409" s="71" t="str">
        <x:v>IN YOUR TRIP</x:v>
      </x:c>
      <x:c r="J1409" s="73"/>
      <x:c r="K1409" s="74" t="str">
        <x:f>IF(J1409="",H1409,IF(J1409=I1409,I1409,J1409))</x:f>
        <x:v>IN YOUR TRIP</x:v>
      </x:c>
      <x:c r="L1409" s="74" t="str">
        <x:f>IF(J1409="","Keep current",IF(J1409=I1409,"Use suggestion","Custom"))</x:f>
        <x:v>Keep current</x:v>
      </x:c>
      <x:c r="M1409" s="71" t="str">
        <x:v>Pending review</x:v>
      </x:c>
      <x:c r="N1409" s="71" t="str">
        <x:v>Normal</x:v>
      </x:c>
      <x:c r="O1409" s="71" t="str">
        <x:v>components/journey-itinerary-refinement.tsx</x:v>
      </x:c>
      <x:c r="P1409" s="71" t="str">
        <x:v>JourneyItineraryRefinement:42</x:v>
      </x:c>
      <x:c r="Q1409" s="71" t="str">
        <x:v>EN (default / shared)</x:v>
      </x:c>
      <x:c r="R1409" s="71" t="str">
        <x:v>Already clear and direct; suggested wording intentionally keeps the current copy. Terminology watch: ‘trip’ and ‘journey’ both describe the same plan. Terminology watch: ‘stops’, ‘destinations’ and ‘places’ overlap.</x:v>
      </x:c>
      <x:c r="S1409" s="75" t="str">
        <x:v>Not applied — review required</x:v>
      </x:c>
    </x:row>
    <x:row r="1410">
      <x:c r="A1410" s="71" t="str">
        <x:v>MRV-C253CA99FA</x:v>
      </x:c>
      <x:c r="B1410" s="71" t="str">
        <x:v>System</x:v>
      </x:c>
      <x:c r="C1410" s="71" t="str">
        <x:v>Shared recovery / system</x:v>
      </x:c>
      <x:c r="D1410" s="71" t="str">
        <x:v>Shared</x:v>
      </x:c>
      <x:c r="E1410" s="71" t="str">
        <x:v>JourneyItineraryRefinement</x:v>
      </x:c>
      <x:c r="F1410" s="71" t="str">
        <x:v>Accessibility / input support</x:v>
      </x:c>
      <x:c r="G1410" s="71" t="str">
        <x:v>Accessibility label</x:v>
      </x:c>
      <x:c r="H1410" s="71" t="str">
        <x:v>Remove {title}</x:v>
      </x:c>
      <x:c r="I1410" s="71" t="str">
        <x:v>Remove {title}</x:v>
      </x:c>
      <x:c r="J1410" s="73"/>
      <x:c r="K1410" s="74" t="str">
        <x:f>IF(J1410="",H1410,IF(J1410=I1410,I1410,J1410))</x:f>
        <x:v>Remove {title}</x:v>
      </x:c>
      <x:c r="L1410" s="74" t="str">
        <x:f>IF(J1410="","Keep current",IF(J1410=I1410,"Use suggestion","Custom"))</x:f>
        <x:v>Keep current</x:v>
      </x:c>
      <x:c r="M1410" s="71" t="str">
        <x:v>Pending review</x:v>
      </x:c>
      <x:c r="N1410" s="71" t="str">
        <x:v>Medium</x:v>
      </x:c>
      <x:c r="O1410" s="71" t="str">
        <x:v>components/journey-itinerary-refinement.tsx</x:v>
      </x:c>
      <x:c r="P1410" s="71" t="str">
        <x:v>JourneyItineraryRefinement:42</x:v>
      </x:c>
      <x:c r="Q1410" s="71" t="str">
        <x:v>EN (default / shared)</x:v>
      </x:c>
      <x:c r="R1410" s="71" t="str">
        <x:v>Already clear and direct; suggested wording intentionally keeps the current copy. Dynamic traveller or trip value is represented as a token; user-generated values are excluded.</x:v>
      </x:c>
      <x:c r="S1410" s="75" t="str">
        <x:v>Not applied — review required</x:v>
      </x:c>
    </x:row>
    <x:row r="1411">
      <x:c r="A1411" s="71" t="str">
        <x:v>MRV-49248A69CF</x:v>
      </x:c>
      <x:c r="B1411" s="71" t="str">
        <x:v>System</x:v>
      </x:c>
      <x:c r="C1411" s="71" t="str">
        <x:v>Shared recovery / system</x:v>
      </x:c>
      <x:c r="D1411" s="71" t="str">
        <x:v>Shared</x:v>
      </x:c>
      <x:c r="E1411" s="71" t="str">
        <x:v>JourneyItineraryRefinement</x:v>
      </x:c>
      <x:c r="F1411" s="71" t="str">
        <x:v>Accessibility / input support</x:v>
      </x:c>
      <x:c r="G1411" s="71" t="str">
        <x:v>Accessibility label</x:v>
      </x:c>
      <x:c r="H1411" s="71" t="str">
        <x:v>Attraction categories</x:v>
      </x:c>
      <x:c r="I1411" s="71" t="str">
        <x:v>Attraction categories</x:v>
      </x:c>
      <x:c r="J1411" s="73"/>
      <x:c r="K1411" s="74" t="str">
        <x:f>IF(J1411="",H1411,IF(J1411=I1411,I1411,J1411))</x:f>
        <x:v>Attraction categories</x:v>
      </x:c>
      <x:c r="L1411" s="74" t="str">
        <x:f>IF(J1411="","Keep current",IF(J1411=I1411,"Use suggestion","Custom"))</x:f>
        <x:v>Keep current</x:v>
      </x:c>
      <x:c r="M1411" s="71" t="str">
        <x:v>Pending review</x:v>
      </x:c>
      <x:c r="N1411" s="71" t="str">
        <x:v>Medium</x:v>
      </x:c>
      <x:c r="O1411" s="71" t="str">
        <x:v>components/journey-itinerary-refinement.tsx</x:v>
      </x:c>
      <x:c r="P1411" s="71" t="str">
        <x:v>JourneyItineraryRefinement:43</x:v>
      </x:c>
      <x:c r="Q1411" s="71" t="str">
        <x:v>EN (default / shared)</x:v>
      </x:c>
      <x:c r="R1411" s="71" t="str">
        <x:v>Already clear and direct; suggested wording intentionally keeps the current copy.</x:v>
      </x:c>
      <x:c r="S1411" s="75" t="str">
        <x:v>Not applied — review required</x:v>
      </x:c>
    </x:row>
    <x:row r="1412">
      <x:c r="A1412" s="71" t="str">
        <x:v>MRV-ED00046D4C</x:v>
      </x:c>
      <x:c r="B1412" s="71" t="str">
        <x:v>System</x:v>
      </x:c>
      <x:c r="C1412" s="71" t="str">
        <x:v>Shared recovery / system</x:v>
      </x:c>
      <x:c r="D1412" s="71" t="str">
        <x:v>Shared</x:v>
      </x:c>
      <x:c r="E1412" s="71" t="str">
        <x:v>JourneyItineraryRefinement</x:v>
      </x:c>
      <x:c r="F1412" s="71" t="str">
        <x:v>Default</x:v>
      </x:c>
      <x:c r="G1412" s="71" t="str">
        <x:v>CTA / button</x:v>
      </x:c>
      <x:c r="H1412" s="71" t="str">
        <x:v>Added</x:v>
      </x:c>
      <x:c r="I1412" s="71" t="str">
        <x:v>Added</x:v>
      </x:c>
      <x:c r="J1412" s="73"/>
      <x:c r="K1412" s="74" t="str">
        <x:f>IF(J1412="",H1412,IF(J1412=I1412,I1412,J1412))</x:f>
        <x:v>Added</x:v>
      </x:c>
      <x:c r="L1412" s="74" t="str">
        <x:f>IF(J1412="","Keep current",IF(J1412=I1412,"Use suggestion","Custom"))</x:f>
        <x:v>Keep current</x:v>
      </x:c>
      <x:c r="M1412" s="71" t="str">
        <x:v>Pending review</x:v>
      </x:c>
      <x:c r="N1412" s="71" t="str">
        <x:v>Medium</x:v>
      </x:c>
      <x:c r="O1412" s="71" t="str">
        <x:v>components/journey-itinerary-refinement.tsx</x:v>
      </x:c>
      <x:c r="P1412" s="71" t="str">
        <x:v>JourneyItineraryRefinement:46</x:v>
      </x:c>
      <x:c r="Q1412" s="71" t="str">
        <x:v>EN (default / shared)</x:v>
      </x:c>
      <x:c r="R1412" s="71" t="str">
        <x:v>Already clear and direct; suggested wording intentionally keeps the current copy.</x:v>
      </x:c>
      <x:c r="S1412" s="75" t="str">
        <x:v>Not applied — review required</x:v>
      </x:c>
    </x:row>
    <x:row r="1413">
      <x:c r="A1413" s="71" t="str">
        <x:v>MRV-48C2E96C0E</x:v>
      </x:c>
      <x:c r="B1413" s="71" t="str">
        <x:v>System</x:v>
      </x:c>
      <x:c r="C1413" s="71" t="str">
        <x:v>Shared recovery / system</x:v>
      </x:c>
      <x:c r="D1413" s="71" t="str">
        <x:v>Shared</x:v>
      </x:c>
      <x:c r="E1413" s="71" t="str">
        <x:v>JourneyItineraryRefinement</x:v>
      </x:c>
      <x:c r="F1413" s="71" t="str">
        <x:v>Default</x:v>
      </x:c>
      <x:c r="G1413" s="71" t="str">
        <x:v>CTA / button</x:v>
      </x:c>
      <x:c r="H1413" s="71" t="str">
        <x:v>Add to trip</x:v>
      </x:c>
      <x:c r="I1413" s="71" t="str">
        <x:v>Add to trip</x:v>
      </x:c>
      <x:c r="J1413" s="73"/>
      <x:c r="K1413" s="74" t="str">
        <x:f>IF(J1413="",H1413,IF(J1413=I1413,I1413,J1413))</x:f>
        <x:v>Add to trip</x:v>
      </x:c>
      <x:c r="L1413" s="74" t="str">
        <x:f>IF(J1413="","Keep current",IF(J1413=I1413,"Use suggestion","Custom"))</x:f>
        <x:v>Keep current</x:v>
      </x:c>
      <x:c r="M1413" s="71" t="str">
        <x:v>Pending review</x:v>
      </x:c>
      <x:c r="N1413" s="71" t="str">
        <x:v>Medium</x:v>
      </x:c>
      <x:c r="O1413" s="71" t="str">
        <x:v>components/journey-itinerary-refinement.tsx</x:v>
      </x:c>
      <x:c r="P1413" s="71" t="str">
        <x:v>JourneyItineraryRefinement:46</x:v>
      </x:c>
      <x:c r="Q1413" s="71" t="str">
        <x:v>EN (default / shared)</x:v>
      </x:c>
      <x:c r="R1413" s="71" t="str">
        <x:v>Already clear and direct; suggested wording intentionally keeps the current copy. Terminology watch: ‘trip’ and ‘journey’ both describe the same plan. Terminology watch: ‘stops’, ‘destinations’ and ‘places’ overlap.</x:v>
      </x:c>
      <x:c r="S1413" s="75" t="str">
        <x:v>Not applied — review required</x:v>
      </x:c>
    </x:row>
    <x:row r="1414">
      <x:c r="A1414" s="71" t="str">
        <x:v>MRV-7F99F9C82F</x:v>
      </x:c>
      <x:c r="B1414" s="71" t="str">
        <x:v>System</x:v>
      </x:c>
      <x:c r="C1414" s="71" t="str">
        <x:v>Shared recovery / system</x:v>
      </x:c>
      <x:c r="D1414" s="71" t="str">
        <x:v>Shared</x:v>
      </x:c>
      <x:c r="E1414" s="71" t="str">
        <x:v>storageKey</x:v>
      </x:c>
      <x:c r="F1414" s="71" t="str">
        <x:v>Default</x:v>
      </x:c>
      <x:c r="G1414" s="71" t="str">
        <x:v>Label</x:v>
      </x:c>
      <x:c r="H1414" s="71" t="str">
        <x:v>journey:local-{kind}:v3</x:v>
      </x:c>
      <x:c r="I1414" s="71" t="str">
        <x:v>journey:local-{kind}:v3</x:v>
      </x:c>
      <x:c r="J1414" s="73"/>
      <x:c r="K1414" s="74" t="str">
        <x:f>IF(J1414="",H1414,IF(J1414=I1414,I1414,J1414))</x:f>
        <x:v>journey:local-{kind}:v3</x:v>
      </x:c>
      <x:c r="L1414" s="74" t="str">
        <x:f>IF(J1414="","Keep current",IF(J1414=I1414,"Use suggestion","Custom"))</x:f>
        <x:v>Keep current</x:v>
      </x:c>
      <x:c r="M1414" s="71" t="str">
        <x:v>Pending review</x:v>
      </x:c>
      <x:c r="N1414" s="71" t="str">
        <x:v>Normal</x:v>
      </x:c>
      <x:c r="O1414" s="71" t="str">
        <x:v>components/journey-local-finder.tsx</x:v>
      </x:c>
      <x:c r="P1414" s="71" t="str">
        <x:v>storageKey:94</x:v>
      </x:c>
      <x:c r="Q1414" s="71" t="str">
        <x:v>EN (default / shared)</x:v>
      </x:c>
      <x:c r="R141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14" s="75" t="str">
        <x:v>Not applied — review required</x:v>
      </x:c>
    </x:row>
    <x:row r="1415">
      <x:c r="A1415" s="71" t="str">
        <x:v>MRV-C26D6905C9</x:v>
      </x:c>
      <x:c r="B1415" s="71" t="str">
        <x:v>System</x:v>
      </x:c>
      <x:c r="C1415" s="71" t="str">
        <x:v>Shared recovery / system</x:v>
      </x:c>
      <x:c r="D1415" s="71" t="str">
        <x:v>Shared</x:v>
      </x:c>
      <x:c r="E1415" s="71" t="str">
        <x:v>label</x:v>
      </x:c>
      <x:c r="F1415" s="71" t="str">
        <x:v>Default</x:v>
      </x:c>
      <x:c r="G1415" s="71" t="str">
        <x:v>Label</x:v>
      </x:c>
      <x:c r="H1415" s="71" t="str">
        <x:v>Restaurant finder</x:v>
      </x:c>
      <x:c r="I1415" s="71" t="str">
        <x:v>Restaurant finder</x:v>
      </x:c>
      <x:c r="J1415" s="73"/>
      <x:c r="K1415" s="74" t="str">
        <x:f>IF(J1415="",H1415,IF(J1415=I1415,I1415,J1415))</x:f>
        <x:v>Restaurant finder</x:v>
      </x:c>
      <x:c r="L1415" s="74" t="str">
        <x:f>IF(J1415="","Keep current",IF(J1415=I1415,"Use suggestion","Custom"))</x:f>
        <x:v>Keep current</x:v>
      </x:c>
      <x:c r="M1415" s="71" t="str">
        <x:v>Pending review</x:v>
      </x:c>
      <x:c r="N1415" s="71" t="str">
        <x:v>Normal</x:v>
      </x:c>
      <x:c r="O1415" s="71" t="str">
        <x:v>components/journey-local-finder.tsx</x:v>
      </x:c>
      <x:c r="P1415" s="71" t="str">
        <x:v>label:95</x:v>
      </x:c>
      <x:c r="Q1415" s="71" t="str">
        <x:v>EN (default / shared)</x:v>
      </x:c>
      <x:c r="R1415" s="71" t="str">
        <x:v>Already clear and direct; suggested wording intentionally keeps the current copy.</x:v>
      </x:c>
      <x:c r="S1415" s="75" t="str">
        <x:v>Not applied — review required</x:v>
      </x:c>
    </x:row>
    <x:row r="1416">
      <x:c r="A1416" s="71" t="str">
        <x:v>MRV-987A112D2B</x:v>
      </x:c>
      <x:c r="B1416" s="71" t="str">
        <x:v>System</x:v>
      </x:c>
      <x:c r="C1416" s="71" t="str">
        <x:v>Shared recovery / system</x:v>
      </x:c>
      <x:c r="D1416" s="71" t="str">
        <x:v>Shared</x:v>
      </x:c>
      <x:c r="E1416" s="71" t="str">
        <x:v>label</x:v>
      </x:c>
      <x:c r="F1416" s="71" t="str">
        <x:v>Default</x:v>
      </x:c>
      <x:c r="G1416" s="71" t="str">
        <x:v>Label</x:v>
      </x:c>
      <x:c r="H1416" s="71" t="str">
        <x:v>Stay finder</x:v>
      </x:c>
      <x:c r="I1416" s="71" t="str">
        <x:v>Stay finder</x:v>
      </x:c>
      <x:c r="J1416" s="73"/>
      <x:c r="K1416" s="74" t="str">
        <x:f>IF(J1416="",H1416,IF(J1416=I1416,I1416,J1416))</x:f>
        <x:v>Stay finder</x:v>
      </x:c>
      <x:c r="L1416" s="74" t="str">
        <x:f>IF(J1416="","Keep current",IF(J1416=I1416,"Use suggestion","Custom"))</x:f>
        <x:v>Keep current</x:v>
      </x:c>
      <x:c r="M1416" s="71" t="str">
        <x:v>Pending review</x:v>
      </x:c>
      <x:c r="N1416" s="71" t="str">
        <x:v>Normal</x:v>
      </x:c>
      <x:c r="O1416" s="71" t="str">
        <x:v>components/journey-local-finder.tsx</x:v>
      </x:c>
      <x:c r="P1416" s="71" t="str">
        <x:v>label:95</x:v>
      </x:c>
      <x:c r="Q1416" s="71" t="str">
        <x:v>EN (default / shared)</x:v>
      </x:c>
      <x:c r="R1416" s="71" t="str">
        <x:v>Already clear and direct; suggested wording intentionally keeps the current copy.</x:v>
      </x:c>
      <x:c r="S1416" s="75" t="str">
        <x:v>Not applied — review required</x:v>
      </x:c>
    </x:row>
    <x:row r="1417">
      <x:c r="A1417" s="71" t="str">
        <x:v>MRV-5208365C19</x:v>
      </x:c>
      <x:c r="B1417" s="71" t="str">
        <x:v>System</x:v>
      </x:c>
      <x:c r="C1417" s="71" t="str">
        <x:v>Shared recovery / system</x:v>
      </x:c>
      <x:c r="D1417" s="71" t="str">
        <x:v>Shared</x:v>
      </x:c>
      <x:c r="E1417" s="71" t="str">
        <x:v>searchKey</x:v>
      </x:c>
      <x:c r="F1417" s="71" t="str">
        <x:v>Default</x:v>
      </x:c>
      <x:c r="G1417" s="71" t="str">
        <x:v>Body copy</x:v>
      </x:c>
      <x:c r="H1417" s="71" t="str">
        <x:v>{dayId}:{longitude}:{latitude}:{staySearch?.checkIn ?? ""}:{staySearch?.checkOut ?? ""}</x:v>
      </x:c>
      <x:c r="I1417" s="71" t="str">
        <x:v>{dayId}:{longitude}:{latitude}:{staySearch?.checkIn ?? ""}:{staySearch?.checkOut ?? ""}</x:v>
      </x:c>
      <x:c r="J1417" s="73"/>
      <x:c r="K1417" s="74" t="str">
        <x:f>IF(J1417="",H1417,IF(J1417=I1417,I1417,J1417))</x:f>
        <x:v>{dayId}:{longitude}:{latitude}:{staySearch?.checkIn ?? ""}:{staySearch?.checkOut ?? ""}</x:v>
      </x:c>
      <x:c r="L1417" s="74" t="str">
        <x:f>IF(J1417="","Keep current",IF(J1417=I1417,"Use suggestion","Custom"))</x:f>
        <x:v>Keep current</x:v>
      </x:c>
      <x:c r="M1417" s="71" t="str">
        <x:v>Pending review</x:v>
      </x:c>
      <x:c r="N1417" s="71" t="str">
        <x:v>Normal</x:v>
      </x:c>
      <x:c r="O1417" s="71" t="str">
        <x:v>components/journey-local-finder.tsx</x:v>
      </x:c>
      <x:c r="P1417" s="71" t="str">
        <x:v>searchKey:113</x:v>
      </x:c>
      <x:c r="Q1417" s="71" t="str">
        <x:v>EN (default / shared)</x:v>
      </x:c>
      <x:c r="R1417" s="71" t="str">
        <x:v>Already clear and direct; suggested wording intentionally keeps the current copy. Dynamic traveller or trip value is represented as a token; user-generated values are excluded.</x:v>
      </x:c>
      <x:c r="S1417" s="75" t="str">
        <x:v>Not applied — review required</x:v>
      </x:c>
    </x:row>
    <x:row r="1418">
      <x:c r="A1418" s="71" t="str">
        <x:v>MRV-7E6B6344B8</x:v>
      </x:c>
      <x:c r="B1418" s="71" t="str">
        <x:v>System</x:v>
      </x:c>
      <x:c r="C1418" s="71" t="str">
        <x:v>Shared recovery / system</x:v>
      </x:c>
      <x:c r="D1418" s="71" t="str">
        <x:v>Shared</x:v>
      </x:c>
      <x:c r="E1418" s="71" t="str">
        <x:v>savedKey</x:v>
      </x:c>
      <x:c r="F1418" s="71" t="str">
        <x:v>Default</x:v>
      </x:c>
      <x:c r="G1418" s="71" t="str">
        <x:v>Body copy</x:v>
      </x:c>
      <x:c r="H1418" s="71" t="str">
        <x:v>{kind}:{dayId}:{saved.id}</x:v>
      </x:c>
      <x:c r="I1418" s="71" t="str">
        <x:v>{kind}:{dayId}:{saved.id}</x:v>
      </x:c>
      <x:c r="J1418" s="73"/>
      <x:c r="K1418" s="74" t="str">
        <x:f>IF(J1418="",H1418,IF(J1418=I1418,I1418,J1418))</x:f>
        <x:v>{kind}:{dayId}:{saved.id}</x:v>
      </x:c>
      <x:c r="L1418" s="74" t="str">
        <x:f>IF(J1418="","Keep current",IF(J1418=I1418,"Use suggestion","Custom"))</x:f>
        <x:v>Keep current</x:v>
      </x:c>
      <x:c r="M1418" s="71" t="str">
        <x:v>Pending review</x:v>
      </x:c>
      <x:c r="N1418" s="71" t="str">
        <x:v>Normal</x:v>
      </x:c>
      <x:c r="O1418" s="71" t="str">
        <x:v>components/journey-local-finder.tsx</x:v>
      </x:c>
      <x:c r="P1418" s="71" t="str">
        <x:v>savedKey:172</x:v>
      </x:c>
      <x:c r="Q1418" s="71" t="str">
        <x:v>EN (default / shared)</x:v>
      </x:c>
      <x:c r="R1418" s="71" t="str">
        <x:v>Already clear and direct; suggested wording intentionally keeps the current copy. Dynamic traveller or trip value is represented as a token; user-generated values are excluded.</x:v>
      </x:c>
      <x:c r="S1418" s="75" t="str">
        <x:v>Not applied — review required</x:v>
      </x:c>
    </x:row>
    <x:row r="1419">
      <x:c r="A1419" s="71" t="str">
        <x:v>MRV-C78398B884</x:v>
      </x:c>
      <x:c r="B1419" s="71" t="str">
        <x:v>System</x:v>
      </x:c>
      <x:c r="C1419" s="71" t="str">
        <x:v>Shared recovery / system</x:v>
      </x:c>
      <x:c r="D1419" s="71" t="str">
        <x:v>Shared</x:v>
      </x:c>
      <x:c r="E1419" s="71" t="str">
        <x:v>matched</x:v>
      </x:c>
      <x:c r="F1419" s="71" t="str">
        <x:v>Default</x:v>
      </x:c>
      <x:c r="G1419" s="71" t="str">
        <x:v>Body copy</x:v>
      </x:c>
      <x:c r="H1419" s="71" t="str">
        <x:v>{place.name} {place.category}</x:v>
      </x:c>
      <x:c r="I1419" s="71" t="str">
        <x:v>{place.name} {place.category}</x:v>
      </x:c>
      <x:c r="J1419" s="73"/>
      <x:c r="K1419" s="74" t="str">
        <x:f>IF(J1419="",H1419,IF(J1419=I1419,I1419,J1419))</x:f>
        <x:v>{place.name} {place.category}</x:v>
      </x:c>
      <x:c r="L1419" s="74" t="str">
        <x:f>IF(J1419="","Keep current",IF(J1419=I1419,"Use suggestion","Custom"))</x:f>
        <x:v>Keep current</x:v>
      </x:c>
      <x:c r="M1419" s="71" t="str">
        <x:v>Pending review</x:v>
      </x:c>
      <x:c r="N1419" s="71" t="str">
        <x:v>Normal</x:v>
      </x:c>
      <x:c r="O1419" s="71" t="str">
        <x:v>components/journey-local-finder.tsx</x:v>
      </x:c>
      <x:c r="P1419" s="71" t="str">
        <x:v>matched:181</x:v>
      </x:c>
      <x:c r="Q1419" s="71" t="str">
        <x:v>EN (default / shared)</x:v>
      </x:c>
      <x:c r="R141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19" s="75" t="str">
        <x:v>Not applied — review required</x:v>
      </x:c>
    </x:row>
    <x:row r="1420">
      <x:c r="A1420" s="71" t="str">
        <x:v>MRV-F0E26C1181</x:v>
      </x:c>
      <x:c r="B1420" s="71" t="str">
        <x:v>System</x:v>
      </x:c>
      <x:c r="C1420" s="71" t="str">
        <x:v>Shared recovery / system</x:v>
      </x:c>
      <x:c r="D1420" s="71" t="str">
        <x:v>Shared</x:v>
      </x:c>
      <x:c r="E1420" s="71" t="str">
        <x:v>JourneyLocalFinder</x:v>
      </x:c>
      <x:c r="F1420" s="71" t="str">
        <x:v>Accessibility / input support</x:v>
      </x:c>
      <x:c r="G1420" s="71" t="str">
        <x:v>Accessibility label</x:v>
      </x:c>
      <x:c r="H1420" s="71" t="str">
        <x:v>{label} for {city}</x:v>
      </x:c>
      <x:c r="I1420" s="71" t="str">
        <x:v>{label} for {city}</x:v>
      </x:c>
      <x:c r="J1420" s="73"/>
      <x:c r="K1420" s="74" t="str">
        <x:f>IF(J1420="",H1420,IF(J1420=I1420,I1420,J1420))</x:f>
        <x:v>{label} for {city}</x:v>
      </x:c>
      <x:c r="L1420" s="74" t="str">
        <x:f>IF(J1420="","Keep current",IF(J1420=I1420,"Use suggestion","Custom"))</x:f>
        <x:v>Keep current</x:v>
      </x:c>
      <x:c r="M1420" s="71" t="str">
        <x:v>Pending review</x:v>
      </x:c>
      <x:c r="N1420" s="71" t="str">
        <x:v>Medium</x:v>
      </x:c>
      <x:c r="O1420" s="71" t="str">
        <x:v>components/journey-local-finder.tsx</x:v>
      </x:c>
      <x:c r="P1420" s="71" t="str">
        <x:v>JourneyLocalFinder:250</x:v>
      </x:c>
      <x:c r="Q1420" s="71" t="str">
        <x:v>EN (default / shared)</x:v>
      </x:c>
      <x:c r="R1420" s="71" t="str">
        <x:v>Already clear and direct; suggested wording intentionally keeps the current copy. Dynamic traveller or trip value is represented as a token; user-generated values are excluded.</x:v>
      </x:c>
      <x:c r="S1420" s="75" t="str">
        <x:v>Not applied — review required</x:v>
      </x:c>
    </x:row>
    <x:row r="1421">
      <x:c r="A1421" s="71" t="str">
        <x:v>MRV-4FC99A516D</x:v>
      </x:c>
      <x:c r="B1421" s="71" t="str">
        <x:v>System</x:v>
      </x:c>
      <x:c r="C1421" s="71" t="str">
        <x:v>Shared recovery / system</x:v>
      </x:c>
      <x:c r="D1421" s="71" t="str">
        <x:v>Shared</x:v>
      </x:c>
      <x:c r="E1421" s="71" t="str">
        <x:v>JourneyLocalFinder</x:v>
      </x:c>
      <x:c r="F1421" s="71" t="str">
        <x:v>Default</x:v>
      </x:c>
      <x:c r="G1421" s="71" t="str">
        <x:v>Label</x:v>
      </x:c>
      <x:c r="H1421" s="71" t="str">
        <x:v>STAY IN {city}</x:v>
      </x:c>
      <x:c r="I1421" s="71" t="str">
        <x:v>STAY IN {city}</x:v>
      </x:c>
      <x:c r="J1421" s="73"/>
      <x:c r="K1421" s="74" t="str">
        <x:f>IF(J1421="",H1421,IF(J1421=I1421,I1421,J1421))</x:f>
        <x:v>STAY IN {city}</x:v>
      </x:c>
      <x:c r="L1421" s="74" t="str">
        <x:f>IF(J1421="","Keep current",IF(J1421=I1421,"Use suggestion","Custom"))</x:f>
        <x:v>Keep current</x:v>
      </x:c>
      <x:c r="M1421" s="71" t="str">
        <x:v>Pending review</x:v>
      </x:c>
      <x:c r="N1421" s="71" t="str">
        <x:v>Normal</x:v>
      </x:c>
      <x:c r="O1421" s="71" t="str">
        <x:v>components/journey-local-finder.tsx</x:v>
      </x:c>
      <x:c r="P1421" s="71" t="str">
        <x:v>JourneyLocalFinder:251</x:v>
      </x:c>
      <x:c r="Q1421" s="71" t="str">
        <x:v>EN (default / shared)</x:v>
      </x:c>
      <x:c r="R1421" s="71" t="str">
        <x:v>Already clear and direct; suggested wording intentionally keeps the current copy. Dynamic traveller or trip value is represented as a token; user-generated values are excluded.</x:v>
      </x:c>
      <x:c r="S1421" s="75" t="str">
        <x:v>Not applied — review required</x:v>
      </x:c>
    </x:row>
    <x:row r="1422">
      <x:c r="A1422" s="71" t="str">
        <x:v>MRV-B8D5B4E786</x:v>
      </x:c>
      <x:c r="B1422" s="71" t="str">
        <x:v>System</x:v>
      </x:c>
      <x:c r="C1422" s="71" t="str">
        <x:v>Shared recovery / system</x:v>
      </x:c>
      <x:c r="D1422" s="71" t="str">
        <x:v>Shared</x:v>
      </x:c>
      <x:c r="E1422" s="71" t="str">
        <x:v>JourneyLocalFinder</x:v>
      </x:c>
      <x:c r="F1422" s="71" t="str">
        <x:v>Default</x:v>
      </x:c>
      <x:c r="G1422" s="71" t="str">
        <x:v>Label</x:v>
      </x:c>
      <x:c r="H1422" s="71" t="str">
        <x:v>EAT IN {city}</x:v>
      </x:c>
      <x:c r="I1422" s="71" t="str">
        <x:v>EAT IN {city}</x:v>
      </x:c>
      <x:c r="J1422" s="73"/>
      <x:c r="K1422" s="74" t="str">
        <x:f>IF(J1422="",H1422,IF(J1422=I1422,I1422,J1422))</x:f>
        <x:v>EAT IN {city}</x:v>
      </x:c>
      <x:c r="L1422" s="74" t="str">
        <x:f>IF(J1422="","Keep current",IF(J1422=I1422,"Use suggestion","Custom"))</x:f>
        <x:v>Keep current</x:v>
      </x:c>
      <x:c r="M1422" s="71" t="str">
        <x:v>Pending review</x:v>
      </x:c>
      <x:c r="N1422" s="71" t="str">
        <x:v>Normal</x:v>
      </x:c>
      <x:c r="O1422" s="71" t="str">
        <x:v>components/journey-local-finder.tsx</x:v>
      </x:c>
      <x:c r="P1422" s="71" t="str">
        <x:v>JourneyLocalFinder:251</x:v>
      </x:c>
      <x:c r="Q1422" s="71" t="str">
        <x:v>EN (default / shared)</x:v>
      </x:c>
      <x:c r="R1422" s="71" t="str">
        <x:v>Already clear and direct; suggested wording intentionally keeps the current copy. Dynamic traveller or trip value is represented as a token; user-generated values are excluded.</x:v>
      </x:c>
      <x:c r="S1422" s="75" t="str">
        <x:v>Not applied — review required</x:v>
      </x:c>
    </x:row>
    <x:row r="1423">
      <x:c r="A1423" s="71" t="str">
        <x:v>MRV-12E8C03C81</x:v>
      </x:c>
      <x:c r="B1423" s="71" t="str">
        <x:v>System</x:v>
      </x:c>
      <x:c r="C1423" s="71" t="str">
        <x:v>Shared recovery / system</x:v>
      </x:c>
      <x:c r="D1423" s="71" t="str">
        <x:v>Shared</x:v>
      </x:c>
      <x:c r="E1423" s="71" t="str">
        <x:v>JourneyLocalFinder</x:v>
      </x:c>
      <x:c r="F1423" s="71" t="str">
        <x:v>Loading / in progress</x:v>
      </x:c>
      <x:c r="G1423" s="71" t="str">
        <x:v>CTA / button</x:v>
      </x:c>
      <x:c r="H1423" s="71" t="str">
        <x:v>Finding nearby places…</x:v>
      </x:c>
      <x:c r="I1423" s="71" t="str">
        <x:v>Finding nearby places…</x:v>
      </x:c>
      <x:c r="J1423" s="73"/>
      <x:c r="K1423" s="74" t="str">
        <x:f>IF(J1423="",H1423,IF(J1423=I1423,I1423,J1423))</x:f>
        <x:v>Finding nearby places…</x:v>
      </x:c>
      <x:c r="L1423" s="74" t="str">
        <x:f>IF(J1423="","Keep current",IF(J1423=I1423,"Use suggestion","Custom"))</x:f>
        <x:v>Keep current</x:v>
      </x:c>
      <x:c r="M1423" s="71" t="str">
        <x:v>Pending review</x:v>
      </x:c>
      <x:c r="N1423" s="71" t="str">
        <x:v>Medium</x:v>
      </x:c>
      <x:c r="O1423" s="71" t="str">
        <x:v>components/journey-local-finder.tsx</x:v>
      </x:c>
      <x:c r="P1423" s="71" t="str">
        <x:v>JourneyLocalFinder:251</x:v>
      </x:c>
      <x:c r="Q1423" s="71" t="str">
        <x:v>EN (default / shared)</x:v>
      </x:c>
      <x:c r="R1423" s="71" t="str">
        <x:v>Already clear and direct; suggested wording intentionally keeps the current copy. Terminology watch: ‘trip’ and ‘journey’ both describe the same plan. Terminology watch: ‘stops’, ‘destinations’ and ‘places’ overlap.</x:v>
      </x:c>
      <x:c r="S1423" s="75" t="str">
        <x:v>Not applied — review required</x:v>
      </x:c>
    </x:row>
    <x:row r="1424">
      <x:c r="A1424" s="71" t="str">
        <x:v>MRV-F76A6495D2</x:v>
      </x:c>
      <x:c r="B1424" s="71" t="str">
        <x:v>System</x:v>
      </x:c>
      <x:c r="C1424" s="71" t="str">
        <x:v>Shared recovery / system</x:v>
      </x:c>
      <x:c r="D1424" s="71" t="str">
        <x:v>Shared</x:v>
      </x:c>
      <x:c r="E1424" s="71" t="str">
        <x:v>JourneyLocalFinder</x:v>
      </x:c>
      <x:c r="F1424" s="71" t="str">
        <x:v>Loading / in progress</x:v>
      </x:c>
      <x:c r="G1424" s="71" t="str">
        <x:v>Body copy</x:v>
      </x:c>
      <x:c r="H1424" s="71" t="str">
        <x:v>{displayPlaces.length} {kind === "stay" ? "stays" : "places"} nearby</x:v>
      </x:c>
      <x:c r="I1424" s="71" t="str">
        <x:v>{displayPlaces.length} {kind === "stay" ? "stays" : "places"} nearby</x:v>
      </x:c>
      <x:c r="J1424" s="73"/>
      <x:c r="K1424" s="74" t="str">
        <x:f>IF(J1424="",H1424,IF(J1424=I1424,I1424,J1424))</x:f>
        <x:v>{displayPlaces.length} {kind === "stay" ? "stays" : "places"} nearby</x:v>
      </x:c>
      <x:c r="L1424" s="74" t="str">
        <x:f>IF(J1424="","Keep current",IF(J1424=I1424,"Use suggestion","Custom"))</x:f>
        <x:v>Keep current</x:v>
      </x:c>
      <x:c r="M1424" s="71" t="str">
        <x:v>Pending review</x:v>
      </x:c>
      <x:c r="N1424" s="71" t="str">
        <x:v>Normal</x:v>
      </x:c>
      <x:c r="O1424" s="71" t="str">
        <x:v>components/journey-local-finder.tsx</x:v>
      </x:c>
      <x:c r="P1424" s="71" t="str">
        <x:v>JourneyLocalFinder:251</x:v>
      </x:c>
      <x:c r="Q1424" s="71" t="str">
        <x:v>EN (default / shared)</x:v>
      </x:c>
      <x:c r="R142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24" s="75" t="str">
        <x:v>Not applied — review required</x:v>
      </x:c>
    </x:row>
    <x:row r="1425">
      <x:c r="A1425" s="71" t="str">
        <x:v>MRV-3BBEA6D355</x:v>
      </x:c>
      <x:c r="B1425" s="71" t="str">
        <x:v>System</x:v>
      </x:c>
      <x:c r="C1425" s="71" t="str">
        <x:v>Shared recovery / system</x:v>
      </x:c>
      <x:c r="D1425" s="71" t="str">
        <x:v>Shared</x:v>
      </x:c>
      <x:c r="E1425" s="71" t="str">
        <x:v>JourneyLocalFinder</x:v>
      </x:c>
      <x:c r="F1425" s="71" t="str">
        <x:v>Default</x:v>
      </x:c>
      <x:c r="G1425" s="71" t="str">
        <x:v>Body copy</x:v>
      </x:c>
      <x:c r="H1425" s="71" t="str">
        <x:v>Live venue search is temporarily unavailable. Open Maps to search around today’s location instead.</x:v>
      </x:c>
      <x:c r="I1425" s="71" t="str">
        <x:v>Live venue search is temporarily unavailable. Open Maps to search around today’s location instead.</x:v>
      </x:c>
      <x:c r="J1425" s="73"/>
      <x:c r="K1425" s="74" t="str">
        <x:f>IF(J1425="",H1425,IF(J1425=I1425,I1425,J1425))</x:f>
        <x:v>Live venue search is temporarily unavailable. Open Maps to search around today’s location instead.</x:v>
      </x:c>
      <x:c r="L1425" s="74" t="str">
        <x:f>IF(J1425="","Keep current",IF(J1425=I1425,"Use suggestion","Custom"))</x:f>
        <x:v>Keep current</x:v>
      </x:c>
      <x:c r="M1425" s="71" t="str">
        <x:v>Pending review</x:v>
      </x:c>
      <x:c r="N1425" s="71" t="str">
        <x:v>Normal</x:v>
      </x:c>
      <x:c r="O1425" s="71" t="str">
        <x:v>components/journey-local-finder.tsx</x:v>
      </x:c>
      <x:c r="P1425" s="71" t="str">
        <x:v>JourneyLocalFinder:253</x:v>
      </x:c>
      <x:c r="Q1425" s="71" t="str">
        <x:v>EN (default / shared)</x:v>
      </x:c>
      <x:c r="R1425" s="71" t="str">
        <x:v>Already clear and direct; suggested wording intentionally keeps the current copy.</x:v>
      </x:c>
      <x:c r="S1425" s="75" t="str">
        <x:v>Not applied — review required</x:v>
      </x:c>
    </x:row>
    <x:row r="1426">
      <x:c r="A1426" s="71" t="str">
        <x:v>MRV-4C0CCCA0D6</x:v>
      </x:c>
      <x:c r="B1426" s="71" t="str">
        <x:v>System</x:v>
      </x:c>
      <x:c r="C1426" s="71" t="str">
        <x:v>Shared recovery / system</x:v>
      </x:c>
      <x:c r="D1426" s="71" t="str">
        <x:v>Shared</x:v>
      </x:c>
      <x:c r="E1426" s="71" t="str">
        <x:v>JourneyLocalFinder</x:v>
      </x:c>
      <x:c r="F1426" s="71" t="str">
        <x:v>Default</x:v>
      </x:c>
      <x:c r="G1426" s="71" t="str">
        <x:v>Body copy</x:v>
      </x:c>
      <x:c r="H1426" s="71" t="str">
        <x:v>No mapped venues came back for this area. Open Maps to search around the day’s location instead.</x:v>
      </x:c>
      <x:c r="I1426" s="71" t="str">
        <x:v>No mapped venues came back for this area. Open Maps to search around the day’s location instead.</x:v>
      </x:c>
      <x:c r="J1426" s="73"/>
      <x:c r="K1426" s="74" t="str">
        <x:f>IF(J1426="",H1426,IF(J1426=I1426,I1426,J1426))</x:f>
        <x:v>No mapped venues came back for this area. Open Maps to search around the day’s location instead.</x:v>
      </x:c>
      <x:c r="L1426" s="74" t="str">
        <x:f>IF(J1426="","Keep current",IF(J1426=I1426,"Use suggestion","Custom"))</x:f>
        <x:v>Keep current</x:v>
      </x:c>
      <x:c r="M1426" s="71" t="str">
        <x:v>Pending review</x:v>
      </x:c>
      <x:c r="N1426" s="71" t="str">
        <x:v>Normal</x:v>
      </x:c>
      <x:c r="O1426" s="71" t="str">
        <x:v>components/journey-local-finder.tsx</x:v>
      </x:c>
      <x:c r="P1426" s="71" t="str">
        <x:v>JourneyLocalFinder:253</x:v>
      </x:c>
      <x:c r="Q1426" s="71" t="str">
        <x:v>EN (default / shared)</x:v>
      </x:c>
      <x:c r="R1426" s="71" t="str">
        <x:v>Already clear and direct; suggested wording intentionally keeps the current copy.</x:v>
      </x:c>
      <x:c r="S1426" s="75" t="str">
        <x:v>Not applied — review required</x:v>
      </x:c>
    </x:row>
    <x:row r="1427">
      <x:c r="A1427" s="71" t="str">
        <x:v>MRV-AF58D0CE71</x:v>
      </x:c>
      <x:c r="B1427" s="71" t="str">
        <x:v>System</x:v>
      </x:c>
      <x:c r="C1427" s="71" t="str">
        <x:v>Shared recovery / system</x:v>
      </x:c>
      <x:c r="D1427" s="71" t="str">
        <x:v>Shared</x:v>
      </x:c>
      <x:c r="E1427" s="71" t="str">
        <x:v>JourneyLocalFinder</x:v>
      </x:c>
      <x:c r="F1427" s="71" t="str">
        <x:v>Default</x:v>
      </x:c>
      <x:c r="G1427" s="71" t="str">
        <x:v>Label</x:v>
      </x:c>
      <x:c r="H1427" s="71" t="str">
        <x:v>Filters</x:v>
      </x:c>
      <x:c r="I1427" s="71" t="str">
        <x:v>Filters</x:v>
      </x:c>
      <x:c r="J1427" s="73"/>
      <x:c r="K1427" s="74" t="str">
        <x:f>IF(J1427="",H1427,IF(J1427=I1427,I1427,J1427))</x:f>
        <x:v>Filters</x:v>
      </x:c>
      <x:c r="L1427" s="74" t="str">
        <x:f>IF(J1427="","Keep current",IF(J1427=I1427,"Use suggestion","Custom"))</x:f>
        <x:v>Keep current</x:v>
      </x:c>
      <x:c r="M1427" s="71" t="str">
        <x:v>Pending review</x:v>
      </x:c>
      <x:c r="N1427" s="71" t="str">
        <x:v>Normal</x:v>
      </x:c>
      <x:c r="O1427" s="71" t="str">
        <x:v>components/journey-local-finder.tsx</x:v>
      </x:c>
      <x:c r="P1427" s="71" t="str">
        <x:v>JourneyLocalFinder:254</x:v>
      </x:c>
      <x:c r="Q1427" s="71" t="str">
        <x:v>EN (default / shared)</x:v>
      </x:c>
      <x:c r="R1427" s="71" t="str">
        <x:v>Already clear and direct; suggested wording intentionally keeps the current copy.</x:v>
      </x:c>
      <x:c r="S1427" s="75" t="str">
        <x:v>Not applied — review required</x:v>
      </x:c>
    </x:row>
    <x:row r="1428">
      <x:c r="A1428" s="71" t="str">
        <x:v>MRV-7C8745A8DB</x:v>
      </x:c>
      <x:c r="B1428" s="71" t="str">
        <x:v>System</x:v>
      </x:c>
      <x:c r="C1428" s="71" t="str">
        <x:v>Shared recovery / system</x:v>
      </x:c>
      <x:c r="D1428" s="71" t="str">
        <x:v>Shared</x:v>
      </x:c>
      <x:c r="E1428" s="71" t="str">
        <x:v>JourneyLocalFinder</x:v>
      </x:c>
      <x:c r="F1428" s="71" t="str">
        <x:v>Default</x:v>
      </x:c>
      <x:c r="G1428" s="71" t="str">
        <x:v>Label</x:v>
      </x:c>
      <x:c r="H1428" s="71" t="str">
        <x:v>Central</x:v>
      </x:c>
      <x:c r="I1428" s="71" t="str">
        <x:v>Central</x:v>
      </x:c>
      <x:c r="J1428" s="73"/>
      <x:c r="K1428" s="74" t="str">
        <x:f>IF(J1428="",H1428,IF(J1428=I1428,I1428,J1428))</x:f>
        <x:v>Central</x:v>
      </x:c>
      <x:c r="L1428" s="74" t="str">
        <x:f>IF(J1428="","Keep current",IF(J1428=I1428,"Use suggestion","Custom"))</x:f>
        <x:v>Keep current</x:v>
      </x:c>
      <x:c r="M1428" s="71" t="str">
        <x:v>Pending review</x:v>
      </x:c>
      <x:c r="N1428" s="71" t="str">
        <x:v>Normal</x:v>
      </x:c>
      <x:c r="O1428" s="71" t="str">
        <x:v>components/journey-local-finder.tsx</x:v>
      </x:c>
      <x:c r="P1428" s="71" t="str">
        <x:v>JourneyLocalFinder:254</x:v>
      </x:c>
      <x:c r="Q1428" s="71" t="str">
        <x:v>EN (default / shared)</x:v>
      </x:c>
      <x:c r="R1428" s="71" t="str">
        <x:v>Already clear and direct; suggested wording intentionally keeps the current copy.</x:v>
      </x:c>
      <x:c r="S1428" s="75" t="str">
        <x:v>Not applied — review required</x:v>
      </x:c>
    </x:row>
    <x:row r="1429">
      <x:c r="A1429" s="71" t="str">
        <x:v>MRV-BE083230E9</x:v>
      </x:c>
      <x:c r="B1429" s="71" t="str">
        <x:v>System</x:v>
      </x:c>
      <x:c r="C1429" s="71" t="str">
        <x:v>Shared recovery / system</x:v>
      </x:c>
      <x:c r="D1429" s="71" t="str">
        <x:v>Shared</x:v>
      </x:c>
      <x:c r="E1429" s="71" t="str">
        <x:v>JourneyLocalFinder</x:v>
      </x:c>
      <x:c r="F1429" s="71" t="str">
        <x:v>Default</x:v>
      </x:c>
      <x:c r="G1429" s="71" t="str">
        <x:v>Label</x:v>
      </x:c>
      <x:c r="H1429" s="71" t="str">
        <x:v>Character</x:v>
      </x:c>
      <x:c r="I1429" s="71" t="str">
        <x:v>Character</x:v>
      </x:c>
      <x:c r="J1429" s="73"/>
      <x:c r="K1429" s="74" t="str">
        <x:f>IF(J1429="",H1429,IF(J1429=I1429,I1429,J1429))</x:f>
        <x:v>Character</x:v>
      </x:c>
      <x:c r="L1429" s="74" t="str">
        <x:f>IF(J1429="","Keep current",IF(J1429=I1429,"Use suggestion","Custom"))</x:f>
        <x:v>Keep current</x:v>
      </x:c>
      <x:c r="M1429" s="71" t="str">
        <x:v>Pending review</x:v>
      </x:c>
      <x:c r="N1429" s="71" t="str">
        <x:v>Normal</x:v>
      </x:c>
      <x:c r="O1429" s="71" t="str">
        <x:v>components/journey-local-finder.tsx</x:v>
      </x:c>
      <x:c r="P1429" s="71" t="str">
        <x:v>JourneyLocalFinder:254</x:v>
      </x:c>
      <x:c r="Q1429" s="71" t="str">
        <x:v>EN (default / shared)</x:v>
      </x:c>
      <x:c r="R1429" s="71" t="str">
        <x:v>Already clear and direct; suggested wording intentionally keeps the current copy.</x:v>
      </x:c>
      <x:c r="S1429" s="75" t="str">
        <x:v>Not applied — review required</x:v>
      </x:c>
    </x:row>
    <x:row r="1430">
      <x:c r="A1430" s="71" t="str">
        <x:v>MRV-9346FB030F</x:v>
      </x:c>
      <x:c r="B1430" s="71" t="str">
        <x:v>System</x:v>
      </x:c>
      <x:c r="C1430" s="71" t="str">
        <x:v>Shared recovery / system</x:v>
      </x:c>
      <x:c r="D1430" s="71" t="str">
        <x:v>Shared</x:v>
      </x:c>
      <x:c r="E1430" s="71" t="str">
        <x:v>JourneyLocalFinder</x:v>
      </x:c>
      <x:c r="F1430" s="71" t="str">
        <x:v>Default</x:v>
      </x:c>
      <x:c r="G1430" s="71" t="str">
        <x:v>Label</x:v>
      </x:c>
      <x:c r="H1430" s="71" t="str">
        <x:v>Comfort</x:v>
      </x:c>
      <x:c r="I1430" s="71" t="str">
        <x:v>Comfort</x:v>
      </x:c>
      <x:c r="J1430" s="73"/>
      <x:c r="K1430" s="74" t="str">
        <x:f>IF(J1430="",H1430,IF(J1430=I1430,I1430,J1430))</x:f>
        <x:v>Comfort</x:v>
      </x:c>
      <x:c r="L1430" s="74" t="str">
        <x:f>IF(J1430="","Keep current",IF(J1430=I1430,"Use suggestion","Custom"))</x:f>
        <x:v>Keep current</x:v>
      </x:c>
      <x:c r="M1430" s="71" t="str">
        <x:v>Pending review</x:v>
      </x:c>
      <x:c r="N1430" s="71" t="str">
        <x:v>Normal</x:v>
      </x:c>
      <x:c r="O1430" s="71" t="str">
        <x:v>components/journey-local-finder.tsx</x:v>
      </x:c>
      <x:c r="P1430" s="71" t="str">
        <x:v>JourneyLocalFinder:254</x:v>
      </x:c>
      <x:c r="Q1430" s="71" t="str">
        <x:v>EN (default / shared)</x:v>
      </x:c>
      <x:c r="R1430" s="71" t="str">
        <x:v>Already clear and direct; suggested wording intentionally keeps the current copy.</x:v>
      </x:c>
      <x:c r="S1430" s="75" t="str">
        <x:v>Not applied — review required</x:v>
      </x:c>
    </x:row>
    <x:row r="1431">
      <x:c r="A1431" s="71" t="str">
        <x:v>MRV-EE4889ADE9</x:v>
      </x:c>
      <x:c r="B1431" s="71" t="str">
        <x:v>System</x:v>
      </x:c>
      <x:c r="C1431" s="71" t="str">
        <x:v>Shared recovery / system</x:v>
      </x:c>
      <x:c r="D1431" s="71" t="str">
        <x:v>Shared</x:v>
      </x:c>
      <x:c r="E1431" s="71" t="str">
        <x:v>JourneyLocalFinder</x:v>
      </x:c>
      <x:c r="F1431" s="71" t="str">
        <x:v>Default</x:v>
      </x:c>
      <x:c r="G1431" s="71" t="str">
        <x:v>CTA / button</x:v>
      </x:c>
      <x:c r="H1431" s="71" t="str">
        <x:v>Saved {kind === "stay" ? "stay" : meal}</x:v>
      </x:c>
      <x:c r="I1431" s="71" t="str">
        <x:v>Saved {kind === "stay" ? "stay" : meal}</x:v>
      </x:c>
      <x:c r="J1431" s="73"/>
      <x:c r="K1431" s="74" t="str">
        <x:f>IF(J1431="",H1431,IF(J1431=I1431,I1431,J1431))</x:f>
        <x:v>Saved {kind === "stay" ? "stay" : meal}</x:v>
      </x:c>
      <x:c r="L1431" s="74" t="str">
        <x:f>IF(J1431="","Keep current",IF(J1431=I1431,"Use suggestion","Custom"))</x:f>
        <x:v>Keep current</x:v>
      </x:c>
      <x:c r="M1431" s="71" t="str">
        <x:v>Pending review</x:v>
      </x:c>
      <x:c r="N1431" s="71" t="str">
        <x:v>Medium</x:v>
      </x:c>
      <x:c r="O1431" s="71" t="str">
        <x:v>components/journey-local-finder.tsx</x:v>
      </x:c>
      <x:c r="P1431" s="71" t="str">
        <x:v>JourneyLocalFinder:255</x:v>
      </x:c>
      <x:c r="Q1431" s="71" t="str">
        <x:v>EN (default / shared)</x:v>
      </x:c>
      <x:c r="R1431" s="71" t="str">
        <x:v>Already clear and direct; suggested wording intentionally keeps the current copy. Dynamic traveller or trip value is represented as a token; user-generated values are excluded.</x:v>
      </x:c>
      <x:c r="S1431" s="75" t="str">
        <x:v>Not applied — review required</x:v>
      </x:c>
    </x:row>
    <x:row r="1432">
      <x:c r="A1432" s="71" t="str">
        <x:v>MRV-2C0FB2825C</x:v>
      </x:c>
      <x:c r="B1432" s="71" t="str">
        <x:v>System</x:v>
      </x:c>
      <x:c r="C1432" s="71" t="str">
        <x:v>Shared recovery / system</x:v>
      </x:c>
      <x:c r="D1432" s="71" t="str">
        <x:v>Shared</x:v>
      </x:c>
      <x:c r="E1432" s="71" t="str">
        <x:v>JourneyLocalFinder</x:v>
      </x:c>
      <x:c r="F1432" s="71" t="str">
        <x:v>Default</x:v>
      </x:c>
      <x:c r="G1432" s="71" t="str">
        <x:v>Body copy</x:v>
      </x:c>
      <x:c r="H1432" s="71" t="str">
        <x:v>Chosen {kind === "stay" ? "stay" : meal}</x:v>
      </x:c>
      <x:c r="I1432" s="71" t="str">
        <x:v>Chosen {kind === "stay" ? "stay" : meal}</x:v>
      </x:c>
      <x:c r="J1432" s="73"/>
      <x:c r="K1432" s="74" t="str">
        <x:f>IF(J1432="",H1432,IF(J1432=I1432,I1432,J1432))</x:f>
        <x:v>Chosen {kind === "stay" ? "stay" : meal}</x:v>
      </x:c>
      <x:c r="L1432" s="74" t="str">
        <x:f>IF(J1432="","Keep current",IF(J1432=I1432,"Use suggestion","Custom"))</x:f>
        <x:v>Keep current</x:v>
      </x:c>
      <x:c r="M1432" s="71" t="str">
        <x:v>Pending review</x:v>
      </x:c>
      <x:c r="N1432" s="71" t="str">
        <x:v>Normal</x:v>
      </x:c>
      <x:c r="O1432" s="71" t="str">
        <x:v>components/journey-local-finder.tsx</x:v>
      </x:c>
      <x:c r="P1432" s="71" t="str">
        <x:v>JourneyLocalFinder:255</x:v>
      </x:c>
      <x:c r="Q1432" s="71" t="str">
        <x:v>EN (default / shared)</x:v>
      </x:c>
      <x:c r="R1432" s="71" t="str">
        <x:v>Already clear and direct; suggested wording intentionally keeps the current copy. Dynamic traveller or trip value is represented as a token; user-generated values are excluded.</x:v>
      </x:c>
      <x:c r="S1432" s="75" t="str">
        <x:v>Not applied — review required</x:v>
      </x:c>
    </x:row>
    <x:row r="1433">
      <x:c r="A1433" s="71" t="str">
        <x:v>MRV-A51C3097B4</x:v>
      </x:c>
      <x:c r="B1433" s="71" t="str">
        <x:v>System</x:v>
      </x:c>
      <x:c r="C1433" s="71" t="str">
        <x:v>Shared recovery / system</x:v>
      </x:c>
      <x:c r="D1433" s="71" t="str">
        <x:v>Shared</x:v>
      </x:c>
      <x:c r="E1433" s="71" t="str">
        <x:v>JourneyLocalFinder</x:v>
      </x:c>
      <x:c r="F1433" s="71" t="str">
        <x:v>Loading / in progress</x:v>
      </x:c>
      <x:c r="G1433" s="71" t="str">
        <x:v>Label</x:v>
      </x:c>
      <x:c r="H1433" s="71" t="str">
        <x:v>In today’s plan ↑</x:v>
      </x:c>
      <x:c r="I1433" s="71" t="str">
        <x:v>In today’s plan ↑</x:v>
      </x:c>
      <x:c r="J1433" s="73"/>
      <x:c r="K1433" s="74" t="str">
        <x:f>IF(J1433="",H1433,IF(J1433=I1433,I1433,J1433))</x:f>
        <x:v>In today’s plan ↑</x:v>
      </x:c>
      <x:c r="L1433" s="74" t="str">
        <x:f>IF(J1433="","Keep current",IF(J1433=I1433,"Use suggestion","Custom"))</x:f>
        <x:v>Keep current</x:v>
      </x:c>
      <x:c r="M1433" s="71" t="str">
        <x:v>Pending review</x:v>
      </x:c>
      <x:c r="N1433" s="71" t="str">
        <x:v>Normal</x:v>
      </x:c>
      <x:c r="O1433" s="71" t="str">
        <x:v>components/journey-local-finder.tsx</x:v>
      </x:c>
      <x:c r="P1433" s="71" t="str">
        <x:v>JourneyLocalFinder:255</x:v>
      </x:c>
      <x:c r="Q1433" s="71" t="str">
        <x:v>EN (default / shared)</x:v>
      </x:c>
      <x:c r="R1433" s="71" t="str">
        <x:v>Already clear and direct; suggested wording intentionally keeps the current copy.</x:v>
      </x:c>
      <x:c r="S1433" s="75" t="str">
        <x:v>Not applied — review required</x:v>
      </x:c>
    </x:row>
    <x:row r="1434">
      <x:c r="A1434" s="71" t="str">
        <x:v>MRV-D8DBF0D148</x:v>
      </x:c>
      <x:c r="B1434" s="71" t="str">
        <x:v>System</x:v>
      </x:c>
      <x:c r="C1434" s="71" t="str">
        <x:v>Shared recovery / system</x:v>
      </x:c>
      <x:c r="D1434" s="71" t="str">
        <x:v>Shared</x:v>
      </x:c>
      <x:c r="E1434" s="71" t="str">
        <x:v>JourneyLocalFinder</x:v>
      </x:c>
      <x:c r="F1434" s="71" t="str">
        <x:v>Loading / in progress</x:v>
      </x:c>
      <x:c r="G1434" s="71" t="str">
        <x:v>Label</x:v>
      </x:c>
      <x:c r="H1434" s="71" t="str">
        <x:v>Available for your dates</x:v>
      </x:c>
      <x:c r="I1434" s="71" t="str">
        <x:v>Available for your dates</x:v>
      </x:c>
      <x:c r="J1434" s="73"/>
      <x:c r="K1434" s="74" t="str">
        <x:f>IF(J1434="",H1434,IF(J1434=I1434,I1434,J1434))</x:f>
        <x:v>Available for your dates</x:v>
      </x:c>
      <x:c r="L1434" s="74" t="str">
        <x:f>IF(J1434="","Keep current",IF(J1434=I1434,"Use suggestion","Custom"))</x:f>
        <x:v>Keep current</x:v>
      </x:c>
      <x:c r="M1434" s="71" t="str">
        <x:v>Pending review</x:v>
      </x:c>
      <x:c r="N1434" s="71" t="str">
        <x:v>Normal</x:v>
      </x:c>
      <x:c r="O1434" s="71" t="str">
        <x:v>components/journey-local-finder.tsx</x:v>
      </x:c>
      <x:c r="P1434" s="71" t="str">
        <x:v>JourneyLocalFinder:255</x:v>
      </x:c>
      <x:c r="Q1434" s="71" t="str">
        <x:v>EN (default / shared)</x:v>
      </x:c>
      <x:c r="R1434" s="71" t="str">
        <x:v>Already clear and direct; suggested wording intentionally keeps the current copy. Duplicate wording: appears 3 times.</x:v>
      </x:c>
      <x:c r="S1434" s="75" t="str">
        <x:v>Not applied — review required</x:v>
      </x:c>
    </x:row>
    <x:row r="1435">
      <x:c r="A1435" s="71" t="str">
        <x:v>MRV-591E0C62CB</x:v>
      </x:c>
      <x:c r="B1435" s="71" t="str">
        <x:v>System</x:v>
      </x:c>
      <x:c r="C1435" s="71" t="str">
        <x:v>Shared recovery / system</x:v>
      </x:c>
      <x:c r="D1435" s="71" t="str">
        <x:v>Shared</x:v>
      </x:c>
      <x:c r="E1435" s="71" t="str">
        <x:v>JourneyLocalFinder</x:v>
      </x:c>
      <x:c r="F1435" s="71" t="str">
        <x:v>Loading / in progress</x:v>
      </x:c>
      <x:c r="G1435" s="71" t="str">
        <x:v>CTA / button</x:v>
      </x:c>
      <x:c r="H1435" s="71" t="str">
        <x:v>Check availability before saving</x:v>
      </x:c>
      <x:c r="I1435" s="71" t="str">
        <x:v>Check availability before saving</x:v>
      </x:c>
      <x:c r="J1435" s="73"/>
      <x:c r="K1435" s="74" t="str">
        <x:f>IF(J1435="",H1435,IF(J1435=I1435,I1435,J1435))</x:f>
        <x:v>Check availability before saving</x:v>
      </x:c>
      <x:c r="L1435" s="74" t="str">
        <x:f>IF(J1435="","Keep current",IF(J1435=I1435,"Use suggestion","Custom"))</x:f>
        <x:v>Keep current</x:v>
      </x:c>
      <x:c r="M1435" s="71" t="str">
        <x:v>Pending review</x:v>
      </x:c>
      <x:c r="N1435" s="71" t="str">
        <x:v>Medium</x:v>
      </x:c>
      <x:c r="O1435" s="71" t="str">
        <x:v>components/journey-local-finder.tsx</x:v>
      </x:c>
      <x:c r="P1435" s="71" t="str">
        <x:v>JourneyLocalFinder:255</x:v>
      </x:c>
      <x:c r="Q1435" s="71" t="str">
        <x:v>EN (default / shared)</x:v>
      </x:c>
      <x:c r="R1435" s="71" t="str">
        <x:v>Already clear and direct; suggested wording intentionally keeps the current copy.</x:v>
      </x:c>
      <x:c r="S1435" s="75" t="str">
        <x:v>Not applied — review required</x:v>
      </x:c>
    </x:row>
    <x:row r="1436">
      <x:c r="A1436" s="71" t="str">
        <x:v>MRV-B6A9513A41</x:v>
      </x:c>
      <x:c r="B1436" s="71" t="str">
        <x:v>System</x:v>
      </x:c>
      <x:c r="C1436" s="71" t="str">
        <x:v>Shared recovery / system</x:v>
      </x:c>
      <x:c r="D1436" s="71" t="str">
        <x:v>Shared</x:v>
      </x:c>
      <x:c r="E1436" s="71" t="str">
        <x:v>JourneyLocalFinder</x:v>
      </x:c>
      <x:c r="F1436" s="71" t="str">
        <x:v>Loading / in progress</x:v>
      </x:c>
      <x:c r="G1436" s="71" t="str">
        <x:v>CTA / button</x:v>
      </x:c>
      <x:c r="H1436" s="71" t="str">
        <x:v>Check before saving</x:v>
      </x:c>
      <x:c r="I1436" s="71" t="str">
        <x:v>Check before saving</x:v>
      </x:c>
      <x:c r="J1436" s="73"/>
      <x:c r="K1436" s="74" t="str">
        <x:f>IF(J1436="",H1436,IF(J1436=I1436,I1436,J1436))</x:f>
        <x:v>Check before saving</x:v>
      </x:c>
      <x:c r="L1436" s="74" t="str">
        <x:f>IF(J1436="","Keep current",IF(J1436=I1436,"Use suggestion","Custom"))</x:f>
        <x:v>Keep current</x:v>
      </x:c>
      <x:c r="M1436" s="71" t="str">
        <x:v>Pending review</x:v>
      </x:c>
      <x:c r="N1436" s="71" t="str">
        <x:v>Medium</x:v>
      </x:c>
      <x:c r="O1436" s="71" t="str">
        <x:v>components/journey-local-finder.tsx</x:v>
      </x:c>
      <x:c r="P1436" s="71" t="str">
        <x:v>JourneyLocalFinder:255</x:v>
      </x:c>
      <x:c r="Q1436" s="71" t="str">
        <x:v>EN (default / shared)</x:v>
      </x:c>
      <x:c r="R1436" s="71" t="str">
        <x:v>Already clear and direct; suggested wording intentionally keeps the current copy.</x:v>
      </x:c>
      <x:c r="S1436" s="75" t="str">
        <x:v>Not applied — review required</x:v>
      </x:c>
    </x:row>
    <x:row r="1437">
      <x:c r="A1437" s="71" t="str">
        <x:v>MRV-F4E708A2C0</x:v>
      </x:c>
      <x:c r="B1437" s="71" t="str">
        <x:v>System</x:v>
      </x:c>
      <x:c r="C1437" s="71" t="str">
        <x:v>Shared recovery / system</x:v>
      </x:c>
      <x:c r="D1437" s="71" t="str">
        <x:v>Shared</x:v>
      </x:c>
      <x:c r="E1437" s="71" t="str">
        <x:v>JourneyLocalFinder</x:v>
      </x:c>
      <x:c r="F1437" s="71" t="str">
        <x:v>Default</x:v>
      </x:c>
      <x:c r="G1437" s="71" t="str">
        <x:v>Body copy</x:v>
      </x:c>
      <x:c r="H1437" s="71" t="str">
        <x:v>A matching room product is available for your selected dates{chosen.price ? ` from {chosen.price.currency} {chosen.price.total.toFixed(0)}` : ""}. Confirm the final room, cancellation terms and total directly with Booking.com.</x:v>
      </x:c>
      <x:c r="I1437" s="71" t="str">
        <x:v>A matching room product is available for your selected dates{chosen.price ? ` from {chosen.price.currency} {chosen.price.total.toFixed(0)}` : ""}. Confirm the final room, cancellation terms and total directly with Booking.com.</x:v>
      </x:c>
      <x:c r="J1437" s="73"/>
      <x:c r="K1437" s="74" t="str">
        <x:f>IF(J1437="",H1437,IF(J1437=I1437,I1437,J1437))</x:f>
        <x:v>A matching room product is available for your selected dates{chosen.price ? ` from {chosen.price.currency} {chosen.price.total.toFixed(0)}` : ""}. Confirm the final room, cancellation terms and total directly with Booking.com.</x:v>
      </x:c>
      <x:c r="L1437" s="74" t="str">
        <x:f>IF(J1437="","Keep current",IF(J1437=I1437,"Use suggestion","Custom"))</x:f>
        <x:v>Keep current</x:v>
      </x:c>
      <x:c r="M1437" s="71" t="str">
        <x:v>Pending review</x:v>
      </x:c>
      <x:c r="N1437" s="71" t="str">
        <x:v>Normal</x:v>
      </x:c>
      <x:c r="O1437" s="71" t="str">
        <x:v>components/journey-local-finder.tsx</x:v>
      </x:c>
      <x:c r="P1437" s="71" t="str">
        <x:v>JourneyLocalFinder:255</x:v>
      </x:c>
      <x:c r="Q1437" s="71" t="str">
        <x:v>EN (default / shared)</x:v>
      </x:c>
      <x:c r="R1437" s="71" t="str">
        <x:v>Already clear and direct; suggested wording intentionally keeps the current copy. Dynamic traveller or trip value is represented as a token; user-generated values are excluded.</x:v>
      </x:c>
      <x:c r="S1437" s="75" t="str">
        <x:v>Not applied — review required</x:v>
      </x:c>
    </x:row>
    <x:row r="1438">
      <x:c r="A1438" s="71" t="str">
        <x:v>MRV-FA5824CFC4</x:v>
      </x:c>
      <x:c r="B1438" s="71" t="str">
        <x:v>System</x:v>
      </x:c>
      <x:c r="C1438" s="71" t="str">
        <x:v>Shared recovery / system</x:v>
      </x:c>
      <x:c r="D1438" s="71" t="str">
        <x:v>Shared</x:v>
      </x:c>
      <x:c r="E1438" s="71" t="str">
        <x:v>JourneyLocalFinder</x:v>
      </x:c>
      <x:c r="F1438" s="71" t="str">
        <x:v>Default</x:v>
      </x:c>
      <x:c r="G1438" s="71" t="str">
        <x:v>Body copy</x:v>
      </x:c>
      <x:c r="H1438" s="71" t="str">
        <x:v>from {chosen.price.currency} {chosen.price.total.toFixed(0)}</x:v>
      </x:c>
      <x:c r="I1438" s="71" t="str">
        <x:v>from {chosen.price.currency} {chosen.price.total.toFixed(0)}</x:v>
      </x:c>
      <x:c r="J1438" s="73"/>
      <x:c r="K1438" s="74" t="str">
        <x:f>IF(J1438="",H1438,IF(J1438=I1438,I1438,J1438))</x:f>
        <x:v>from {chosen.price.currency} {chosen.price.total.toFixed(0)}</x:v>
      </x:c>
      <x:c r="L1438" s="74" t="str">
        <x:f>IF(J1438="","Keep current",IF(J1438=I1438,"Use suggestion","Custom"))</x:f>
        <x:v>Keep current</x:v>
      </x:c>
      <x:c r="M1438" s="71" t="str">
        <x:v>Pending review</x:v>
      </x:c>
      <x:c r="N1438" s="71" t="str">
        <x:v>Normal</x:v>
      </x:c>
      <x:c r="O1438" s="71" t="str">
        <x:v>components/journey-local-finder.tsx</x:v>
      </x:c>
      <x:c r="P1438" s="71" t="str">
        <x:v>JourneyLocalFinder:255</x:v>
      </x:c>
      <x:c r="Q1438" s="71" t="str">
        <x:v>EN (default / shared)</x:v>
      </x:c>
      <x:c r="R1438" s="71" t="str">
        <x:v>Already clear and direct; suggested wording intentionally keeps the current copy. Dynamic traveller or trip value is represented as a token; user-generated values are excluded.</x:v>
      </x:c>
      <x:c r="S1438" s="75" t="str">
        <x:v>Not applied — review required</x:v>
      </x:c>
    </x:row>
    <x:row r="1439">
      <x:c r="A1439" s="71" t="str">
        <x:v>MRV-B4E7B269E1</x:v>
      </x:c>
      <x:c r="B1439" s="71" t="str">
        <x:v>System</x:v>
      </x:c>
      <x:c r="C1439" s="71" t="str">
        <x:v>Shared recovery / system</x:v>
      </x:c>
      <x:c r="D1439" s="71" t="str">
        <x:v>Shared</x:v>
      </x:c>
      <x:c r="E1439" s="71" t="str">
        <x:v>JourneyLocalFinder</x:v>
      </x:c>
      <x:c r="F1439" s="71" t="str">
        <x:v>Default</x:v>
      </x:c>
      <x:c r="G1439" s="71" t="str">
        <x:v>Body copy</x:v>
      </x:c>
      <x:c r="H1439" s="71" t="str">
        <x:v>{chosen.provider === "google-places" ? "Operational property confirmed" : "Mapped property; operating status unverified"}. Check rooms and price for your dates before booking.</x:v>
      </x:c>
      <x:c r="I1439" s="71" t="str">
        <x:v>{chosen.provider === "google-places" ? "Operational property confirmed" : "Mapped property; operating status unverified"}. Check rooms and price for your dates before booking.</x:v>
      </x:c>
      <x:c r="J1439" s="73"/>
      <x:c r="K1439" s="74" t="str">
        <x:f>IF(J1439="",H1439,IF(J1439=I1439,I1439,J1439))</x:f>
        <x:v>{chosen.provider === "google-places" ? "Operational property confirmed" : "Mapped property; operating status unverified"}. Check rooms and price for your dates before booking.</x:v>
      </x:c>
      <x:c r="L1439" s="74" t="str">
        <x:f>IF(J1439="","Keep current",IF(J1439=I1439,"Use suggestion","Custom"))</x:f>
        <x:v>Keep current</x:v>
      </x:c>
      <x:c r="M1439" s="71" t="str">
        <x:v>Pending review</x:v>
      </x:c>
      <x:c r="N1439" s="71" t="str">
        <x:v>Normal</x:v>
      </x:c>
      <x:c r="O1439" s="71" t="str">
        <x:v>components/journey-local-finder.tsx</x:v>
      </x:c>
      <x:c r="P1439" s="71" t="str">
        <x:v>JourneyLocalFinder:255</x:v>
      </x:c>
      <x:c r="Q1439" s="71" t="str">
        <x:v>EN (default / shared)</x:v>
      </x:c>
      <x:c r="R143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39" s="75" t="str">
        <x:v>Not applied — review required</x:v>
      </x:c>
    </x:row>
    <x:row r="1440">
      <x:c r="A1440" s="71" t="str">
        <x:v>MRV-D12B7658E4</x:v>
      </x:c>
      <x:c r="B1440" s="71" t="str">
        <x:v>System</x:v>
      </x:c>
      <x:c r="C1440" s="71" t="str">
        <x:v>Shared recovery / system</x:v>
      </x:c>
      <x:c r="D1440" s="71" t="str">
        <x:v>Shared</x:v>
      </x:c>
      <x:c r="E1440" s="71" t="str">
        <x:v>JourneyLocalFinder</x:v>
      </x:c>
      <x:c r="F1440" s="71" t="str">
        <x:v>Default</x:v>
      </x:c>
      <x:c r="G1440" s="71" t="str">
        <x:v>Body copy</x:v>
      </x:c>
      <x:c r="H1440" s="71" t="str">
        <x:v>Operational property confirmed</x:v>
      </x:c>
      <x:c r="I1440" s="71" t="str">
        <x:v>Operational property confirmed</x:v>
      </x:c>
      <x:c r="J1440" s="73"/>
      <x:c r="K1440" s="74" t="str">
        <x:f>IF(J1440="",H1440,IF(J1440=I1440,I1440,J1440))</x:f>
        <x:v>Operational property confirmed</x:v>
      </x:c>
      <x:c r="L1440" s="74" t="str">
        <x:f>IF(J1440="","Keep current",IF(J1440=I1440,"Use suggestion","Custom"))</x:f>
        <x:v>Keep current</x:v>
      </x:c>
      <x:c r="M1440" s="71" t="str">
        <x:v>Pending review</x:v>
      </x:c>
      <x:c r="N1440" s="71" t="str">
        <x:v>Normal</x:v>
      </x:c>
      <x:c r="O1440" s="71" t="str">
        <x:v>components/journey-local-finder.tsx</x:v>
      </x:c>
      <x:c r="P1440" s="71" t="str">
        <x:v>JourneyLocalFinder:255</x:v>
      </x:c>
      <x:c r="Q1440" s="71" t="str">
        <x:v>EN (default / shared)</x:v>
      </x:c>
      <x:c r="R1440" s="71" t="str">
        <x:v>Already clear and direct; suggested wording intentionally keeps the current copy.</x:v>
      </x:c>
      <x:c r="S1440" s="75" t="str">
        <x:v>Not applied — review required</x:v>
      </x:c>
    </x:row>
    <x:row r="1441">
      <x:c r="A1441" s="71" t="str">
        <x:v>MRV-3F37898D54</x:v>
      </x:c>
      <x:c r="B1441" s="71" t="str">
        <x:v>System</x:v>
      </x:c>
      <x:c r="C1441" s="71" t="str">
        <x:v>Shared recovery / system</x:v>
      </x:c>
      <x:c r="D1441" s="71" t="str">
        <x:v>Shared</x:v>
      </x:c>
      <x:c r="E1441" s="71" t="str">
        <x:v>JourneyLocalFinder</x:v>
      </x:c>
      <x:c r="F1441" s="71" t="str">
        <x:v>Default</x:v>
      </x:c>
      <x:c r="G1441" s="71" t="str">
        <x:v>Body copy</x:v>
      </x:c>
      <x:c r="H1441" s="71" t="str">
        <x:v>Mapped property; operating status unverified</x:v>
      </x:c>
      <x:c r="I1441" s="71" t="str">
        <x:v>Mapped property; operating status unverified</x:v>
      </x:c>
      <x:c r="J1441" s="73"/>
      <x:c r="K1441" s="74" t="str">
        <x:f>IF(J1441="",H1441,IF(J1441=I1441,I1441,J1441))</x:f>
        <x:v>Mapped property; operating status unverified</x:v>
      </x:c>
      <x:c r="L1441" s="74" t="str">
        <x:f>IF(J1441="","Keep current",IF(J1441=I1441,"Use suggestion","Custom"))</x:f>
        <x:v>Keep current</x:v>
      </x:c>
      <x:c r="M1441" s="71" t="str">
        <x:v>Pending review</x:v>
      </x:c>
      <x:c r="N1441" s="71" t="str">
        <x:v>Normal</x:v>
      </x:c>
      <x:c r="O1441" s="71" t="str">
        <x:v>components/journey-local-finder.tsx</x:v>
      </x:c>
      <x:c r="P1441" s="71" t="str">
        <x:v>JourneyLocalFinder:255</x:v>
      </x:c>
      <x:c r="Q1441" s="71" t="str">
        <x:v>EN (default / shared)</x:v>
      </x:c>
      <x:c r="R1441" s="71" t="str">
        <x:v>Already clear and direct; suggested wording intentionally keeps the current copy.</x:v>
      </x:c>
      <x:c r="S1441" s="75" t="str">
        <x:v>Not applied — review required</x:v>
      </x:c>
    </x:row>
    <x:row r="1442">
      <x:c r="A1442" s="71" t="str">
        <x:v>MRV-98228C9568</x:v>
      </x:c>
      <x:c r="B1442" s="71" t="str">
        <x:v>System</x:v>
      </x:c>
      <x:c r="C1442" s="71" t="str">
        <x:v>Shared recovery / system</x:v>
      </x:c>
      <x:c r="D1442" s="71" t="str">
        <x:v>Shared</x:v>
      </x:c>
      <x:c r="E1442" s="71" t="str">
        <x:v>JourneyLocalFinder</x:v>
      </x:c>
      <x:c r="F1442" s="71" t="str">
        <x:v>Default</x:v>
      </x:c>
      <x:c r="G1442" s="71" t="str">
        <x:v>Body copy</x:v>
      </x:c>
      <x:c r="H1442" s="71" t="str">
        <x:v>{recommendNearbyPlace(chosen, { kind, moment, mood, pace, profile }).reasons.join(" · ")}. This is a mapped recommendation, not a live availability or opening-hours claim.</x:v>
      </x:c>
      <x:c r="I1442" s="71" t="str">
        <x:v>{recommendNearbyPlace(chosen, { kind, moment, mood, pace, profile }).reasons.join(" · ")}. This is a mapped recommendation, not a live availability or opening-hours claim.</x:v>
      </x:c>
      <x:c r="J1442" s="73"/>
      <x:c r="K1442" s="74" t="str">
        <x:f>IF(J1442="",H1442,IF(J1442=I1442,I1442,J1442))</x:f>
        <x:v>{recommendNearbyPlace(chosen, { kind, moment, mood, pace, profile }).reasons.join(" · ")}. This is a mapped recommendation, not a live availability or opening-hours claim.</x:v>
      </x:c>
      <x:c r="L1442" s="74" t="str">
        <x:f>IF(J1442="","Keep current",IF(J1442=I1442,"Use suggestion","Custom"))</x:f>
        <x:v>Keep current</x:v>
      </x:c>
      <x:c r="M1442" s="71" t="str">
        <x:v>Pending review</x:v>
      </x:c>
      <x:c r="N1442" s="71" t="str">
        <x:v>Normal</x:v>
      </x:c>
      <x:c r="O1442" s="71" t="str">
        <x:v>components/journey-local-finder.tsx</x:v>
      </x:c>
      <x:c r="P1442" s="71" t="str">
        <x:v>JourneyLocalFinder:255</x:v>
      </x:c>
      <x:c r="Q1442" s="71" t="str">
        <x:v>EN (default / shared)</x:v>
      </x:c>
      <x:c r="R1442" s="71" t="str">
        <x:v>Already clear and direct; suggested wording intentionally keeps the current copy. Dynamic traveller or trip value is represented as a token; user-generated values are excluded.</x:v>
      </x:c>
      <x:c r="S1442" s="75" t="str">
        <x:v>Not applied — review required</x:v>
      </x:c>
    </x:row>
    <x:row r="1443">
      <x:c r="A1443" s="71" t="str">
        <x:v>MRV-985D955DAF</x:v>
      </x:c>
      <x:c r="B1443" s="71" t="str">
        <x:v>System</x:v>
      </x:c>
      <x:c r="C1443" s="71" t="str">
        <x:v>Shared recovery / system</x:v>
      </x:c>
      <x:c r="D1443" s="71" t="str">
        <x:v>Shared</x:v>
      </x:c>
      <x:c r="E1443" s="71" t="str">
        <x:v>JourneyLocalFinder</x:v>
      </x:c>
      <x:c r="F1443" s="71" t="str">
        <x:v>Default</x:v>
      </x:c>
      <x:c r="G1443" s="71" t="str">
        <x:v>CTA / button</x:v>
      </x:c>
      <x:c r="H1443" s="71" t="str">
        <x:v>View on map</x:v>
      </x:c>
      <x:c r="I1443" s="71" t="str">
        <x:v>View on map</x:v>
      </x:c>
      <x:c r="J1443" s="73"/>
      <x:c r="K1443" s="74" t="str">
        <x:f>IF(J1443="",H1443,IF(J1443=I1443,I1443,J1443))</x:f>
        <x:v>View on map</x:v>
      </x:c>
      <x:c r="L1443" s="74" t="str">
        <x:f>IF(J1443="","Keep current",IF(J1443=I1443,"Use suggestion","Custom"))</x:f>
        <x:v>Keep current</x:v>
      </x:c>
      <x:c r="M1443" s="71" t="str">
        <x:v>Pending review</x:v>
      </x:c>
      <x:c r="N1443" s="71" t="str">
        <x:v>Medium</x:v>
      </x:c>
      <x:c r="O1443" s="71" t="str">
        <x:v>components/journey-local-finder.tsx</x:v>
      </x:c>
      <x:c r="P1443" s="71" t="str">
        <x:v>JourneyLocalFinder:255</x:v>
      </x:c>
      <x:c r="Q1443" s="71" t="str">
        <x:v>EN (default / shared)</x:v>
      </x:c>
      <x:c r="R1443" s="71" t="str">
        <x:v>Already clear and direct; suggested wording intentionally keeps the current copy.</x:v>
      </x:c>
      <x:c r="S1443" s="75" t="str">
        <x:v>Not applied — review required</x:v>
      </x:c>
    </x:row>
    <x:row r="1444">
      <x:c r="A1444" s="71" t="str">
        <x:v>MRV-E7360A3868</x:v>
      </x:c>
      <x:c r="B1444" s="71" t="str">
        <x:v>System</x:v>
      </x:c>
      <x:c r="C1444" s="71" t="str">
        <x:v>Shared recovery / system</x:v>
      </x:c>
      <x:c r="D1444" s="71" t="str">
        <x:v>Shared</x:v>
      </x:c>
      <x:c r="E1444" s="71" t="str">
        <x:v>JourneyLocalFinder</x:v>
      </x:c>
      <x:c r="F1444" s="71" t="str">
        <x:v>Default</x:v>
      </x:c>
      <x:c r="G1444" s="71" t="str">
        <x:v>CTA / button</x:v>
      </x:c>
      <x:c r="H1444" s="71" t="str">
        <x:v>Open in Maps</x:v>
      </x:c>
      <x:c r="I1444" s="71" t="str">
        <x:v>Open in Maps</x:v>
      </x:c>
      <x:c r="J1444" s="73"/>
      <x:c r="K1444" s="74" t="str">
        <x:f>IF(J1444="",H1444,IF(J1444=I1444,I1444,J1444))</x:f>
        <x:v>Open in Maps</x:v>
      </x:c>
      <x:c r="L1444" s="74" t="str">
        <x:f>IF(J1444="","Keep current",IF(J1444=I1444,"Use suggestion","Custom"))</x:f>
        <x:v>Keep current</x:v>
      </x:c>
      <x:c r="M1444" s="71" t="str">
        <x:v>Pending review</x:v>
      </x:c>
      <x:c r="N1444" s="71" t="str">
        <x:v>Medium</x:v>
      </x:c>
      <x:c r="O1444" s="71" t="str">
        <x:v>components/journey-local-finder.tsx</x:v>
      </x:c>
      <x:c r="P1444" s="71" t="str">
        <x:v>JourneyLocalFinder:255</x:v>
      </x:c>
      <x:c r="Q1444" s="71" t="str">
        <x:v>EN (default / shared)</x:v>
      </x:c>
      <x:c r="R1444" s="71" t="str">
        <x:v>Already clear and direct; suggested wording intentionally keeps the current copy. Duplicate wording: appears 2 times.</x:v>
      </x:c>
      <x:c r="S1444" s="75" t="str">
        <x:v>Not applied — review required</x:v>
      </x:c>
    </x:row>
    <x:row r="1445">
      <x:c r="A1445" s="71" t="str">
        <x:v>MRV-A59A7F147C</x:v>
      </x:c>
      <x:c r="B1445" s="71" t="str">
        <x:v>System</x:v>
      </x:c>
      <x:c r="C1445" s="71" t="str">
        <x:v>Shared recovery / system</x:v>
      </x:c>
      <x:c r="D1445" s="71" t="str">
        <x:v>Shared</x:v>
      </x:c>
      <x:c r="E1445" s="71" t="str">
        <x:v>JourneyLocalFinder</x:v>
      </x:c>
      <x:c r="F1445" s="71" t="str">
        <x:v>Default</x:v>
      </x:c>
      <x:c r="G1445" s="71" t="str">
        <x:v>CTA / button</x:v>
      </x:c>
      <x:c r="H1445" s="71" t="str">
        <x:v>View available room</x:v>
      </x:c>
      <x:c r="I1445" s="71" t="str">
        <x:v>View available room</x:v>
      </x:c>
      <x:c r="J1445" s="73"/>
      <x:c r="K1445" s="74" t="str">
        <x:f>IF(J1445="",H1445,IF(J1445=I1445,I1445,J1445))</x:f>
        <x:v>View available room</x:v>
      </x:c>
      <x:c r="L1445" s="74" t="str">
        <x:f>IF(J1445="","Keep current",IF(J1445=I1445,"Use suggestion","Custom"))</x:f>
        <x:v>Keep current</x:v>
      </x:c>
      <x:c r="M1445" s="71" t="str">
        <x:v>Pending review</x:v>
      </x:c>
      <x:c r="N1445" s="71" t="str">
        <x:v>Medium</x:v>
      </x:c>
      <x:c r="O1445" s="71" t="str">
        <x:v>components/journey-local-finder.tsx</x:v>
      </x:c>
      <x:c r="P1445" s="71" t="str">
        <x:v>JourneyLocalFinder:255</x:v>
      </x:c>
      <x:c r="Q1445" s="71" t="str">
        <x:v>EN (default / shared)</x:v>
      </x:c>
      <x:c r="R1445" s="71" t="str">
        <x:v>Already clear and direct; suggested wording intentionally keeps the current copy.</x:v>
      </x:c>
      <x:c r="S1445" s="75" t="str">
        <x:v>Not applied — review required</x:v>
      </x:c>
    </x:row>
    <x:row r="1446">
      <x:c r="A1446" s="71" t="str">
        <x:v>MRV-5B92762C43</x:v>
      </x:c>
      <x:c r="B1446" s="71" t="str">
        <x:v>System</x:v>
      </x:c>
      <x:c r="C1446" s="71" t="str">
        <x:v>Shared recovery / system</x:v>
      </x:c>
      <x:c r="D1446" s="71" t="str">
        <x:v>Shared</x:v>
      </x:c>
      <x:c r="E1446" s="71" t="str">
        <x:v>JourneyLocalFinder</x:v>
      </x:c>
      <x:c r="F1446" s="71" t="str">
        <x:v>Default</x:v>
      </x:c>
      <x:c r="G1446" s="71" t="str">
        <x:v>CTA / button</x:v>
      </x:c>
      <x:c r="H1446" s="71" t="str">
        <x:v>Check availability</x:v>
      </x:c>
      <x:c r="I1446" s="71" t="str">
        <x:v>Check availability</x:v>
      </x:c>
      <x:c r="J1446" s="73"/>
      <x:c r="K1446" s="74" t="str">
        <x:f>IF(J1446="",H1446,IF(J1446=I1446,I1446,J1446))</x:f>
        <x:v>Check availability</x:v>
      </x:c>
      <x:c r="L1446" s="74" t="str">
        <x:f>IF(J1446="","Keep current",IF(J1446=I1446,"Use suggestion","Custom"))</x:f>
        <x:v>Keep current</x:v>
      </x:c>
      <x:c r="M1446" s="71" t="str">
        <x:v>Pending review</x:v>
      </x:c>
      <x:c r="N1446" s="71" t="str">
        <x:v>Medium</x:v>
      </x:c>
      <x:c r="O1446" s="71" t="str">
        <x:v>components/journey-local-finder.tsx</x:v>
      </x:c>
      <x:c r="P1446" s="71" t="str">
        <x:v>JourneyLocalFinder:255</x:v>
      </x:c>
      <x:c r="Q1446" s="71" t="str">
        <x:v>EN (default / shared)</x:v>
      </x:c>
      <x:c r="R1446" s="71" t="str">
        <x:v>Already clear and direct; suggested wording intentionally keeps the current copy.</x:v>
      </x:c>
      <x:c r="S1446" s="75" t="str">
        <x:v>Not applied — review required</x:v>
      </x:c>
    </x:row>
    <x:row r="1447">
      <x:c r="A1447" s="71" t="str">
        <x:v>MRV-B4F6B27DFA</x:v>
      </x:c>
      <x:c r="B1447" s="71" t="str">
        <x:v>System</x:v>
      </x:c>
      <x:c r="C1447" s="71" t="str">
        <x:v>Shared recovery / system</x:v>
      </x:c>
      <x:c r="D1447" s="71" t="str">
        <x:v>Shared</x:v>
      </x:c>
      <x:c r="E1447" s="71" t="str">
        <x:v>JourneyLocalFinder</x:v>
      </x:c>
      <x:c r="F1447" s="71" t="str">
        <x:v>Default</x:v>
      </x:c>
      <x:c r="G1447" s="71" t="str">
        <x:v>Body copy</x:v>
      </x:c>
      <x:c r="H1447" s="71" t="str">
        <x:v>Partner link · Morrovia may earn a commission at no extra cost to you.</x:v>
      </x:c>
      <x:c r="I1447" s="71" t="str">
        <x:v>Partner link · Morrovia may earn a commission at no extra cost to you.</x:v>
      </x:c>
      <x:c r="J1447" s="73"/>
      <x:c r="K1447" s="74" t="str">
        <x:f>IF(J1447="",H1447,IF(J1447=I1447,I1447,J1447))</x:f>
        <x:v>Partner link · Morrovia may earn a commission at no extra cost to you.</x:v>
      </x:c>
      <x:c r="L1447" s="74" t="str">
        <x:f>IF(J1447="","Keep current",IF(J1447=I1447,"Use suggestion","Custom"))</x:f>
        <x:v>Keep current</x:v>
      </x:c>
      <x:c r="M1447" s="71" t="str">
        <x:v>Pending review</x:v>
      </x:c>
      <x:c r="N1447" s="71" t="str">
        <x:v>Normal</x:v>
      </x:c>
      <x:c r="O1447" s="71" t="str">
        <x:v>components/journey-local-finder.tsx</x:v>
      </x:c>
      <x:c r="P1447" s="71" t="str">
        <x:v>JourneyLocalFinder:255</x:v>
      </x:c>
      <x:c r="Q1447" s="71" t="str">
        <x:v>EN (default / shared)</x:v>
      </x:c>
      <x:c r="R1447" s="71" t="str">
        <x:v>Already clear and direct; suggested wording intentionally keeps the current copy.</x:v>
      </x:c>
      <x:c r="S1447" s="75" t="str">
        <x:v>Not applied — review required</x:v>
      </x:c>
    </x:row>
    <x:row r="1448">
      <x:c r="A1448" s="71" t="str">
        <x:v>MRV-08B3A9BAC5</x:v>
      </x:c>
      <x:c r="B1448" s="71" t="str">
        <x:v>System</x:v>
      </x:c>
      <x:c r="C1448" s="71" t="str">
        <x:v>Shared recovery / system</x:v>
      </x:c>
      <x:c r="D1448" s="71" t="str">
        <x:v>Shared</x:v>
      </x:c>
      <x:c r="E1448" s="71" t="str">
        <x:v>JourneyLocalFinder</x:v>
      </x:c>
      <x:c r="F1448" s="71" t="str">
        <x:v>Default</x:v>
      </x:c>
      <x:c r="G1448" s="71" t="str">
        <x:v>CTA / button</x:v>
      </x:c>
      <x:c r="H1448" s="71" t="str">
        <x:v>Saved to itinerary</x:v>
      </x:c>
      <x:c r="I1448" s="71" t="str">
        <x:v>Saved to itinerary</x:v>
      </x:c>
      <x:c r="J1448" s="73"/>
      <x:c r="K1448" s="74" t="str">
        <x:f>IF(J1448="",H1448,IF(J1448=I1448,I1448,J1448))</x:f>
        <x:v>Saved to itinerary</x:v>
      </x:c>
      <x:c r="L1448" s="74" t="str">
        <x:f>IF(J1448="","Keep current",IF(J1448=I1448,"Use suggestion","Custom"))</x:f>
        <x:v>Keep current</x:v>
      </x:c>
      <x:c r="M1448" s="71" t="str">
        <x:v>Pending review</x:v>
      </x:c>
      <x:c r="N1448" s="71" t="str">
        <x:v>Medium</x:v>
      </x:c>
      <x:c r="O1448" s="71" t="str">
        <x:v>components/journey-local-finder.tsx</x:v>
      </x:c>
      <x:c r="P1448" s="71" t="str">
        <x:v>JourneyLocalFinder:255</x:v>
      </x:c>
      <x:c r="Q1448" s="71" t="str">
        <x:v>EN (default / shared)</x:v>
      </x:c>
      <x:c r="R1448" s="71" t="str">
        <x:v>Already clear and direct; suggested wording intentionally keeps the current copy. Duplicate wording: appears 2 times.</x:v>
      </x:c>
      <x:c r="S1448" s="75" t="str">
        <x:v>Not applied — review required</x:v>
      </x:c>
    </x:row>
    <x:row r="1449">
      <x:c r="A1449" s="71" t="str">
        <x:v>MRV-90C4544F7C</x:v>
      </x:c>
      <x:c r="B1449" s="71" t="str">
        <x:v>System</x:v>
      </x:c>
      <x:c r="C1449" s="71" t="str">
        <x:v>Shared recovery / system</x:v>
      </x:c>
      <x:c r="D1449" s="71" t="str">
        <x:v>Shared</x:v>
      </x:c>
      <x:c r="E1449" s="71" t="str">
        <x:v>JourneyLocalFinder</x:v>
      </x:c>
      <x:c r="F1449" s="71" t="str">
        <x:v>Default</x:v>
      </x:c>
      <x:c r="G1449" s="71" t="str">
        <x:v>CTA / button</x:v>
      </x:c>
      <x:c r="H1449" s="71" t="str">
        <x:v>Add {kind === "stay" ? "stay" : "to today"}</x:v>
      </x:c>
      <x:c r="I1449" s="71" t="str">
        <x:v>Add {kind === "stay" ? "stay" : "to today"}</x:v>
      </x:c>
      <x:c r="J1449" s="73"/>
      <x:c r="K1449" s="74" t="str">
        <x:f>IF(J1449="",H1449,IF(J1449=I1449,I1449,J1449))</x:f>
        <x:v>Add {kind === "stay" ? "stay" : "to today"}</x:v>
      </x:c>
      <x:c r="L1449" s="74" t="str">
        <x:f>IF(J1449="","Keep current",IF(J1449=I1449,"Use suggestion","Custom"))</x:f>
        <x:v>Keep current</x:v>
      </x:c>
      <x:c r="M1449" s="71" t="str">
        <x:v>Pending review</x:v>
      </x:c>
      <x:c r="N1449" s="71" t="str">
        <x:v>Medium</x:v>
      </x:c>
      <x:c r="O1449" s="71" t="str">
        <x:v>components/journey-local-finder.tsx</x:v>
      </x:c>
      <x:c r="P1449" s="71" t="str">
        <x:v>JourneyLocalFinder:255</x:v>
      </x:c>
      <x:c r="Q1449" s="71" t="str">
        <x:v>EN (default / shared)</x:v>
      </x:c>
      <x:c r="R1449" s="71" t="str">
        <x:v>Already clear and direct; suggested wording intentionally keeps the current copy. Dynamic traveller or trip value is represented as a token; user-generated values are excluded.</x:v>
      </x:c>
      <x:c r="S1449" s="75" t="str">
        <x:v>Not applied — review required</x:v>
      </x:c>
    </x:row>
    <x:row r="1450">
      <x:c r="A1450" s="71" t="str">
        <x:v>MRV-3349ACC303</x:v>
      </x:c>
      <x:c r="B1450" s="71" t="str">
        <x:v>System</x:v>
      </x:c>
      <x:c r="C1450" s="71" t="str">
        <x:v>Shared recovery / system</x:v>
      </x:c>
      <x:c r="D1450" s="71" t="str">
        <x:v>Shared</x:v>
      </x:c>
      <x:c r="E1450" s="71" t="str">
        <x:v>JourneyLocalFinder</x:v>
      </x:c>
      <x:c r="F1450" s="71" t="str">
        <x:v>Default</x:v>
      </x:c>
      <x:c r="G1450" s="71" t="str">
        <x:v>Label</x:v>
      </x:c>
      <x:c r="H1450" s="71" t="str">
        <x:v>to today</x:v>
      </x:c>
      <x:c r="I1450" s="71" t="str">
        <x:v>to today</x:v>
      </x:c>
      <x:c r="J1450" s="73"/>
      <x:c r="K1450" s="74" t="str">
        <x:f>IF(J1450="",H1450,IF(J1450=I1450,I1450,J1450))</x:f>
        <x:v>to today</x:v>
      </x:c>
      <x:c r="L1450" s="74" t="str">
        <x:f>IF(J1450="","Keep current",IF(J1450=I1450,"Use suggestion","Custom"))</x:f>
        <x:v>Keep current</x:v>
      </x:c>
      <x:c r="M1450" s="71" t="str">
        <x:v>Pending review</x:v>
      </x:c>
      <x:c r="N1450" s="71" t="str">
        <x:v>Normal</x:v>
      </x:c>
      <x:c r="O1450" s="71" t="str">
        <x:v>components/journey-local-finder.tsx</x:v>
      </x:c>
      <x:c r="P1450" s="71" t="str">
        <x:v>JourneyLocalFinder:255</x:v>
      </x:c>
      <x:c r="Q1450" s="71" t="str">
        <x:v>EN (default / shared)</x:v>
      </x:c>
      <x:c r="R1450" s="71" t="str">
        <x:v>Already clear and direct; suggested wording intentionally keeps the current copy.</x:v>
      </x:c>
      <x:c r="S1450" s="75" t="str">
        <x:v>Not applied — review required</x:v>
      </x:c>
    </x:row>
    <x:row r="1451">
      <x:c r="A1451" s="71" t="str">
        <x:v>MRV-4EC732DB61</x:v>
      </x:c>
      <x:c r="B1451" s="71" t="str">
        <x:v>System</x:v>
      </x:c>
      <x:c r="C1451" s="71" t="str">
        <x:v>Shared recovery / system</x:v>
      </x:c>
      <x:c r="D1451" s="71" t="str">
        <x:v>Shared</x:v>
      </x:c>
      <x:c r="E1451" s="71" t="str">
        <x:v>JourneyLocalFinder</x:v>
      </x:c>
      <x:c r="F1451" s="71" t="str">
        <x:v>Accessibility / input support</x:v>
      </x:c>
      <x:c r="G1451" s="71" t="str">
        <x:v>Accessibility label</x:v>
      </x:c>
      <x:c r="H1451" s="71" t="str">
        <x:v>Change selection</x:v>
      </x:c>
      <x:c r="I1451" s="71" t="str">
        <x:v>Change selection</x:v>
      </x:c>
      <x:c r="J1451" s="73"/>
      <x:c r="K1451" s="74" t="str">
        <x:f>IF(J1451="",H1451,IF(J1451=I1451,I1451,J1451))</x:f>
        <x:v>Change selection</x:v>
      </x:c>
      <x:c r="L1451" s="74" t="str">
        <x:f>IF(J1451="","Keep current",IF(J1451=I1451,"Use suggestion","Custom"))</x:f>
        <x:v>Keep current</x:v>
      </x:c>
      <x:c r="M1451" s="71" t="str">
        <x:v>Pending review</x:v>
      </x:c>
      <x:c r="N1451" s="71" t="str">
        <x:v>Medium</x:v>
      </x:c>
      <x:c r="O1451" s="71" t="str">
        <x:v>components/journey-local-finder.tsx</x:v>
      </x:c>
      <x:c r="P1451" s="71" t="str">
        <x:v>JourneyLocalFinder:255</x:v>
      </x:c>
      <x:c r="Q1451" s="71" t="str">
        <x:v>EN (default / shared)</x:v>
      </x:c>
      <x:c r="R1451" s="71" t="str">
        <x:v>Already clear and direct; suggested wording intentionally keeps the current copy.</x:v>
      </x:c>
      <x:c r="S1451" s="75" t="str">
        <x:v>Not applied — review required</x:v>
      </x:c>
    </x:row>
    <x:row r="1452">
      <x:c r="A1452" s="71" t="str">
        <x:v>MRV-30242439D7</x:v>
      </x:c>
      <x:c r="B1452" s="71" t="str">
        <x:v>System</x:v>
      </x:c>
      <x:c r="C1452" s="71" t="str">
        <x:v>Shared recovery / system</x:v>
      </x:c>
      <x:c r="D1452" s="71" t="str">
        <x:v>Shared</x:v>
      </x:c>
      <x:c r="E1452" s="71" t="str">
        <x:v>JourneyLocalFinder</x:v>
      </x:c>
      <x:c r="F1452" s="71" t="str">
        <x:v>Default</x:v>
      </x:c>
      <x:c r="G1452" s="71" t="str">
        <x:v>Label</x:v>
      </x:c>
      <x:c r="H1452" s="71" t="str">
        <x:v>RECOMMENDED NEARBY</x:v>
      </x:c>
      <x:c r="I1452" s="71" t="str">
        <x:v>RECOMMENDED NEARBY</x:v>
      </x:c>
      <x:c r="J1452" s="73"/>
      <x:c r="K1452" s="74" t="str">
        <x:f>IF(J1452="",H1452,IF(J1452=I1452,I1452,J1452))</x:f>
        <x:v>RECOMMENDED NEARBY</x:v>
      </x:c>
      <x:c r="L1452" s="74" t="str">
        <x:f>IF(J1452="","Keep current",IF(J1452=I1452,"Use suggestion","Custom"))</x:f>
        <x:v>Keep current</x:v>
      </x:c>
      <x:c r="M1452" s="71" t="str">
        <x:v>Pending review</x:v>
      </x:c>
      <x:c r="N1452" s="71" t="str">
        <x:v>Normal</x:v>
      </x:c>
      <x:c r="O1452" s="71" t="str">
        <x:v>components/journey-local-finder.tsx</x:v>
      </x:c>
      <x:c r="P1452" s="71" t="str">
        <x:v>JourneyLocalFinder:256</x:v>
      </x:c>
      <x:c r="Q1452" s="71" t="str">
        <x:v>EN (default / shared)</x:v>
      </x:c>
      <x:c r="R1452" s="71" t="str">
        <x:v>Already clear and direct; suggested wording intentionally keeps the current copy.</x:v>
      </x:c>
      <x:c r="S1452" s="75" t="str">
        <x:v>Not applied — review required</x:v>
      </x:c>
    </x:row>
    <x:row r="1453">
      <x:c r="A1453" s="71" t="str">
        <x:v>MRV-BBB471371B</x:v>
      </x:c>
      <x:c r="B1453" s="71" t="str">
        <x:v>System</x:v>
      </x:c>
      <x:c r="C1453" s="71" t="str">
        <x:v>Shared recovery / system</x:v>
      </x:c>
      <x:c r="D1453" s="71" t="str">
        <x:v>Shared</x:v>
      </x:c>
      <x:c r="E1453" s="71" t="str">
        <x:v>JourneyLocalFinder</x:v>
      </x:c>
      <x:c r="F1453" s="71" t="str">
        <x:v>Default</x:v>
      </x:c>
      <x:c r="G1453" s="71" t="str">
        <x:v>Label</x:v>
      </x:c>
      <x:c r="H1453" s="71" t="str">
        <x:v>AVAILABLE FOR YOUR DATES</x:v>
      </x:c>
      <x:c r="I1453" s="71" t="str">
        <x:v>AVAILABLE FOR YOUR DATES</x:v>
      </x:c>
      <x:c r="J1453" s="73"/>
      <x:c r="K1453" s="74" t="str">
        <x:f>IF(J1453="",H1453,IF(J1453=I1453,I1453,J1453))</x:f>
        <x:v>AVAILABLE FOR YOUR DATES</x:v>
      </x:c>
      <x:c r="L1453" s="74" t="str">
        <x:f>IF(J1453="","Keep current",IF(J1453=I1453,"Use suggestion","Custom"))</x:f>
        <x:v>Keep current</x:v>
      </x:c>
      <x:c r="M1453" s="71" t="str">
        <x:v>Pending review</x:v>
      </x:c>
      <x:c r="N1453" s="71" t="str">
        <x:v>Normal</x:v>
      </x:c>
      <x:c r="O1453" s="71" t="str">
        <x:v>components/journey-local-finder.tsx</x:v>
      </x:c>
      <x:c r="P1453" s="71" t="str">
        <x:v>JourneyLocalFinder:256</x:v>
      </x:c>
      <x:c r="Q1453" s="71" t="str">
        <x:v>EN (default / shared)</x:v>
      </x:c>
      <x:c r="R1453" s="71" t="str">
        <x:v>Already clear and direct; suggested wording intentionally keeps the current copy. Duplicate wording: appears 3 times.</x:v>
      </x:c>
      <x:c r="S1453" s="75" t="str">
        <x:v>Not applied — review required</x:v>
      </x:c>
    </x:row>
    <x:row r="1454">
      <x:c r="A1454" s="71" t="str">
        <x:v>MRV-5C7E7485E5</x:v>
      </x:c>
      <x:c r="B1454" s="71" t="str">
        <x:v>System</x:v>
      </x:c>
      <x:c r="C1454" s="71" t="str">
        <x:v>Shared recovery / system</x:v>
      </x:c>
      <x:c r="D1454" s="71" t="str">
        <x:v>Shared</x:v>
      </x:c>
      <x:c r="E1454" s="71" t="str">
        <x:v>JourneyLocalFinder</x:v>
      </x:c>
      <x:c r="F1454" s="71" t="str">
        <x:v>Default</x:v>
      </x:c>
      <x:c r="G1454" s="71" t="str">
        <x:v>Label</x:v>
      </x:c>
      <x:c r="H1454" s="71" t="str">
        <x:v>Other good options</x:v>
      </x:c>
      <x:c r="I1454" s="71" t="str">
        <x:v>Other good options</x:v>
      </x:c>
      <x:c r="J1454" s="73"/>
      <x:c r="K1454" s="74" t="str">
        <x:f>IF(J1454="",H1454,IF(J1454=I1454,I1454,J1454))</x:f>
        <x:v>Other good options</x:v>
      </x:c>
      <x:c r="L1454" s="74" t="str">
        <x:f>IF(J1454="","Keep current",IF(J1454=I1454,"Use suggestion","Custom"))</x:f>
        <x:v>Keep current</x:v>
      </x:c>
      <x:c r="M1454" s="71" t="str">
        <x:v>Pending review</x:v>
      </x:c>
      <x:c r="N1454" s="71" t="str">
        <x:v>Normal</x:v>
      </x:c>
      <x:c r="O1454" s="71" t="str">
        <x:v>components/journey-local-finder.tsx</x:v>
      </x:c>
      <x:c r="P1454" s="71" t="str">
        <x:v>JourneyLocalFinder:256</x:v>
      </x:c>
      <x:c r="Q1454" s="71" t="str">
        <x:v>EN (default / shared)</x:v>
      </x:c>
      <x:c r="R1454" s="71" t="str">
        <x:v>Already clear and direct; suggested wording intentionally keeps the current copy.</x:v>
      </x:c>
      <x:c r="S1454" s="75" t="str">
        <x:v>Not applied — review required</x:v>
      </x:c>
    </x:row>
    <x:row r="1455">
      <x:c r="A1455" s="71" t="str">
        <x:v>MRV-5D67A60693</x:v>
      </x:c>
      <x:c r="B1455" s="71" t="str">
        <x:v>System</x:v>
      </x:c>
      <x:c r="C1455" s="71" t="str">
        <x:v>Shared recovery / system</x:v>
      </x:c>
      <x:c r="D1455" s="71" t="str">
        <x:v>Shared</x:v>
      </x:c>
      <x:c r="E1455" s="71" t="str">
        <x:v>JourneyLocalFinder</x:v>
      </x:c>
      <x:c r="F1455" s="71" t="str">
        <x:v>Default</x:v>
      </x:c>
      <x:c r="G1455" s="71" t="str">
        <x:v>Label</x:v>
      </x:c>
      <x:c r="H1455" s="71" t="str">
        <x:v>Best match</x:v>
      </x:c>
      <x:c r="I1455" s="71" t="str">
        <x:v>Best match</x:v>
      </x:c>
      <x:c r="J1455" s="73"/>
      <x:c r="K1455" s="74" t="str">
        <x:f>IF(J1455="",H1455,IF(J1455=I1455,I1455,J1455))</x:f>
        <x:v>Best match</x:v>
      </x:c>
      <x:c r="L1455" s="74" t="str">
        <x:f>IF(J1455="","Keep current",IF(J1455=I1455,"Use suggestion","Custom"))</x:f>
        <x:v>Keep current</x:v>
      </x:c>
      <x:c r="M1455" s="71" t="str">
        <x:v>Pending review</x:v>
      </x:c>
      <x:c r="N1455" s="71" t="str">
        <x:v>Normal</x:v>
      </x:c>
      <x:c r="O1455" s="71" t="str">
        <x:v>components/journey-local-finder.tsx</x:v>
      </x:c>
      <x:c r="P1455" s="71" t="str">
        <x:v>JourneyLocalFinder:256</x:v>
      </x:c>
      <x:c r="Q1455" s="71" t="str">
        <x:v>EN (default / shared)</x:v>
      </x:c>
      <x:c r="R1455" s="71" t="str">
        <x:v>Already clear and direct; suggested wording intentionally keeps the current copy.</x:v>
      </x:c>
      <x:c r="S1455" s="75" t="str">
        <x:v>Not applied — review required</x:v>
      </x:c>
    </x:row>
    <x:row r="1456">
      <x:c r="A1456" s="71" t="str">
        <x:v>MRV-512DD8941A</x:v>
      </x:c>
      <x:c r="B1456" s="71" t="str">
        <x:v>System</x:v>
      </x:c>
      <x:c r="C1456" s="71" t="str">
        <x:v>Shared recovery / system</x:v>
      </x:c>
      <x:c r="D1456" s="71" t="str">
        <x:v>Shared</x:v>
      </x:c>
      <x:c r="E1456" s="71" t="str">
        <x:v>JourneyLocalFinder</x:v>
      </x:c>
      <x:c r="F1456" s="71" t="str">
        <x:v>Default</x:v>
      </x:c>
      <x:c r="G1456" s="71" t="str">
        <x:v>Label</x:v>
      </x:c>
      <x:c r="H1456" s="71" t="str">
        <x:v>Best match ·</x:v>
      </x:c>
      <x:c r="I1456" s="71" t="str">
        <x:v>Best match ·</x:v>
      </x:c>
      <x:c r="J1456" s="73"/>
      <x:c r="K1456" s="74" t="str">
        <x:f>IF(J1456="",H1456,IF(J1456=I1456,I1456,J1456))</x:f>
        <x:v>Best match ·</x:v>
      </x:c>
      <x:c r="L1456" s="74" t="str">
        <x:f>IF(J1456="","Keep current",IF(J1456=I1456,"Use suggestion","Custom"))</x:f>
        <x:v>Keep current</x:v>
      </x:c>
      <x:c r="M1456" s="71" t="str">
        <x:v>Pending review</x:v>
      </x:c>
      <x:c r="N1456" s="71" t="str">
        <x:v>Normal</x:v>
      </x:c>
      <x:c r="O1456" s="71" t="str">
        <x:v>components/journey-local-finder.tsx</x:v>
      </x:c>
      <x:c r="P1456" s="71" t="str">
        <x:v>JourneyLocalFinder:256</x:v>
      </x:c>
      <x:c r="Q1456" s="71" t="str">
        <x:v>EN (default / shared)</x:v>
      </x:c>
      <x:c r="R1456" s="71" t="str">
        <x:v>Already clear and direct; suggested wording intentionally keeps the current copy.</x:v>
      </x:c>
      <x:c r="S1456" s="75" t="str">
        <x:v>Not applied — review required</x:v>
      </x:c>
    </x:row>
    <x:row r="1457">
      <x:c r="A1457" s="71" t="str">
        <x:v>MRV-7619DB3487</x:v>
      </x:c>
      <x:c r="B1457" s="71" t="str">
        <x:v>System</x:v>
      </x:c>
      <x:c r="C1457" s="71" t="str">
        <x:v>Shared recovery / system</x:v>
      </x:c>
      <x:c r="D1457" s="71" t="str">
        <x:v>Shared</x:v>
      </x:c>
      <x:c r="E1457" s="71" t="str">
        <x:v>JourneyLocalFinder</x:v>
      </x:c>
      <x:c r="F1457" s="71" t="str">
        <x:v>Default</x:v>
      </x:c>
      <x:c r="G1457" s="71" t="str">
        <x:v>Body copy</x:v>
      </x:c>
      <x:c r="H1457" s="71" t="str">
        <x:v>{place.availability === "available" ? "Available for your dates" : place.provider === "google-places" ? "Operational property · check rooms" : "Mapped property · check before booking"}{place.rating ? ` · {place.rating.toFixed(1)} rating` : ""}{place.price ? ` · {place.price.currency} {place.price.total.toFixed(0)}` : ""}</x:v>
      </x:c>
      <x:c r="I1457" s="71" t="str">
        <x:v>{place.availability === "available" ? "Available for your dates" : place.provider === "google-places" ? "Operational property · check rooms" : "Mapped property · check before booking"}{place.rating ? ` · {place.rating.toFixed(1)} rating` : ""}{place.price ? ` · {place.price.currency} {place.price.total.toFixed(0)}` : ""}</x:v>
      </x:c>
      <x:c r="J1457" s="73"/>
      <x:c r="K1457" s="74" t="str">
        <x:f>IF(J1457="",H1457,IF(J1457=I1457,I1457,J1457))</x:f>
        <x:v>{place.availability === "available" ? "Available for your dates" : place.provider === "google-places" ? "Operational property · check rooms" : "Mapped property · check before booking"}{place.rating ? ` · {place.rating.toFixed(1)} rating` : ""}{place.price ? ` · {place.price.currency} {place.price.total.toFixed(0)}` : ""}</x:v>
      </x:c>
      <x:c r="L1457" s="74" t="str">
        <x:f>IF(J1457="","Keep current",IF(J1457=I1457,"Use suggestion","Custom"))</x:f>
        <x:v>Keep current</x:v>
      </x:c>
      <x:c r="M1457" s="71" t="str">
        <x:v>Pending review</x:v>
      </x:c>
      <x:c r="N1457" s="71" t="str">
        <x:v>Normal</x:v>
      </x:c>
      <x:c r="O1457" s="71" t="str">
        <x:v>components/journey-local-finder.tsx</x:v>
      </x:c>
      <x:c r="P1457" s="71" t="str">
        <x:v>JourneyLocalFinder:256</x:v>
      </x:c>
      <x:c r="Q1457" s="71" t="str">
        <x:v>EN (default / shared)</x:v>
      </x:c>
      <x:c r="R1457"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57" s="75" t="str">
        <x:v>Not applied — review required</x:v>
      </x:c>
    </x:row>
    <x:row r="1458">
      <x:c r="A1458" s="71" t="str">
        <x:v>MRV-9A59E1AB14</x:v>
      </x:c>
      <x:c r="B1458" s="71" t="str">
        <x:v>System</x:v>
      </x:c>
      <x:c r="C1458" s="71" t="str">
        <x:v>Shared recovery / system</x:v>
      </x:c>
      <x:c r="D1458" s="71" t="str">
        <x:v>Shared</x:v>
      </x:c>
      <x:c r="E1458" s="71" t="str">
        <x:v>JourneyLocalFinder</x:v>
      </x:c>
      <x:c r="F1458" s="71" t="str">
        <x:v>Default</x:v>
      </x:c>
      <x:c r="G1458" s="71" t="str">
        <x:v>Label</x:v>
      </x:c>
      <x:c r="H1458" s="71" t="str">
        <x:v>Available for your dates</x:v>
      </x:c>
      <x:c r="I1458" s="71" t="str">
        <x:v>Available for your dates</x:v>
      </x:c>
      <x:c r="J1458" s="73"/>
      <x:c r="K1458" s="74" t="str">
        <x:f>IF(J1458="",H1458,IF(J1458=I1458,I1458,J1458))</x:f>
        <x:v>Available for your dates</x:v>
      </x:c>
      <x:c r="L1458" s="74" t="str">
        <x:f>IF(J1458="","Keep current",IF(J1458=I1458,"Use suggestion","Custom"))</x:f>
        <x:v>Keep current</x:v>
      </x:c>
      <x:c r="M1458" s="71" t="str">
        <x:v>Pending review</x:v>
      </x:c>
      <x:c r="N1458" s="71" t="str">
        <x:v>Normal</x:v>
      </x:c>
      <x:c r="O1458" s="71" t="str">
        <x:v>components/journey-local-finder.tsx</x:v>
      </x:c>
      <x:c r="P1458" s="71" t="str">
        <x:v>JourneyLocalFinder:256</x:v>
      </x:c>
      <x:c r="Q1458" s="71" t="str">
        <x:v>EN (default / shared)</x:v>
      </x:c>
      <x:c r="R1458" s="71" t="str">
        <x:v>Already clear and direct; suggested wording intentionally keeps the current copy. Duplicate wording: appears 3 times.</x:v>
      </x:c>
      <x:c r="S1458" s="75" t="str">
        <x:v>Not applied — review required</x:v>
      </x:c>
    </x:row>
    <x:row r="1459">
      <x:c r="A1459" s="71" t="str">
        <x:v>MRV-B82BA6BF99</x:v>
      </x:c>
      <x:c r="B1459" s="71" t="str">
        <x:v>System</x:v>
      </x:c>
      <x:c r="C1459" s="71" t="str">
        <x:v>Shared recovery / system</x:v>
      </x:c>
      <x:c r="D1459" s="71" t="str">
        <x:v>Shared</x:v>
      </x:c>
      <x:c r="E1459" s="71" t="str">
        <x:v>JourneyLocalFinder</x:v>
      </x:c>
      <x:c r="F1459" s="71" t="str">
        <x:v>Default</x:v>
      </x:c>
      <x:c r="G1459" s="71" t="str">
        <x:v>Body copy</x:v>
      </x:c>
      <x:c r="H1459" s="71" t="str">
        <x:v>Operational property · check rooms</x:v>
      </x:c>
      <x:c r="I1459" s="71" t="str">
        <x:v>Operational property · check rooms</x:v>
      </x:c>
      <x:c r="J1459" s="73"/>
      <x:c r="K1459" s="74" t="str">
        <x:f>IF(J1459="",H1459,IF(J1459=I1459,I1459,J1459))</x:f>
        <x:v>Operational property · check rooms</x:v>
      </x:c>
      <x:c r="L1459" s="74" t="str">
        <x:f>IF(J1459="","Keep current",IF(J1459=I1459,"Use suggestion","Custom"))</x:f>
        <x:v>Keep current</x:v>
      </x:c>
      <x:c r="M1459" s="71" t="str">
        <x:v>Pending review</x:v>
      </x:c>
      <x:c r="N1459" s="71" t="str">
        <x:v>Normal</x:v>
      </x:c>
      <x:c r="O1459" s="71" t="str">
        <x:v>components/journey-local-finder.tsx</x:v>
      </x:c>
      <x:c r="P1459" s="71" t="str">
        <x:v>JourneyLocalFinder:256</x:v>
      </x:c>
      <x:c r="Q1459" s="71" t="str">
        <x:v>EN (default / shared)</x:v>
      </x:c>
      <x:c r="R1459" s="71" t="str">
        <x:v>Already clear and direct; suggested wording intentionally keeps the current copy.</x:v>
      </x:c>
      <x:c r="S1459" s="75" t="str">
        <x:v>Not applied — review required</x:v>
      </x:c>
    </x:row>
    <x:row r="1460">
      <x:c r="A1460" s="71" t="str">
        <x:v>MRV-4D37036916</x:v>
      </x:c>
      <x:c r="B1460" s="71" t="str">
        <x:v>System</x:v>
      </x:c>
      <x:c r="C1460" s="71" t="str">
        <x:v>Shared recovery / system</x:v>
      </x:c>
      <x:c r="D1460" s="71" t="str">
        <x:v>Shared</x:v>
      </x:c>
      <x:c r="E1460" s="71" t="str">
        <x:v>JourneyLocalFinder</x:v>
      </x:c>
      <x:c r="F1460" s="71" t="str">
        <x:v>Default</x:v>
      </x:c>
      <x:c r="G1460" s="71" t="str">
        <x:v>Body copy</x:v>
      </x:c>
      <x:c r="H1460" s="71" t="str">
        <x:v>Mapped property · check before booking</x:v>
      </x:c>
      <x:c r="I1460" s="71" t="str">
        <x:v>Mapped property · check before booking</x:v>
      </x:c>
      <x:c r="J1460" s="73"/>
      <x:c r="K1460" s="74" t="str">
        <x:f>IF(J1460="",H1460,IF(J1460=I1460,I1460,J1460))</x:f>
        <x:v>Mapped property · check before booking</x:v>
      </x:c>
      <x:c r="L1460" s="74" t="str">
        <x:f>IF(J1460="","Keep current",IF(J1460=I1460,"Use suggestion","Custom"))</x:f>
        <x:v>Keep current</x:v>
      </x:c>
      <x:c r="M1460" s="71" t="str">
        <x:v>Pending review</x:v>
      </x:c>
      <x:c r="N1460" s="71" t="str">
        <x:v>Normal</x:v>
      </x:c>
      <x:c r="O1460" s="71" t="str">
        <x:v>components/journey-local-finder.tsx</x:v>
      </x:c>
      <x:c r="P1460" s="71" t="str">
        <x:v>JourneyLocalFinder:256</x:v>
      </x:c>
      <x:c r="Q1460" s="71" t="str">
        <x:v>EN (default / shared)</x:v>
      </x:c>
      <x:c r="R1460" s="71" t="str">
        <x:v>Already clear and direct; suggested wording intentionally keeps the current copy.</x:v>
      </x:c>
      <x:c r="S1460" s="75" t="str">
        <x:v>Not applied — review required</x:v>
      </x:c>
    </x:row>
    <x:row r="1461">
      <x:c r="A1461" s="71" t="str">
        <x:v>MRV-68F8B0A662</x:v>
      </x:c>
      <x:c r="B1461" s="71" t="str">
        <x:v>System</x:v>
      </x:c>
      <x:c r="C1461" s="71" t="str">
        <x:v>Shared recovery / system</x:v>
      </x:c>
      <x:c r="D1461" s="71" t="str">
        <x:v>Shared</x:v>
      </x:c>
      <x:c r="E1461" s="71" t="str">
        <x:v>JourneyLocalFinder</x:v>
      </x:c>
      <x:c r="F1461" s="71" t="str">
        <x:v>Default</x:v>
      </x:c>
      <x:c r="G1461" s="71" t="str">
        <x:v>Body copy</x:v>
      </x:c>
      <x:c r="H1461" s="71" t="str">
        <x:v>· {place.rating.toFixed(1)} rating</x:v>
      </x:c>
      <x:c r="I1461" s="71" t="str">
        <x:v>· {place.rating.toFixed(1)} rating</x:v>
      </x:c>
      <x:c r="J1461" s="73"/>
      <x:c r="K1461" s="74" t="str">
        <x:f>IF(J1461="",H1461,IF(J1461=I1461,I1461,J1461))</x:f>
        <x:v>· {place.rating.toFixed(1)} rating</x:v>
      </x:c>
      <x:c r="L1461" s="74" t="str">
        <x:f>IF(J1461="","Keep current",IF(J1461=I1461,"Use suggestion","Custom"))</x:f>
        <x:v>Keep current</x:v>
      </x:c>
      <x:c r="M1461" s="71" t="str">
        <x:v>Pending review</x:v>
      </x:c>
      <x:c r="N1461" s="71" t="str">
        <x:v>Normal</x:v>
      </x:c>
      <x:c r="O1461" s="71" t="str">
        <x:v>components/journey-local-finder.tsx</x:v>
      </x:c>
      <x:c r="P1461" s="71" t="str">
        <x:v>JourneyLocalFinder:256</x:v>
      </x:c>
      <x:c r="Q1461" s="71" t="str">
        <x:v>EN (default / shared)</x:v>
      </x:c>
      <x:c r="R1461"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61" s="75" t="str">
        <x:v>Not applied — review required</x:v>
      </x:c>
    </x:row>
    <x:row r="1462">
      <x:c r="A1462" s="71" t="str">
        <x:v>MRV-C1E190C76E</x:v>
      </x:c>
      <x:c r="B1462" s="71" t="str">
        <x:v>System</x:v>
      </x:c>
      <x:c r="C1462" s="71" t="str">
        <x:v>Shared recovery / system</x:v>
      </x:c>
      <x:c r="D1462" s="71" t="str">
        <x:v>Shared</x:v>
      </x:c>
      <x:c r="E1462" s="71" t="str">
        <x:v>JourneyLocalFinder</x:v>
      </x:c>
      <x:c r="F1462" s="71" t="str">
        <x:v>Default</x:v>
      </x:c>
      <x:c r="G1462" s="71" t="str">
        <x:v>Body copy</x:v>
      </x:c>
      <x:c r="H1462" s="71" t="str">
        <x:v>· {place.price.currency} {place.price.total.toFixed(0)}</x:v>
      </x:c>
      <x:c r="I1462" s="71" t="str">
        <x:v>· {place.price.currency} {place.price.total.toFixed(0)}</x:v>
      </x:c>
      <x:c r="J1462" s="73"/>
      <x:c r="K1462" s="74" t="str">
        <x:f>IF(J1462="",H1462,IF(J1462=I1462,I1462,J1462))</x:f>
        <x:v>· {place.price.currency} {place.price.total.toFixed(0)}</x:v>
      </x:c>
      <x:c r="L1462" s="74" t="str">
        <x:f>IF(J1462="","Keep current",IF(J1462=I1462,"Use suggestion","Custom"))</x:f>
        <x:v>Keep current</x:v>
      </x:c>
      <x:c r="M1462" s="71" t="str">
        <x:v>Pending review</x:v>
      </x:c>
      <x:c r="N1462" s="71" t="str">
        <x:v>Normal</x:v>
      </x:c>
      <x:c r="O1462" s="71" t="str">
        <x:v>components/journey-local-finder.tsx</x:v>
      </x:c>
      <x:c r="P1462" s="71" t="str">
        <x:v>JourneyLocalFinder:256</x:v>
      </x:c>
      <x:c r="Q1462" s="71" t="str">
        <x:v>EN (default / shared)</x:v>
      </x:c>
      <x:c r="R1462"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62" s="75" t="str">
        <x:v>Not applied — review required</x:v>
      </x:c>
    </x:row>
    <x:row r="1463">
      <x:c r="A1463" s="71" t="str">
        <x:v>MRV-62239CFB4D</x:v>
      </x:c>
      <x:c r="B1463" s="71" t="str">
        <x:v>System</x:v>
      </x:c>
      <x:c r="C1463" s="71" t="str">
        <x:v>Shared recovery / system</x:v>
      </x:c>
      <x:c r="D1463" s="71" t="str">
        <x:v>Shared</x:v>
      </x:c>
      <x:c r="E1463" s="71" t="str">
        <x:v>JourneyLocalFinder</x:v>
      </x:c>
      <x:c r="F1463" s="71" t="str">
        <x:v>Default</x:v>
      </x:c>
      <x:c r="G1463" s="71" t="str">
        <x:v>Body copy</x:v>
      </x:c>
      <x:c r="H1463" s="71" t="str">
        <x:v>{recommendation.reasons[0]} · {recommendation.confidence} confidence</x:v>
      </x:c>
      <x:c r="I1463" s="71" t="str">
        <x:v>{recommendation.reasons[0]} · {recommendation.confidence} confidence</x:v>
      </x:c>
      <x:c r="J1463" s="73"/>
      <x:c r="K1463" s="74" t="str">
        <x:f>IF(J1463="",H1463,IF(J1463=I1463,I1463,J1463))</x:f>
        <x:v>{recommendation.reasons[0]} · {recommendation.confidence} confidence</x:v>
      </x:c>
      <x:c r="L1463" s="74" t="str">
        <x:f>IF(J1463="","Keep current",IF(J1463=I1463,"Use suggestion","Custom"))</x:f>
        <x:v>Keep current</x:v>
      </x:c>
      <x:c r="M1463" s="71" t="str">
        <x:v>Pending review</x:v>
      </x:c>
      <x:c r="N1463" s="71" t="str">
        <x:v>Normal</x:v>
      </x:c>
      <x:c r="O1463" s="71" t="str">
        <x:v>components/journey-local-finder.tsx</x:v>
      </x:c>
      <x:c r="P1463" s="71" t="str">
        <x:v>JourneyLocalFinder:256</x:v>
      </x:c>
      <x:c r="Q1463" s="71" t="str">
        <x:v>EN (default / shared)</x:v>
      </x:c>
      <x:c r="R1463" s="71" t="str">
        <x:v>Already clear and direct; suggested wording intentionally keeps the current copy. Dynamic traveller or trip value is represented as a token; user-generated values are excluded.</x:v>
      </x:c>
      <x:c r="S1463" s="75" t="str">
        <x:v>Not applied — review required</x:v>
      </x:c>
    </x:row>
    <x:row r="1464">
      <x:c r="A1464" s="71" t="str">
        <x:v>MRV-052ADA4841</x:v>
      </x:c>
      <x:c r="B1464" s="71" t="str">
        <x:v>Planning</x:v>
      </x:c>
      <x:c r="C1464" s="71" t="str">
        <x:v>Planner recommendations</x:v>
      </x:c>
      <x:c r="D1464" s="71" t="str">
        <x:v>Shared planner output</x:v>
      </x:c>
      <x:c r="E1464" s="71" t="str">
        <x:v>context</x:v>
      </x:c>
      <x:c r="F1464" s="71" t="str">
        <x:v>Default</x:v>
      </x:c>
      <x:c r="G1464" s="71" t="str">
        <x:v>Body copy</x:v>
      </x:c>
      <x:c r="H1464" s="71" t="str">
        <x:v>{destination.name} {destinationCountry}</x:v>
      </x:c>
      <x:c r="I1464" s="71" t="str">
        <x:v>{destination.name} {destinationCountry}</x:v>
      </x:c>
      <x:c r="J1464" s="73"/>
      <x:c r="K1464" s="74" t="str">
        <x:f>IF(J1464="",H1464,IF(J1464=I1464,I1464,J1464))</x:f>
        <x:v>{destination.name} {destinationCountry}</x:v>
      </x:c>
      <x:c r="L1464" s="74" t="str">
        <x:f>IF(J1464="","Keep current",IF(J1464=I1464,"Use suggestion","Custom"))</x:f>
        <x:v>Keep current</x:v>
      </x:c>
      <x:c r="M1464" s="71" t="str">
        <x:v>Pending review</x:v>
      </x:c>
      <x:c r="N1464" s="71" t="str">
        <x:v>Normal</x:v>
      </x:c>
      <x:c r="O1464" s="71" t="str">
        <x:v>components/journey-map-planner-workspace.tsx</x:v>
      </x:c>
      <x:c r="P1464" s="71" t="str">
        <x:v>context:120</x:v>
      </x:c>
      <x:c r="Q1464" s="71" t="str">
        <x:v>EN (default / shared)</x:v>
      </x:c>
      <x:c r="R146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64" s="75" t="str">
        <x:v>Not applied — review required</x:v>
      </x:c>
    </x:row>
    <x:row r="1465">
      <x:c r="A1465" s="71" t="str">
        <x:v>MRV-B97A86DF14</x:v>
      </x:c>
      <x:c r="B1465" s="71" t="str">
        <x:v>Planning</x:v>
      </x:c>
      <x:c r="C1465" s="71" t="str">
        <x:v>Planner recommendations</x:v>
      </x:c>
      <x:c r="D1465" s="71" t="str">
        <x:v>Shared planner output</x:v>
      </x:c>
      <x:c r="E1465" s="71" t="str">
        <x:v>isPickCompatibleWithDestination</x:v>
      </x:c>
      <x:c r="F1465" s="71" t="str">
        <x:v>Default</x:v>
      </x:c>
      <x:c r="G1465" s="71" t="str">
        <x:v>Body copy</x:v>
      </x:c>
      <x:c r="H1465" s="71" t="str">
        <x:v>{pick.area} {pick.description}</x:v>
      </x:c>
      <x:c r="I1465" s="71" t="str">
        <x:v>{pick.area} {pick.description}</x:v>
      </x:c>
      <x:c r="J1465" s="73"/>
      <x:c r="K1465" s="74" t="str">
        <x:f>IF(J1465="",H1465,IF(J1465=I1465,I1465,J1465))</x:f>
        <x:v>{pick.area} {pick.description}</x:v>
      </x:c>
      <x:c r="L1465" s="74" t="str">
        <x:f>IF(J1465="","Keep current",IF(J1465=I1465,"Use suggestion","Custom"))</x:f>
        <x:v>Keep current</x:v>
      </x:c>
      <x:c r="M1465" s="71" t="str">
        <x:v>Pending review</x:v>
      </x:c>
      <x:c r="N1465" s="71" t="str">
        <x:v>Normal</x:v>
      </x:c>
      <x:c r="O1465" s="71" t="str">
        <x:v>components/journey-map-planner-workspace.tsx</x:v>
      </x:c>
      <x:c r="P1465" s="71" t="str">
        <x:v>isPickCompatibleWithDestination:121</x:v>
      </x:c>
      <x:c r="Q1465" s="71" t="str">
        <x:v>EN (default / shared)</x:v>
      </x:c>
      <x:c r="R1465" s="71" t="str">
        <x:v>Already clear and direct; suggested wording intentionally keeps the current copy. Dynamic traveller or trip value is represented as a token; user-generated values are excluded.</x:v>
      </x:c>
      <x:c r="S1465" s="75" t="str">
        <x:v>Not applied — review required</x:v>
      </x:c>
    </x:row>
    <x:row r="1466">
      <x:c r="A1466" s="71" t="str">
        <x:v>MRV-67999C5DC1</x:v>
      </x:c>
      <x:c r="B1466" s="71" t="str">
        <x:v>Planning</x:v>
      </x:c>
      <x:c r="C1466" s="71" t="str">
        <x:v>Planner recommendations</x:v>
      </x:c>
      <x:c r="D1466" s="71" t="str">
        <x:v>Shared planner output</x:v>
      </x:c>
      <x:c r="E1466" s="71" t="str">
        <x:v>customPlaceDetails</x:v>
      </x:c>
      <x:c r="F1466" s="71" t="str">
        <x:v>Default</x:v>
      </x:c>
      <x:c r="G1466" s="71" t="str">
        <x:v>Body copy</x:v>
      </x:c>
      <x:c r="H1466" s="71" t="str">
        <x:v>^explore\s+{place.area.replace(/[.*+?^${}()|[\\]\\\\]/g, "\\$&amp;")}$</x:v>
      </x:c>
      <x:c r="I1466" s="71" t="str">
        <x:v>^explore\s+{place.area.replace(/[.*+?^${}()|[\\]\\\\]/g, "\\$&amp;")}$</x:v>
      </x:c>
      <x:c r="J1466" s="73"/>
      <x:c r="K1466" s="74" t="str">
        <x:f>IF(J1466="",H1466,IF(J1466=I1466,I1466,J1466))</x:f>
        <x:v>^explore\s+{place.area.replace(/[.*+?^${}()|[\\]\\\\]/g, "\\$&amp;")}$</x:v>
      </x:c>
      <x:c r="L1466" s="74" t="str">
        <x:f>IF(J1466="","Keep current",IF(J1466=I1466,"Use suggestion","Custom"))</x:f>
        <x:v>Keep current</x:v>
      </x:c>
      <x:c r="M1466" s="71" t="str">
        <x:v>Pending review</x:v>
      </x:c>
      <x:c r="N1466" s="71" t="str">
        <x:v>Normal</x:v>
      </x:c>
      <x:c r="O1466" s="71" t="str">
        <x:v>components/journey-map-planner-workspace.tsx</x:v>
      </x:c>
      <x:c r="P1466" s="71" t="str">
        <x:v>customPlaceDetails:127</x:v>
      </x:c>
      <x:c r="Q1466" s="71" t="str">
        <x:v>EN (default / shared)</x:v>
      </x:c>
      <x:c r="R1466"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66" s="75" t="str">
        <x:v>Not applied — review required</x:v>
      </x:c>
    </x:row>
    <x:row r="1467">
      <x:c r="A1467" s="71" t="str">
        <x:v>MRV-1F5E6E5086</x:v>
      </x:c>
      <x:c r="B1467" s="71" t="str">
        <x:v>Planning</x:v>
      </x:c>
      <x:c r="C1467" s="71" t="str">
        <x:v>Planner recommendations</x:v>
      </x:c>
      <x:c r="D1467" s="71" t="str">
        <x:v>Shared planner output</x:v>
      </x:c>
      <x:c r="E1467" s="71" t="str">
        <x:v>customPlaceDetails</x:v>
      </x:c>
      <x:c r="F1467" s="71" t="str">
        <x:v>Default</x:v>
      </x:c>
      <x:c r="G1467" s="71" t="str">
        <x:v>Label</x:v>
      </x:c>
      <x:c r="H1467" s="71" t="str">
        <x:v>\$&amp;</x:v>
      </x:c>
      <x:c r="I1467" s="71" t="str">
        <x:v>\$&amp;</x:v>
      </x:c>
      <x:c r="J1467" s="73"/>
      <x:c r="K1467" s="74" t="str">
        <x:f>IF(J1467="",H1467,IF(J1467=I1467,I1467,J1467))</x:f>
        <x:v>\$&amp;</x:v>
      </x:c>
      <x:c r="L1467" s="74" t="str">
        <x:f>IF(J1467="","Keep current",IF(J1467=I1467,"Use suggestion","Custom"))</x:f>
        <x:v>Keep current</x:v>
      </x:c>
      <x:c r="M1467" s="71" t="str">
        <x:v>Pending review</x:v>
      </x:c>
      <x:c r="N1467" s="71" t="str">
        <x:v>Normal</x:v>
      </x:c>
      <x:c r="O1467" s="71" t="str">
        <x:v>components/journey-map-planner-workspace.tsx</x:v>
      </x:c>
      <x:c r="P1467" s="71" t="str">
        <x:v>customPlaceDetails:127</x:v>
      </x:c>
      <x:c r="Q1467" s="71" t="str">
        <x:v>EN (default / shared)</x:v>
      </x:c>
      <x:c r="R1467" s="71" t="str">
        <x:v>Already clear and direct; suggested wording intentionally keeps the current copy.</x:v>
      </x:c>
      <x:c r="S1467" s="75" t="str">
        <x:v>Not applied — review required</x:v>
      </x:c>
    </x:row>
    <x:row r="1468">
      <x:c r="A1468" s="71" t="str">
        <x:v>MRV-5A4945A1A1</x:v>
      </x:c>
      <x:c r="B1468" s="71" t="str">
        <x:v>Planning</x:v>
      </x:c>
      <x:c r="C1468" s="71" t="str">
        <x:v>Planner recommendations</x:v>
      </x:c>
      <x:c r="D1468" s="71" t="str">
        <x:v>Shared planner output</x:v>
      </x:c>
      <x:c r="E1468" s="71" t="str">
        <x:v>setting</x:v>
      </x:c>
      <x:c r="F1468" s="71" t="str">
        <x:v>Default</x:v>
      </x:c>
      <x:c r="G1468" s="71" t="str">
        <x:v>Body copy</x:v>
      </x:c>
      <x:c r="H1468" s="71" t="str">
        <x:v>around {place.area}</x:v>
      </x:c>
      <x:c r="I1468" s="71" t="str">
        <x:v>around {place.area}</x:v>
      </x:c>
      <x:c r="J1468" s="73"/>
      <x:c r="K1468" s="74" t="str">
        <x:f>IF(J1468="",H1468,IF(J1468=I1468,I1468,J1468))</x:f>
        <x:v>around {place.area}</x:v>
      </x:c>
      <x:c r="L1468" s="74" t="str">
        <x:f>IF(J1468="","Keep current",IF(J1468=I1468,"Use suggestion","Custom"))</x:f>
        <x:v>Keep current</x:v>
      </x:c>
      <x:c r="M1468" s="71" t="str">
        <x:v>Pending review</x:v>
      </x:c>
      <x:c r="N1468" s="71" t="str">
        <x:v>Normal</x:v>
      </x:c>
      <x:c r="O1468" s="71" t="str">
        <x:v>components/journey-map-planner-workspace.tsx</x:v>
      </x:c>
      <x:c r="P1468" s="71" t="str">
        <x:v>setting:130</x:v>
      </x:c>
      <x:c r="Q1468" s="71" t="str">
        <x:v>EN (default / shared)</x:v>
      </x:c>
      <x:c r="R146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68" s="75" t="str">
        <x:v>Not applied — review required</x:v>
      </x:c>
    </x:row>
    <x:row r="1469">
      <x:c r="A1469" s="71" t="str">
        <x:v>MRV-4A6581F1F2</x:v>
      </x:c>
      <x:c r="B1469" s="71" t="str">
        <x:v>Planning</x:v>
      </x:c>
      <x:c r="C1469" s="71" t="str">
        <x:v>Planner recommendations</x:v>
      </x:c>
      <x:c r="D1469" s="71" t="str">
        <x:v>Shared planner output</x:v>
      </x:c>
      <x:c r="E1469" s="71" t="str">
        <x:v>setting</x:v>
      </x:c>
      <x:c r="F1469" s="71" t="str">
        <x:v>Default</x:v>
      </x:c>
      <x:c r="G1469" s="71" t="str">
        <x:v>Label</x:v>
      </x:c>
      <x:c r="H1469" s="71" t="str">
        <x:v>around this place</x:v>
      </x:c>
      <x:c r="I1469" s="71" t="str">
        <x:v>around this place</x:v>
      </x:c>
      <x:c r="J1469" s="73"/>
      <x:c r="K1469" s="74" t="str">
        <x:f>IF(J1469="",H1469,IF(J1469=I1469,I1469,J1469))</x:f>
        <x:v>around this place</x:v>
      </x:c>
      <x:c r="L1469" s="74" t="str">
        <x:f>IF(J1469="","Keep current",IF(J1469=I1469,"Use suggestion","Custom"))</x:f>
        <x:v>Keep current</x:v>
      </x:c>
      <x:c r="M1469" s="71" t="str">
        <x:v>Pending review</x:v>
      </x:c>
      <x:c r="N1469" s="71" t="str">
        <x:v>Normal</x:v>
      </x:c>
      <x:c r="O1469" s="71" t="str">
        <x:v>components/journey-map-planner-workspace.tsx</x:v>
      </x:c>
      <x:c r="P1469" s="71" t="str">
        <x:v>setting:130</x:v>
      </x:c>
      <x:c r="Q1469" s="71" t="str">
        <x:v>EN (default / shared)</x:v>
      </x:c>
      <x:c r="R1469" s="71" t="str">
        <x:v>Already clear and direct; suggested wording intentionally keeps the current copy. Terminology watch: ‘trip’ and ‘journey’ both describe the same plan. Terminology watch: ‘stops’, ‘destinations’ and ‘places’ overlap.</x:v>
      </x:c>
      <x:c r="S1469" s="75" t="str">
        <x:v>Not applied — review required</x:v>
      </x:c>
    </x:row>
    <x:row r="1470">
      <x:c r="A1470" s="71" t="str">
        <x:v>MRV-2C319EAEF5</x:v>
      </x:c>
      <x:c r="B1470" s="71" t="str">
        <x:v>Planning</x:v>
      </x:c>
      <x:c r="C1470" s="71" t="str">
        <x:v>Planner recommendations</x:v>
      </x:c>
      <x:c r="D1470" s="71" t="str">
        <x:v>Shared planner output</x:v>
      </x:c>
      <x:c r="E1470" s="71" t="str">
        <x:v>duration</x:v>
      </x:c>
      <x:c r="F1470" s="71" t="str">
        <x:v>Default</x:v>
      </x:c>
      <x:c r="G1470" s="71" t="str">
        <x:v>Label</x:v>
      </x:c>
      <x:c r="H1470" s="71" t="str">
        <x:v>a focused visit</x:v>
      </x:c>
      <x:c r="I1470" s="71" t="str">
        <x:v>a focused visit</x:v>
      </x:c>
      <x:c r="J1470" s="73"/>
      <x:c r="K1470" s="74" t="str">
        <x:f>IF(J1470="",H1470,IF(J1470=I1470,I1470,J1470))</x:f>
        <x:v>a focused visit</x:v>
      </x:c>
      <x:c r="L1470" s="74" t="str">
        <x:f>IF(J1470="","Keep current",IF(J1470=I1470,"Use suggestion","Custom"))</x:f>
        <x:v>Keep current</x:v>
      </x:c>
      <x:c r="M1470" s="71" t="str">
        <x:v>Pending review</x:v>
      </x:c>
      <x:c r="N1470" s="71" t="str">
        <x:v>Normal</x:v>
      </x:c>
      <x:c r="O1470" s="71" t="str">
        <x:v>components/journey-map-planner-workspace.tsx</x:v>
      </x:c>
      <x:c r="P1470" s="71" t="str">
        <x:v>duration:131</x:v>
      </x:c>
      <x:c r="Q1470" s="71" t="str">
        <x:v>EN (default / shared)</x:v>
      </x:c>
      <x:c r="R1470" s="71" t="str">
        <x:v>Already clear and direct; suggested wording intentionally keeps the current copy.</x:v>
      </x:c>
      <x:c r="S1470" s="75" t="str">
        <x:v>Not applied — review required</x:v>
      </x:c>
    </x:row>
    <x:row r="1471">
      <x:c r="A1471" s="71" t="str">
        <x:v>MRV-C040EEBE53</x:v>
      </x:c>
      <x:c r="B1471" s="71" t="str">
        <x:v>Planning</x:v>
      </x:c>
      <x:c r="C1471" s="71" t="str">
        <x:v>Planner recommendations</x:v>
      </x:c>
      <x:c r="D1471" s="71" t="str">
        <x:v>Shared planner output</x:v>
      </x:c>
      <x:c r="E1471" s="71" t="str">
        <x:v>pacing</x:v>
      </x:c>
      <x:c r="F1471" s="71" t="str">
        <x:v>Default</x:v>
      </x:c>
      <x:c r="G1471" s="71" t="str">
        <x:v>Body copy</x:v>
      </x:c>
      <x:c r="H1471" s="71" t="str">
        <x:v>Make this the anchor for a proper meal, then keep the rest of the day walkable {setting}.</x:v>
      </x:c>
      <x:c r="I1471" s="71" t="str">
        <x:v>Make this the anchor for a proper meal, then keep the rest of the day walkable {setting}.</x:v>
      </x:c>
      <x:c r="J1471" s="73"/>
      <x:c r="K1471" s="74" t="str">
        <x:f>IF(J1471="",H1471,IF(J1471=I1471,I1471,J1471))</x:f>
        <x:v>Make this the anchor for a proper meal, then keep the rest of the day walkable {setting}.</x:v>
      </x:c>
      <x:c r="L1471" s="74" t="str">
        <x:f>IF(J1471="","Keep current",IF(J1471=I1471,"Use suggestion","Custom"))</x:f>
        <x:v>Keep current</x:v>
      </x:c>
      <x:c r="M1471" s="71" t="str">
        <x:v>Pending review</x:v>
      </x:c>
      <x:c r="N1471" s="71" t="str">
        <x:v>Normal</x:v>
      </x:c>
      <x:c r="O1471" s="71" t="str">
        <x:v>components/journey-map-planner-workspace.tsx</x:v>
      </x:c>
      <x:c r="P1471" s="71" t="str">
        <x:v>pacing:133</x:v>
      </x:c>
      <x:c r="Q1471" s="71" t="str">
        <x:v>EN (default / shared)</x:v>
      </x:c>
      <x:c r="R1471" s="71" t="str">
        <x:v>Already clear and direct; suggested wording intentionally keeps the current copy. Dynamic traveller or trip value is represented as a token; user-generated values are excluded.</x:v>
      </x:c>
      <x:c r="S1471" s="75" t="str">
        <x:v>Not applied — review required</x:v>
      </x:c>
    </x:row>
    <x:row r="1472">
      <x:c r="A1472" s="71" t="str">
        <x:v>MRV-E75DD08AA6</x:v>
      </x:c>
      <x:c r="B1472" s="71" t="str">
        <x:v>Planning</x:v>
      </x:c>
      <x:c r="C1472" s="71" t="str">
        <x:v>Planner recommendations</x:v>
      </x:c>
      <x:c r="D1472" s="71" t="str">
        <x:v>Shared planner output</x:v>
      </x:c>
      <x:c r="E1472" s="71" t="str">
        <x:v>pacing</x:v>
      </x:c>
      <x:c r="F1472" s="71" t="str">
        <x:v>Default</x:v>
      </x:c>
      <x:c r="G1472" s="71" t="str">
        <x:v>CTA / button</x:v>
      </x:c>
      <x:c r="H1472" s="71" t="str">
        <x:v>Start early, leave some weather buffer, and avoid adding a long transfer on either side.</x:v>
      </x:c>
      <x:c r="I1472" s="71" t="str">
        <x:v>Start early, leave some weather buffer, and avoid adding a long transfer on either side.</x:v>
      </x:c>
      <x:c r="J1472" s="73"/>
      <x:c r="K1472" s="74" t="str">
        <x:f>IF(J1472="",H1472,IF(J1472=I1472,I1472,J1472))</x:f>
        <x:v>Start early, leave some weather buffer, and avoid adding a long transfer on either side.</x:v>
      </x:c>
      <x:c r="L1472" s="74" t="str">
        <x:f>IF(J1472="","Keep current",IF(J1472=I1472,"Use suggestion","Custom"))</x:f>
        <x:v>Keep current</x:v>
      </x:c>
      <x:c r="M1472" s="71" t="str">
        <x:v>Pending review</x:v>
      </x:c>
      <x:c r="N1472" s="71" t="str">
        <x:v>Medium</x:v>
      </x:c>
      <x:c r="O1472" s="71" t="str">
        <x:v>components/journey-map-planner-workspace.tsx</x:v>
      </x:c>
      <x:c r="P1472" s="71" t="str">
        <x:v>pacing:135</x:v>
      </x:c>
      <x:c r="Q1472" s="71" t="str">
        <x:v>EN (default / shared)</x:v>
      </x:c>
      <x:c r="R1472" s="71" t="str">
        <x:v>Already clear and direct; suggested wording intentionally keeps the current copy.</x:v>
      </x:c>
      <x:c r="S1472" s="75" t="str">
        <x:v>Not applied — review required</x:v>
      </x:c>
    </x:row>
    <x:row r="1473">
      <x:c r="A1473" s="71" t="str">
        <x:v>MRV-3C73055463</x:v>
      </x:c>
      <x:c r="B1473" s="71" t="str">
        <x:v>Planning</x:v>
      </x:c>
      <x:c r="C1473" s="71" t="str">
        <x:v>Planner recommendations</x:v>
      </x:c>
      <x:c r="D1473" s="71" t="str">
        <x:v>Shared planner output</x:v>
      </x:c>
      <x:c r="E1473" s="71" t="str">
        <x:v>pacing</x:v>
      </x:c>
      <x:c r="F1473" s="71" t="str">
        <x:v>Default</x:v>
      </x:c>
      <x:c r="G1473" s="71" t="str">
        <x:v>Body copy</x:v>
      </x:c>
      <x:c r="H1473" s="71" t="str">
        <x:v>Keep the surrounding time deliberately loose so weather and the pace of the day can lead.</x:v>
      </x:c>
      <x:c r="I1473" s="71" t="str">
        <x:v>Keep the surrounding time deliberately loose so weather and the pace of the day can lead.</x:v>
      </x:c>
      <x:c r="J1473" s="73"/>
      <x:c r="K1473" s="74" t="str">
        <x:f>IF(J1473="",H1473,IF(J1473=I1473,I1473,J1473))</x:f>
        <x:v>Keep the surrounding time deliberately loose so weather and the pace of the day can lead.</x:v>
      </x:c>
      <x:c r="L1473" s="74" t="str">
        <x:f>IF(J1473="","Keep current",IF(J1473=I1473,"Use suggestion","Custom"))</x:f>
        <x:v>Keep current</x:v>
      </x:c>
      <x:c r="M1473" s="71" t="str">
        <x:v>Pending review</x:v>
      </x:c>
      <x:c r="N1473" s="71" t="str">
        <x:v>Normal</x:v>
      </x:c>
      <x:c r="O1473" s="71" t="str">
        <x:v>components/journey-map-planner-workspace.tsx</x:v>
      </x:c>
      <x:c r="P1473" s="71" t="str">
        <x:v>pacing:137</x:v>
      </x:c>
      <x:c r="Q1473" s="71" t="str">
        <x:v>EN (default / shared)</x:v>
      </x:c>
      <x:c r="R1473" s="71" t="str">
        <x:v>Already clear and direct; suggested wording intentionally keeps the current copy.</x:v>
      </x:c>
      <x:c r="S1473" s="75" t="str">
        <x:v>Not applied — review required</x:v>
      </x:c>
    </x:row>
    <x:row r="1474">
      <x:c r="A1474" s="71" t="str">
        <x:v>MRV-8816799354</x:v>
      </x:c>
      <x:c r="B1474" s="71" t="str">
        <x:v>Planning</x:v>
      </x:c>
      <x:c r="C1474" s="71" t="str">
        <x:v>Planner recommendations</x:v>
      </x:c>
      <x:c r="D1474" s="71" t="str">
        <x:v>Shared planner output</x:v>
      </x:c>
      <x:c r="E1474" s="71" t="str">
        <x:v>pacing</x:v>
      </x:c>
      <x:c r="F1474" s="71" t="str">
        <x:v>Default</x:v>
      </x:c>
      <x:c r="G1474" s="71" t="str">
        <x:v>Body copy</x:v>
      </x:c>
      <x:c r="H1474" s="71" t="str">
        <x:v>Give it {duration}, then pair it only with nearby streets, food or another walkable stop.</x:v>
      </x:c>
      <x:c r="I1474" s="71" t="str">
        <x:v>Give it {duration}, then pair it only with nearby streets, food or another walkable stop.</x:v>
      </x:c>
      <x:c r="J1474" s="73"/>
      <x:c r="K1474" s="74" t="str">
        <x:f>IF(J1474="",H1474,IF(J1474=I1474,I1474,J1474))</x:f>
        <x:v>Give it {duration}, then pair it only with nearby streets, food or another walkable stop.</x:v>
      </x:c>
      <x:c r="L1474" s="74" t="str">
        <x:f>IF(J1474="","Keep current",IF(J1474=I1474,"Use suggestion","Custom"))</x:f>
        <x:v>Keep current</x:v>
      </x:c>
      <x:c r="M1474" s="71" t="str">
        <x:v>Pending review</x:v>
      </x:c>
      <x:c r="N1474" s="71" t="str">
        <x:v>Normal</x:v>
      </x:c>
      <x:c r="O1474" s="71" t="str">
        <x:v>components/journey-map-planner-workspace.tsx</x:v>
      </x:c>
      <x:c r="P1474" s="71" t="str">
        <x:v>pacing:139</x:v>
      </x:c>
      <x:c r="Q1474" s="71" t="str">
        <x:v>EN (default / shared)</x:v>
      </x:c>
      <x:c r="R147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74" s="75" t="str">
        <x:v>Not applied — review required</x:v>
      </x:c>
    </x:row>
    <x:row r="1475">
      <x:c r="A1475" s="71" t="str">
        <x:v>MRV-0738BC6982</x:v>
      </x:c>
      <x:c r="B1475" s="71" t="str">
        <x:v>Planning</x:v>
      </x:c>
      <x:c r="C1475" s="71" t="str">
        <x:v>Planner recommendations</x:v>
      </x:c>
      <x:c r="D1475" s="71" t="str">
        <x:v>Shared planner output</x:v>
      </x:c>
      <x:c r="E1475" s="71" t="str">
        <x:v>pacing</x:v>
      </x:c>
      <x:c r="F1475" s="71" t="str">
        <x:v>Default</x:v>
      </x:c>
      <x:c r="G1475" s="71" t="str">
        <x:v>Body copy</x:v>
      </x:c>
      <x:c r="H1475" s="71" t="str">
        <x:v>Treat it as one focused chapter {setting}, rather than trying to stack unrelated stops around it.</x:v>
      </x:c>
      <x:c r="I1475" s="71" t="str">
        <x:v>Treat it as one focused chapter {setting}, rather than trying to stack unrelated stops around it.</x:v>
      </x:c>
      <x:c r="J1475" s="73"/>
      <x:c r="K1475" s="74" t="str">
        <x:f>IF(J1475="",H1475,IF(J1475=I1475,I1475,J1475))</x:f>
        <x:v>Treat it as one focused chapter {setting}, rather than trying to stack unrelated stops around it.</x:v>
      </x:c>
      <x:c r="L1475" s="74" t="str">
        <x:f>IF(J1475="","Keep current",IF(J1475=I1475,"Use suggestion","Custom"))</x:f>
        <x:v>Keep current</x:v>
      </x:c>
      <x:c r="M1475" s="71" t="str">
        <x:v>Pending review</x:v>
      </x:c>
      <x:c r="N1475" s="71" t="str">
        <x:v>Normal</x:v>
      </x:c>
      <x:c r="O1475" s="71" t="str">
        <x:v>components/journey-map-planner-workspace.tsx</x:v>
      </x:c>
      <x:c r="P1475" s="71" t="str">
        <x:v>pacing:140</x:v>
      </x:c>
      <x:c r="Q1475" s="71" t="str">
        <x:v>EN (default / shared)</x:v>
      </x:c>
      <x:c r="R1475"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75" s="75" t="str">
        <x:v>Not applied — review required</x:v>
      </x:c>
    </x:row>
    <x:row r="1476">
      <x:c r="A1476" s="71" t="str">
        <x:v>MRV-AE60132583</x:v>
      </x:c>
      <x:c r="B1476" s="71" t="str">
        <x:v>Planning</x:v>
      </x:c>
      <x:c r="C1476" s="71" t="str">
        <x:v>Planner recommendations</x:v>
      </x:c>
      <x:c r="D1476" s="71" t="str">
        <x:v>Shared planner output</x:v>
      </x:c>
      <x:c r="E1476" s="71" t="str">
        <x:v>check</x:v>
      </x:c>
      <x:c r="F1476" s="71" t="str">
        <x:v>Default</x:v>
      </x:c>
      <x:c r="G1476" s="71" t="str">
        <x:v>CTA / button</x:v>
      </x:c>
      <x:c r="H1476" s="71" t="str">
        <x:v>Check the forecast, opening conditions and the return transport before committing the day.</x:v>
      </x:c>
      <x:c r="I1476" s="71" t="str">
        <x:v>Check the forecast, opening conditions and the return transport before committing the day.</x:v>
      </x:c>
      <x:c r="J1476" s="73"/>
      <x:c r="K1476" s="74" t="str">
        <x:f>IF(J1476="",H1476,IF(J1476=I1476,I1476,J1476))</x:f>
        <x:v>Check the forecast, opening conditions and the return transport before committing the day.</x:v>
      </x:c>
      <x:c r="L1476" s="74" t="str">
        <x:f>IF(J1476="","Keep current",IF(J1476=I1476,"Use suggestion","Custom"))</x:f>
        <x:v>Keep current</x:v>
      </x:c>
      <x:c r="M1476" s="71" t="str">
        <x:v>Pending review</x:v>
      </x:c>
      <x:c r="N1476" s="71" t="str">
        <x:v>Medium</x:v>
      </x:c>
      <x:c r="O1476" s="71" t="str">
        <x:v>components/journey-map-planner-workspace.tsx</x:v>
      </x:c>
      <x:c r="P1476" s="71" t="str">
        <x:v>check:142</x:v>
      </x:c>
      <x:c r="Q1476" s="71" t="str">
        <x:v>EN (default / shared)</x:v>
      </x:c>
      <x:c r="R1476" s="71" t="str">
        <x:v>Already clear and direct; suggested wording intentionally keeps the current copy.</x:v>
      </x:c>
      <x:c r="S1476" s="75" t="str">
        <x:v>Not applied — review required</x:v>
      </x:c>
    </x:row>
    <x:row r="1477">
      <x:c r="A1477" s="71" t="str">
        <x:v>MRV-369A0CB730</x:v>
      </x:c>
      <x:c r="B1477" s="71" t="str">
        <x:v>Planning</x:v>
      </x:c>
      <x:c r="C1477" s="71" t="str">
        <x:v>Planner recommendations</x:v>
      </x:c>
      <x:c r="D1477" s="71" t="str">
        <x:v>Shared planner output</x:v>
      </x:c>
      <x:c r="E1477" s="71" t="str">
        <x:v>check</x:v>
      </x:c>
      <x:c r="F1477" s="71" t="str">
        <x:v>Default</x:v>
      </x:c>
      <x:c r="G1477" s="71" t="str">
        <x:v>CTA / button</x:v>
      </x:c>
      <x:c r="H1477" s="71" t="str">
        <x:v>Check opening hours and whether a reservation is useful once the day and meal time are fixed.</x:v>
      </x:c>
      <x:c r="I1477" s="71" t="str">
        <x:v>Check opening hours and whether a reservation is useful once the day and meal time are fixed.</x:v>
      </x:c>
      <x:c r="J1477" s="73"/>
      <x:c r="K1477" s="74" t="str">
        <x:f>IF(J1477="",H1477,IF(J1477=I1477,I1477,J1477))</x:f>
        <x:v>Check opening hours and whether a reservation is useful once the day and meal time are fixed.</x:v>
      </x:c>
      <x:c r="L1477" s="74" t="str">
        <x:f>IF(J1477="","Keep current",IF(J1477=I1477,"Use suggestion","Custom"))</x:f>
        <x:v>Keep current</x:v>
      </x:c>
      <x:c r="M1477" s="71" t="str">
        <x:v>Pending review</x:v>
      </x:c>
      <x:c r="N1477" s="71" t="str">
        <x:v>Medium</x:v>
      </x:c>
      <x:c r="O1477" s="71" t="str">
        <x:v>components/journey-map-planner-workspace.tsx</x:v>
      </x:c>
      <x:c r="P1477" s="71" t="str">
        <x:v>check:144</x:v>
      </x:c>
      <x:c r="Q1477" s="71" t="str">
        <x:v>EN (default / shared)</x:v>
      </x:c>
      <x:c r="R1477" s="71" t="str">
        <x:v>Already clear and direct; suggested wording intentionally keeps the current copy.</x:v>
      </x:c>
      <x:c r="S1477" s="75" t="str">
        <x:v>Not applied — review required</x:v>
      </x:c>
    </x:row>
    <x:row r="1478">
      <x:c r="A1478" s="71" t="str">
        <x:v>MRV-3FB64476CF</x:v>
      </x:c>
      <x:c r="B1478" s="71" t="str">
        <x:v>Planning</x:v>
      </x:c>
      <x:c r="C1478" s="71" t="str">
        <x:v>Planner recommendations</x:v>
      </x:c>
      <x:c r="D1478" s="71" t="str">
        <x:v>Shared planner output</x:v>
      </x:c>
      <x:c r="E1478" s="71" t="str">
        <x:v>check</x:v>
      </x:c>
      <x:c r="F1478" s="71" t="str">
        <x:v>Default</x:v>
      </x:c>
      <x:c r="G1478" s="71" t="str">
        <x:v>CTA / button</x:v>
      </x:c>
      <x:c r="H1478" s="71" t="str">
        <x:v>Check opening hours, closure days and any timed-entry requirement before you lock the day in.</x:v>
      </x:c>
      <x:c r="I1478" s="71" t="str">
        <x:v>Check opening hours, closure days and any timed-entry requirement before you lock the day in.</x:v>
      </x:c>
      <x:c r="J1478" s="73"/>
      <x:c r="K1478" s="74" t="str">
        <x:f>IF(J1478="",H1478,IF(J1478=I1478,I1478,J1478))</x:f>
        <x:v>Check opening hours, closure days and any timed-entry requirement before you lock the day in.</x:v>
      </x:c>
      <x:c r="L1478" s="74" t="str">
        <x:f>IF(J1478="","Keep current",IF(J1478=I1478,"Use suggestion","Custom"))</x:f>
        <x:v>Keep current</x:v>
      </x:c>
      <x:c r="M1478" s="71" t="str">
        <x:v>Pending review</x:v>
      </x:c>
      <x:c r="N1478" s="71" t="str">
        <x:v>Medium</x:v>
      </x:c>
      <x:c r="O1478" s="71" t="str">
        <x:v>components/journey-map-planner-workspace.tsx</x:v>
      </x:c>
      <x:c r="P1478" s="71" t="str">
        <x:v>check:145</x:v>
      </x:c>
      <x:c r="Q1478" s="71" t="str">
        <x:v>EN (default / shared)</x:v>
      </x:c>
      <x:c r="R1478" s="71" t="str">
        <x:v>Already clear and direct; suggested wording intentionally keeps the current copy.</x:v>
      </x:c>
      <x:c r="S1478" s="75" t="str">
        <x:v>Not applied — review required</x:v>
      </x:c>
    </x:row>
    <x:row r="1479">
      <x:c r="A1479" s="71" t="str">
        <x:v>MRV-05DC34A24A</x:v>
      </x:c>
      <x:c r="B1479" s="71" t="str">
        <x:v>Planning</x:v>
      </x:c>
      <x:c r="C1479" s="71" t="str">
        <x:v>Planner recommendations</x:v>
      </x:c>
      <x:c r="D1479" s="71" t="str">
        <x:v>Shared planner output</x:v>
      </x:c>
      <x:c r="E1479" s="71" t="str">
        <x:v>customPlaceDetails</x:v>
      </x:c>
      <x:c r="F1479" s="71" t="str">
        <x:v>Default</x:v>
      </x:c>
      <x:c r="G1479" s="71" t="str">
        <x:v>Tooltip</x:v>
      </x:c>
      <x:c r="H1479" s="71" t="str">
        <x:v>Use the day well</x:v>
      </x:c>
      <x:c r="I1479" s="71" t="str">
        <x:v>Use the day well</x:v>
      </x:c>
      <x:c r="J1479" s="73"/>
      <x:c r="K1479" s="74" t="str">
        <x:f>IF(J1479="",H1479,IF(J1479=I1479,I1479,J1479))</x:f>
        <x:v>Use the day well</x:v>
      </x:c>
      <x:c r="L1479" s="74" t="str">
        <x:f>IF(J1479="","Keep current",IF(J1479=I1479,"Use suggestion","Custom"))</x:f>
        <x:v>Keep current</x:v>
      </x:c>
      <x:c r="M1479" s="71" t="str">
        <x:v>Pending review</x:v>
      </x:c>
      <x:c r="N1479" s="71" t="str">
        <x:v>Normal</x:v>
      </x:c>
      <x:c r="O1479" s="71" t="str">
        <x:v>components/journey-map-planner-workspace.tsx</x:v>
      </x:c>
      <x:c r="P1479" s="71" t="str">
        <x:v>customPlaceDetails:148</x:v>
      </x:c>
      <x:c r="Q1479" s="71" t="str">
        <x:v>EN (default / shared)</x:v>
      </x:c>
      <x:c r="R1479" s="71" t="str">
        <x:v>Already clear and direct; suggested wording intentionally keeps the current copy.</x:v>
      </x:c>
      <x:c r="S1479" s="75" t="str">
        <x:v>Not applied — review required</x:v>
      </x:c>
    </x:row>
    <x:row r="1480">
      <x:c r="A1480" s="71" t="str">
        <x:v>MRV-947D643494</x:v>
      </x:c>
      <x:c r="B1480" s="71" t="str">
        <x:v>Planning</x:v>
      </x:c>
      <x:c r="C1480" s="71" t="str">
        <x:v>Planner recommendations</x:v>
      </x:c>
      <x:c r="D1480" s="71" t="str">
        <x:v>Shared planner output</x:v>
      </x:c>
      <x:c r="E1480" s="71" t="str">
        <x:v>customPlaceDetails</x:v>
      </x:c>
      <x:c r="F1480" s="71" t="str">
        <x:v>Default</x:v>
      </x:c>
      <x:c r="G1480" s="71" t="str">
        <x:v>Tooltip</x:v>
      </x:c>
      <x:c r="H1480" s="71" t="str">
        <x:v>Before you go</x:v>
      </x:c>
      <x:c r="I1480" s="71" t="str">
        <x:v>Before you go</x:v>
      </x:c>
      <x:c r="J1480" s="73"/>
      <x:c r="K1480" s="74" t="str">
        <x:f>IF(J1480="",H1480,IF(J1480=I1480,I1480,J1480))</x:f>
        <x:v>Before you go</x:v>
      </x:c>
      <x:c r="L1480" s="74" t="str">
        <x:f>IF(J1480="","Keep current",IF(J1480=I1480,"Use suggestion","Custom"))</x:f>
        <x:v>Keep current</x:v>
      </x:c>
      <x:c r="M1480" s="71" t="str">
        <x:v>Pending review</x:v>
      </x:c>
      <x:c r="N1480" s="71" t="str">
        <x:v>Normal</x:v>
      </x:c>
      <x:c r="O1480" s="71" t="str">
        <x:v>components/journey-map-planner-workspace.tsx</x:v>
      </x:c>
      <x:c r="P1480" s="71" t="str">
        <x:v>customPlaceDetails:149</x:v>
      </x:c>
      <x:c r="Q1480" s="71" t="str">
        <x:v>EN (default / shared)</x:v>
      </x:c>
      <x:c r="R1480" s="71" t="str">
        <x:v>Already clear and direct; suggested wording intentionally keeps the current copy.</x:v>
      </x:c>
      <x:c r="S1480" s="75" t="str">
        <x:v>Not applied — review required</x:v>
      </x:c>
    </x:row>
    <x:row r="1481">
      <x:c r="A1481" s="71" t="str">
        <x:v>MRV-A964255901</x:v>
      </x:c>
      <x:c r="B1481" s="71" t="str">
        <x:v>Planning</x:v>
      </x:c>
      <x:c r="C1481" s="71" t="str">
        <x:v>Planner recommendations</x:v>
      </x:c>
      <x:c r="D1481" s="71" t="str">
        <x:v>Shared planner output</x:v>
      </x:c>
      <x:c r="E1481" s="71" t="str">
        <x:v>customDate</x:v>
      </x:c>
      <x:c r="F1481" s="71" t="str">
        <x:v>Default</x:v>
      </x:c>
      <x:c r="G1481" s="71" t="str">
        <x:v>Label</x:v>
      </x:c>
      <x:c r="H1481" s="71" t="str">
        <x:v>Date to confirm</x:v>
      </x:c>
      <x:c r="I1481" s="71" t="str">
        <x:v>Date to confirm</x:v>
      </x:c>
      <x:c r="J1481" s="73"/>
      <x:c r="K1481" s="74" t="str">
        <x:f>IF(J1481="",H1481,IF(J1481=I1481,I1481,J1481))</x:f>
        <x:v>Date to confirm</x:v>
      </x:c>
      <x:c r="L1481" s="74" t="str">
        <x:f>IF(J1481="","Keep current",IF(J1481=I1481,"Use suggestion","Custom"))</x:f>
        <x:v>Keep current</x:v>
      </x:c>
      <x:c r="M1481" s="71" t="str">
        <x:v>Pending review</x:v>
      </x:c>
      <x:c r="N1481" s="71" t="str">
        <x:v>Normal</x:v>
      </x:c>
      <x:c r="O1481" s="71" t="str">
        <x:v>components/journey-map-planner-workspace.tsx</x:v>
      </x:c>
      <x:c r="P1481" s="71" t="str">
        <x:v>customDate:152</x:v>
      </x:c>
      <x:c r="Q1481" s="71" t="str">
        <x:v>EN (default / shared)</x:v>
      </x:c>
      <x:c r="R1481" s="71" t="str">
        <x:v>Already clear and direct; suggested wording intentionally keeps the current copy. Duplicate wording: appears 3 times.</x:v>
      </x:c>
      <x:c r="S1481" s="75" t="str">
        <x:v>Not applied — review required</x:v>
      </x:c>
    </x:row>
    <x:row r="1482">
      <x:c r="A1482" s="71" t="str">
        <x:v>MRV-87D8530520</x:v>
      </x:c>
      <x:c r="B1482" s="71" t="str">
        <x:v>Planning</x:v>
      </x:c>
      <x:c r="C1482" s="71" t="str">
        <x:v>Planner recommendations</x:v>
      </x:c>
      <x:c r="D1482" s="71" t="str">
        <x:v>Shared planner output</x:v>
      </x:c>
      <x:c r="E1482" s="71" t="str">
        <x:v>formatEstimate</x:v>
      </x:c>
      <x:c r="F1482" s="71" t="str">
        <x:v>Offline / network failure</x:v>
      </x:c>
      <x:c r="G1482" s="71" t="str">
        <x:v>Label</x:v>
      </x:c>
      <x:c r="H1482" s="71" t="str">
        <x:v>Confirm connection</x:v>
      </x:c>
      <x:c r="I1482" s="71" t="str">
        <x:v>Confirm connection</x:v>
      </x:c>
      <x:c r="J1482" s="73"/>
      <x:c r="K1482" s="74" t="str">
        <x:f>IF(J1482="",H1482,IF(J1482=I1482,I1482,J1482))</x:f>
        <x:v>Confirm connection</x:v>
      </x:c>
      <x:c r="L1482" s="74" t="str">
        <x:f>IF(J1482="","Keep current",IF(J1482=I1482,"Use suggestion","Custom"))</x:f>
        <x:v>Keep current</x:v>
      </x:c>
      <x:c r="M1482" s="71" t="str">
        <x:v>Pending review</x:v>
      </x:c>
      <x:c r="N1482" s="71" t="str">
        <x:v>High</x:v>
      </x:c>
      <x:c r="O1482" s="71" t="str">
        <x:v>components/journey-map-planner-workspace.tsx</x:v>
      </x:c>
      <x:c r="P1482" s="71" t="str">
        <x:v>formatEstimate:155</x:v>
      </x:c>
      <x:c r="Q1482" s="71" t="str">
        <x:v>EN (default / shared)</x:v>
      </x:c>
      <x:c r="R1482" s="71" t="str">
        <x:v>Already clear and direct; suggested wording intentionally keeps the current copy.</x:v>
      </x:c>
      <x:c r="S1482" s="75" t="str">
        <x:v>Not applied — review required</x:v>
      </x:c>
    </x:row>
    <x:row r="1483">
      <x:c r="A1483" s="71" t="str">
        <x:v>MRV-26074D98C0</x:v>
      </x:c>
      <x:c r="B1483" s="71" t="str">
        <x:v>Planning</x:v>
      </x:c>
      <x:c r="C1483" s="71" t="str">
        <x:v>Planner recommendations</x:v>
      </x:c>
      <x:c r="D1483" s="71" t="str">
        <x:v>Shared planner output</x:v>
      </x:c>
      <x:c r="E1483" s="71" t="str">
        <x:v>formatEstimate</x:v>
      </x:c>
      <x:c r="F1483" s="71" t="str">
        <x:v>Offline / network failure</x:v>
      </x:c>
      <x:c r="G1483" s="71" t="str">
        <x:v>Body copy</x:v>
      </x:c>
      <x:c r="H1483" s="71" t="str">
        <x:v>{Math.floor(minutes / 60)}h {String(minutes % 60).padStart(2, "0")}m approx.</x:v>
      </x:c>
      <x:c r="I1483" s="71" t="str">
        <x:v>{Math.floor(minutes / 60)}h {String(minutes % 60).padStart(2, "0")}m approx.</x:v>
      </x:c>
      <x:c r="J1483" s="73"/>
      <x:c r="K1483" s="74" t="str">
        <x:f>IF(J1483="",H1483,IF(J1483=I1483,I1483,J1483))</x:f>
        <x:v>{Math.floor(minutes / 60)}h {String(minutes % 60).padStart(2, "0")}m approx.</x:v>
      </x:c>
      <x:c r="L1483" s="74" t="str">
        <x:f>IF(J1483="","Keep current",IF(J1483=I1483,"Use suggestion","Custom"))</x:f>
        <x:v>Keep current</x:v>
      </x:c>
      <x:c r="M1483" s="71" t="str">
        <x:v>Pending review</x:v>
      </x:c>
      <x:c r="N1483" s="71" t="str">
        <x:v>High</x:v>
      </x:c>
      <x:c r="O1483" s="71" t="str">
        <x:v>components/journey-map-planner-workspace.tsx</x:v>
      </x:c>
      <x:c r="P1483" s="71" t="str">
        <x:v>formatEstimate:155</x:v>
      </x:c>
      <x:c r="Q1483" s="71" t="str">
        <x:v>EN (default / shared)</x:v>
      </x:c>
      <x:c r="R1483" s="71" t="str">
        <x:v>Already clear and direct; suggested wording intentionally keeps the current copy. Dynamic traveller or trip value is represented as a token; user-generated values are excluded.</x:v>
      </x:c>
      <x:c r="S1483" s="75" t="str">
        <x:v>Not applied — review required</x:v>
      </x:c>
    </x:row>
    <x:row r="1484">
      <x:c r="A1484" s="71" t="str">
        <x:v>MRV-803CEAEE99</x:v>
      </x:c>
      <x:c r="B1484" s="71" t="str">
        <x:v>Planning</x:v>
      </x:c>
      <x:c r="C1484" s="71" t="str">
        <x:v>Planner recommendations</x:v>
      </x:c>
      <x:c r="D1484" s="71" t="str">
        <x:v>Shared planner output</x:v>
      </x:c>
      <x:c r="E1484" s="71" t="str">
        <x:v>stopId</x:v>
      </x:c>
      <x:c r="F1484" s="71" t="str">
        <x:v>Default</x:v>
      </x:c>
      <x:c r="G1484" s="71" t="str">
        <x:v>Body copy</x:v>
      </x:c>
      <x:c r="H1484" s="71" t="str">
        <x:v>custom-{destination.id}-{localDay + 1}</x:v>
      </x:c>
      <x:c r="I1484" s="71" t="str">
        <x:v>custom-{destination.id}-{localDay + 1}</x:v>
      </x:c>
      <x:c r="J1484" s="73"/>
      <x:c r="K1484" s="74" t="str">
        <x:f>IF(J1484="",H1484,IF(J1484=I1484,I1484,J1484))</x:f>
        <x:v>custom-{destination.id}-{localDay + 1}</x:v>
      </x:c>
      <x:c r="L1484" s="74" t="str">
        <x:f>IF(J1484="","Keep current",IF(J1484=I1484,"Use suggestion","Custom"))</x:f>
        <x:v>Keep current</x:v>
      </x:c>
      <x:c r="M1484" s="71" t="str">
        <x:v>Pending review</x:v>
      </x:c>
      <x:c r="N1484" s="71" t="str">
        <x:v>Normal</x:v>
      </x:c>
      <x:c r="O1484" s="71" t="str">
        <x:v>components/journey-map-planner-workspace.tsx</x:v>
      </x:c>
      <x:c r="P1484" s="71" t="str">
        <x:v>stopId:185</x:v>
      </x:c>
      <x:c r="Q1484" s="71" t="str">
        <x:v>EN (default / shared)</x:v>
      </x:c>
      <x:c r="R148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84" s="75" t="str">
        <x:v>Not applied — review required</x:v>
      </x:c>
    </x:row>
    <x:row r="1485">
      <x:c r="A1485" s="71" t="str">
        <x:v>MRV-1B68F730BA</x:v>
      </x:c>
      <x:c r="B1485" s="71" t="str">
        <x:v>Planning</x:v>
      </x:c>
      <x:c r="C1485" s="71" t="str">
        <x:v>Planner recommendations</x:v>
      </x:c>
      <x:c r="D1485" s="71" t="str">
        <x:v>Shared planner output</x:v>
      </x:c>
      <x:c r="E1485" s="71" t="str">
        <x:v>makeCustomJourney</x:v>
      </x:c>
      <x:c r="F1485" s="71" t="str">
        <x:v>Default</x:v>
      </x:c>
      <x:c r="G1485" s="71" t="str">
        <x:v>Label</x:v>
      </x:c>
      <x:c r="H1485" s="71" t="str">
        <x:v>Day {dayNumber}</x:v>
      </x:c>
      <x:c r="I1485" s="71" t="str">
        <x:v>Day {dayNumber}</x:v>
      </x:c>
      <x:c r="J1485" s="73"/>
      <x:c r="K1485" s="74" t="str">
        <x:f>IF(J1485="",H1485,IF(J1485=I1485,I1485,J1485))</x:f>
        <x:v>Day {dayNumber}</x:v>
      </x:c>
      <x:c r="L1485" s="74" t="str">
        <x:f>IF(J1485="","Keep current",IF(J1485=I1485,"Use suggestion","Custom"))</x:f>
        <x:v>Keep current</x:v>
      </x:c>
      <x:c r="M1485" s="71" t="str">
        <x:v>Pending review</x:v>
      </x:c>
      <x:c r="N1485" s="71" t="str">
        <x:v>Normal</x:v>
      </x:c>
      <x:c r="O1485" s="71" t="str">
        <x:v>components/journey-map-planner-workspace.tsx</x:v>
      </x:c>
      <x:c r="P1485" s="71" t="str">
        <x:v>makeCustomJourney:192</x:v>
      </x:c>
      <x:c r="Q1485" s="71" t="str">
        <x:v>EN (default / shared)</x:v>
      </x:c>
      <x:c r="R1485" s="71" t="str">
        <x:v>Already clear and direct; suggested wording intentionally keeps the current copy. Dynamic traveller or trip value is represented as a token; user-generated values are excluded.</x:v>
      </x:c>
      <x:c r="S1485" s="75" t="str">
        <x:v>Not applied — review required</x:v>
      </x:c>
    </x:row>
    <x:row r="1486">
      <x:c r="A1486" s="71" t="str">
        <x:v>MRV-65C824D6B8</x:v>
      </x:c>
      <x:c r="B1486" s="71" t="str">
        <x:v>Planning</x:v>
      </x:c>
      <x:c r="C1486" s="71" t="str">
        <x:v>Planner recommendations</x:v>
      </x:c>
      <x:c r="D1486" s="71" t="str">
        <x:v>Shared planner output</x:v>
      </x:c>
      <x:c r="E1486" s="71" t="str">
        <x:v>makeCustomJourney</x:v>
      </x:c>
      <x:c r="F1486" s="71" t="str">
        <x:v>Default</x:v>
      </x:c>
      <x:c r="G1486" s="71" t="str">
        <x:v>Tooltip</x:v>
      </x:c>
      <x:c r="H1486" s="71" t="str">
        <x:v>Arrive in {base}</x:v>
      </x:c>
      <x:c r="I1486" s="71" t="str">
        <x:v>Arrive in {base}</x:v>
      </x:c>
      <x:c r="J1486" s="73"/>
      <x:c r="K1486" s="74" t="str">
        <x:f>IF(J1486="",H1486,IF(J1486=I1486,I1486,J1486))</x:f>
        <x:v>Arrive in {base}</x:v>
      </x:c>
      <x:c r="L1486" s="74" t="str">
        <x:f>IF(J1486="","Keep current",IF(J1486=I1486,"Use suggestion","Custom"))</x:f>
        <x:v>Keep current</x:v>
      </x:c>
      <x:c r="M1486" s="71" t="str">
        <x:v>Pending review</x:v>
      </x:c>
      <x:c r="N1486" s="71" t="str">
        <x:v>Normal</x:v>
      </x:c>
      <x:c r="O1486" s="71" t="str">
        <x:v>components/journey-map-planner-workspace.tsx</x:v>
      </x:c>
      <x:c r="P1486" s="71" t="str">
        <x:v>makeCustomJourney:192</x:v>
      </x:c>
      <x:c r="Q1486" s="71" t="str">
        <x:v>EN (default / shared)</x:v>
      </x:c>
      <x:c r="R1486" s="71" t="str">
        <x:v>Already clear and direct; suggested wording intentionally keeps the current copy. Dynamic traveller or trip value is represented as a token; user-generated values are excluded.</x:v>
      </x:c>
      <x:c r="S1486" s="75" t="str">
        <x:v>Not applied — review required</x:v>
      </x:c>
    </x:row>
    <x:row r="1487">
      <x:c r="A1487" s="71" t="str">
        <x:v>MRV-2AA00B93AF</x:v>
      </x:c>
      <x:c r="B1487" s="71" t="str">
        <x:v>Planning</x:v>
      </x:c>
      <x:c r="C1487" s="71" t="str">
        <x:v>Planner recommendations</x:v>
      </x:c>
      <x:c r="D1487" s="71" t="str">
        <x:v>Shared planner output</x:v>
      </x:c>
      <x:c r="E1487" s="71" t="str">
        <x:v>makeCustomJourney</x:v>
      </x:c>
      <x:c r="F1487" s="71" t="str">
        <x:v>Default</x:v>
      </x:c>
      <x:c r="G1487" s="71" t="str">
        <x:v>Tooltip</x:v>
      </x:c>
      <x:c r="H1487" s="71" t="str">
        <x:v>Explore {base}</x:v>
      </x:c>
      <x:c r="I1487" s="71" t="str">
        <x:v>Explore {base}</x:v>
      </x:c>
      <x:c r="J1487" s="73"/>
      <x:c r="K1487" s="74" t="str">
        <x:f>IF(J1487="",H1487,IF(J1487=I1487,I1487,J1487))</x:f>
        <x:v>Explore {base}</x:v>
      </x:c>
      <x:c r="L1487" s="74" t="str">
        <x:f>IF(J1487="","Keep current",IF(J1487=I1487,"Use suggestion","Custom"))</x:f>
        <x:v>Keep current</x:v>
      </x:c>
      <x:c r="M1487" s="71" t="str">
        <x:v>Pending review</x:v>
      </x:c>
      <x:c r="N1487" s="71" t="str">
        <x:v>Normal</x:v>
      </x:c>
      <x:c r="O1487" s="71" t="str">
        <x:v>components/journey-map-planner-workspace.tsx</x:v>
      </x:c>
      <x:c r="P1487" s="71" t="str">
        <x:v>makeCustomJourney:192</x:v>
      </x:c>
      <x:c r="Q1487" s="71" t="str">
        <x:v>EN (default / shared)</x:v>
      </x:c>
      <x:c r="R1487" s="71" t="str">
        <x:v>Already clear and direct; suggested wording intentionally keeps the current copy. Dynamic traveller or trip value is represented as a token; user-generated values are excluded.</x:v>
      </x:c>
      <x:c r="S1487" s="75" t="str">
        <x:v>Not applied — review required</x:v>
      </x:c>
    </x:row>
    <x:row r="1488">
      <x:c r="A1488" s="71" t="str">
        <x:v>MRV-970ECFF9DD</x:v>
      </x:c>
      <x:c r="B1488" s="71" t="str">
        <x:v>Planning</x:v>
      </x:c>
      <x:c r="C1488" s="71" t="str">
        <x:v>Planner recommendations</x:v>
      </x:c>
      <x:c r="D1488" s="71" t="str">
        <x:v>Shared planner output</x:v>
      </x:c>
      <x:c r="E1488" s="71" t="str">
        <x:v>makeCustomJourney</x:v>
      </x:c>
      <x:c r="F1488" s="71" t="str">
        <x:v>Default</x:v>
      </x:c>
      <x:c r="G1488" s="71" t="str">
        <x:v>Tooltip</x:v>
      </x:c>
      <x:c r="H1488" s="71" t="str">
        <x:v>Your Journey</x:v>
      </x:c>
      <x:c r="I1488" s="71" t="str">
        <x:v>Your Journey</x:v>
      </x:c>
      <x:c r="J1488" s="73"/>
      <x:c r="K1488" s="74" t="str">
        <x:f>IF(J1488="",H1488,IF(J1488=I1488,I1488,J1488))</x:f>
        <x:v>Your Journey</x:v>
      </x:c>
      <x:c r="L1488" s="74" t="str">
        <x:f>IF(J1488="","Keep current",IF(J1488=I1488,"Use suggestion","Custom"))</x:f>
        <x:v>Keep current</x:v>
      </x:c>
      <x:c r="M1488" s="71" t="str">
        <x:v>Pending review</x:v>
      </x:c>
      <x:c r="N1488" s="71" t="str">
        <x:v>Normal</x:v>
      </x:c>
      <x:c r="O1488" s="71" t="str">
        <x:v>components/journey-map-planner-workspace.tsx</x:v>
      </x:c>
      <x:c r="P1488" s="71" t="str">
        <x:v>makeCustomJourney:201</x:v>
      </x:c>
      <x:c r="Q1488" s="71" t="str">
        <x:v>EN (default / shared)</x:v>
      </x:c>
      <x:c r="R1488" s="71" t="str">
        <x:v>Already clear and direct; suggested wording intentionally keeps the current copy. Duplicate wording: appears 2 times. Terminology watch: ‘trip’ and ‘journey’ both describe the same plan. Terminology watch: ‘stops’, ‘destinations’ and ‘places’ overlap.</x:v>
      </x:c>
      <x:c r="S1488" s="75" t="str">
        <x:v>Not applied — review required</x:v>
      </x:c>
    </x:row>
    <x:row r="1489">
      <x:c r="A1489" s="71" t="str">
        <x:v>MRV-3314E59352</x:v>
      </x:c>
      <x:c r="B1489" s="71" t="str">
        <x:v>Planning</x:v>
      </x:c>
      <x:c r="C1489" s="71" t="str">
        <x:v>Planner recommendations</x:v>
      </x:c>
      <x:c r="D1489" s="71" t="str">
        <x:v>Shared planner output</x:v>
      </x:c>
      <x:c r="E1489" s="71" t="str">
        <x:v>stopId</x:v>
      </x:c>
      <x:c r="F1489" s="71" t="str">
        <x:v>Default</x:v>
      </x:c>
      <x:c r="G1489" s="71" t="str">
        <x:v>Body copy</x:v>
      </x:c>
      <x:c r="H1489" s="71" t="str">
        <x:v>{trip.id}-day-{item.dayNumber}</x:v>
      </x:c>
      <x:c r="I1489" s="71" t="str">
        <x:v>{trip.id}-day-{item.dayNumber}</x:v>
      </x:c>
      <x:c r="J1489" s="73"/>
      <x:c r="K1489" s="74" t="str">
        <x:f>IF(J1489="",H1489,IF(J1489=I1489,I1489,J1489))</x:f>
        <x:v>{trip.id}-day-{item.dayNumber}</x:v>
      </x:c>
      <x:c r="L1489" s="74" t="str">
        <x:f>IF(J1489="","Keep current",IF(J1489=I1489,"Use suggestion","Custom"))</x:f>
        <x:v>Keep current</x:v>
      </x:c>
      <x:c r="M1489" s="71" t="str">
        <x:v>Pending review</x:v>
      </x:c>
      <x:c r="N1489" s="71" t="str">
        <x:v>Normal</x:v>
      </x:c>
      <x:c r="O1489" s="71" t="str">
        <x:v>components/journey-map-planner-workspace.tsx</x:v>
      </x:c>
      <x:c r="P1489" s="71" t="str">
        <x:v>stopId:234</x:v>
      </x:c>
      <x:c r="Q1489" s="71" t="str">
        <x:v>EN (default / shared)</x:v>
      </x:c>
      <x:c r="R148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89" s="75" t="str">
        <x:v>Not applied — review required</x:v>
      </x:c>
    </x:row>
    <x:row r="1490">
      <x:c r="A1490" s="71" t="str">
        <x:v>MRV-9DA45F4EEE</x:v>
      </x:c>
      <x:c r="B1490" s="71" t="str">
        <x:v>Planning</x:v>
      </x:c>
      <x:c r="C1490" s="71" t="str">
        <x:v>Planner recommendations</x:v>
      </x:c>
      <x:c r="D1490" s="71" t="str">
        <x:v>Shared planner output</x:v>
      </x:c>
      <x:c r="E1490" s="71" t="str">
        <x:v>calendar</x:v>
      </x:c>
      <x:c r="F1490" s="71" t="str">
        <x:v>Default</x:v>
      </x:c>
      <x:c r="G1490" s="71" t="str">
        <x:v>Body copy</x:v>
      </x:c>
      <x:c r="H1490" s="71" t="str">
        <x:v>Day {item.dayNumber}</x:v>
      </x:c>
      <x:c r="I1490" s="71" t="str">
        <x:v>Day {item.dayNumber}</x:v>
      </x:c>
      <x:c r="J1490" s="73"/>
      <x:c r="K1490" s="74" t="str">
        <x:f>IF(J1490="",H1490,IF(J1490=I1490,I1490,J1490))</x:f>
        <x:v>Day {item.dayNumber}</x:v>
      </x:c>
      <x:c r="L1490" s="74" t="str">
        <x:f>IF(J1490="","Keep current",IF(J1490=I1490,"Use suggestion","Custom"))</x:f>
        <x:v>Keep current</x:v>
      </x:c>
      <x:c r="M1490" s="71" t="str">
        <x:v>Pending review</x:v>
      </x:c>
      <x:c r="N1490" s="71" t="str">
        <x:v>Normal</x:v>
      </x:c>
      <x:c r="O1490" s="71" t="str">
        <x:v>components/journey-map-planner-workspace.tsx</x:v>
      </x:c>
      <x:c r="P1490" s="71" t="str">
        <x:v>calendar:269</x:v>
      </x:c>
      <x:c r="Q1490" s="71" t="str">
        <x:v>EN (default / shared)</x:v>
      </x:c>
      <x:c r="R1490" s="71" t="str">
        <x:v>Already clear and direct; suggested wording intentionally keeps the current copy. Dynamic traveller or trip value is represented as a token; user-generated values are excluded.</x:v>
      </x:c>
      <x:c r="S1490" s="75" t="str">
        <x:v>Not applied — review required</x:v>
      </x:c>
    </x:row>
    <x:row r="1491">
      <x:c r="A1491" s="71" t="str">
        <x:v>MRV-412CD608FD</x:v>
      </x:c>
      <x:c r="B1491" s="71" t="str">
        <x:v>Planning</x:v>
      </x:c>
      <x:c r="C1491" s="71" t="str">
        <x:v>Planner recommendations</x:v>
      </x:c>
      <x:c r="D1491" s="71" t="str">
        <x:v>Shared planner output</x:v>
      </x:c>
      <x:c r="E1491" s="71" t="str">
        <x:v>legs</x:v>
      </x:c>
      <x:c r="F1491" s="71" t="str">
        <x:v>Default</x:v>
      </x:c>
      <x:c r="G1491" s="71" t="str">
        <x:v>Body copy</x:v>
      </x:c>
      <x:c r="H1491" s="71" t="str">
        <x:v>{from.city} → {stop.city}</x:v>
      </x:c>
      <x:c r="I1491" s="71" t="str">
        <x:v>{from.city} → {stop.city}</x:v>
      </x:c>
      <x:c r="J1491" s="73"/>
      <x:c r="K1491" s="74" t="str">
        <x:f>IF(J1491="",H1491,IF(J1491=I1491,I1491,J1491))</x:f>
        <x:v>{from.city} → {stop.city}</x:v>
      </x:c>
      <x:c r="L1491" s="74" t="str">
        <x:f>IF(J1491="","Keep current",IF(J1491=I1491,"Use suggestion","Custom"))</x:f>
        <x:v>Keep current</x:v>
      </x:c>
      <x:c r="M1491" s="71" t="str">
        <x:v>Pending review</x:v>
      </x:c>
      <x:c r="N1491" s="71" t="str">
        <x:v>Normal</x:v>
      </x:c>
      <x:c r="O1491" s="71" t="str">
        <x:v>components/journey-map-planner-workspace.tsx</x:v>
      </x:c>
      <x:c r="P1491" s="71" t="str">
        <x:v>legs:284</x:v>
      </x:c>
      <x:c r="Q1491" s="71" t="str">
        <x:v>EN (default / shared)</x:v>
      </x:c>
      <x:c r="R1491"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91" s="75" t="str">
        <x:v>Not applied — review required</x:v>
      </x:c>
    </x:row>
    <x:row r="1492">
      <x:c r="A1492" s="71" t="str">
        <x:v>MRV-A6B6B321F6</x:v>
      </x:c>
      <x:c r="B1492" s="71" t="str">
        <x:v>Planning</x:v>
      </x:c>
      <x:c r="C1492" s="71" t="str">
        <x:v>Planner recommendations</x:v>
      </x:c>
      <x:c r="D1492" s="71" t="str">
        <x:v>Shared planner output</x:v>
      </x:c>
      <x:c r="E1492" s="71" t="str">
        <x:v>makeEasyTJourney</x:v>
      </x:c>
      <x:c r="F1492" s="71" t="str">
        <x:v>Default</x:v>
      </x:c>
      <x:c r="G1492" s="71" t="str">
        <x:v>Tooltip</x:v>
      </x:c>
      <x:c r="H1492" s="71" t="str">
        <x:v>Your Journey</x:v>
      </x:c>
      <x:c r="I1492" s="71" t="str">
        <x:v>Your Journey</x:v>
      </x:c>
      <x:c r="J1492" s="73"/>
      <x:c r="K1492" s="74" t="str">
        <x:f>IF(J1492="",H1492,IF(J1492=I1492,I1492,J1492))</x:f>
        <x:v>Your Journey</x:v>
      </x:c>
      <x:c r="L1492" s="74" t="str">
        <x:f>IF(J1492="","Keep current",IF(J1492=I1492,"Use suggestion","Custom"))</x:f>
        <x:v>Keep current</x:v>
      </x:c>
      <x:c r="M1492" s="71" t="str">
        <x:v>Pending review</x:v>
      </x:c>
      <x:c r="N1492" s="71" t="str">
        <x:v>Normal</x:v>
      </x:c>
      <x:c r="O1492" s="71" t="str">
        <x:v>components/journey-map-planner-workspace.tsx</x:v>
      </x:c>
      <x:c r="P1492" s="71" t="str">
        <x:v>makeEasyTJourney:290</x:v>
      </x:c>
      <x:c r="Q1492" s="71" t="str">
        <x:v>EN (default / shared)</x:v>
      </x:c>
      <x:c r="R1492" s="71" t="str">
        <x:v>Already clear and direct; suggested wording intentionally keeps the current copy. Duplicate wording: appears 2 times. Terminology watch: ‘trip’ and ‘journey’ both describe the same plan. Terminology watch: ‘stops’, ‘destinations’ and ‘places’ overlap.</x:v>
      </x:c>
      <x:c r="S1492" s="75" t="str">
        <x:v>Not applied — review required</x:v>
      </x:c>
    </x:row>
    <x:row r="1493">
      <x:c r="A1493" s="71" t="str">
        <x:v>MRV-547437D1BB</x:v>
      </x:c>
      <x:c r="B1493" s="71" t="str">
        <x:v>Planning</x:v>
      </x:c>
      <x:c r="C1493" s="71" t="str">
        <x:v>Planner recommendations</x:v>
      </x:c>
      <x:c r="D1493" s="71" t="str">
        <x:v>Shared planner output</x:v>
      </x:c>
      <x:c r="E1493" s="71" t="str">
        <x:v>emptyJourneyDay</x:v>
      </x:c>
      <x:c r="F1493" s="71" t="str">
        <x:v>Default</x:v>
      </x:c>
      <x:c r="G1493" s="71" t="str">
        <x:v>Tooltip</x:v>
      </x:c>
      <x:c r="H1493" s="71" t="str">
        <x:v>Itinerary to confirm</x:v>
      </x:c>
      <x:c r="I1493" s="71" t="str">
        <x:v>Itinerary to confirm</x:v>
      </x:c>
      <x:c r="J1493" s="73"/>
      <x:c r="K1493" s="74" t="str">
        <x:f>IF(J1493="",H1493,IF(J1493=I1493,I1493,J1493))</x:f>
        <x:v>Itinerary to confirm</x:v>
      </x:c>
      <x:c r="L1493" s="74" t="str">
        <x:f>IF(J1493="","Keep current",IF(J1493=I1493,"Use suggestion","Custom"))</x:f>
        <x:v>Keep current</x:v>
      </x:c>
      <x:c r="M1493" s="71" t="str">
        <x:v>Pending review</x:v>
      </x:c>
      <x:c r="N1493" s="71" t="str">
        <x:v>Normal</x:v>
      </x:c>
      <x:c r="O1493" s="71" t="str">
        <x:v>components/journey-map-planner-workspace.tsx</x:v>
      </x:c>
      <x:c r="P1493" s="71" t="str">
        <x:v>emptyJourneyDay:304</x:v>
      </x:c>
      <x:c r="Q1493" s="71" t="str">
        <x:v>EN (default / shared)</x:v>
      </x:c>
      <x:c r="R1493" s="71" t="str">
        <x:v>Already clear and direct; suggested wording intentionally keeps the current copy. Duplicate wording: appears 2 times.</x:v>
      </x:c>
      <x:c r="S1493" s="75" t="str">
        <x:v>Not applied — review required</x:v>
      </x:c>
    </x:row>
    <x:row r="1494">
      <x:c r="A1494" s="71" t="str">
        <x:v>MRV-31181E442A</x:v>
      </x:c>
      <x:c r="B1494" s="71" t="str">
        <x:v>Planning</x:v>
      </x:c>
      <x:c r="C1494" s="71" t="str">
        <x:v>Planner recommendations</x:v>
      </x:c>
      <x:c r="D1494" s="71" t="str">
        <x:v>Shared planner output</x:v>
      </x:c>
      <x:c r="E1494" s="71" t="str">
        <x:v>JourneyMapPlannerWorkspace</x:v>
      </x:c>
      <x:c r="F1494" s="71" t="str">
        <x:v>Default</x:v>
      </x:c>
      <x:c r="G1494" s="71" t="str">
        <x:v>Body copy</x:v>
      </x:c>
      <x:c r="H1494" s="71" t="str">
        <x:v>{providedTrip?.id}-calendar-{firstProvidedItem.dayNumber}</x:v>
      </x:c>
      <x:c r="I1494" s="71" t="str">
        <x:v>{providedTrip?.id}-calendar-{firstProvidedItem.dayNumber}</x:v>
      </x:c>
      <x:c r="J1494" s="73"/>
      <x:c r="K1494" s="74" t="str">
        <x:f>IF(J1494="",H1494,IF(J1494=I1494,I1494,J1494))</x:f>
        <x:v>{providedTrip?.id}-calendar-{firstProvidedItem.dayNumber}</x:v>
      </x:c>
      <x:c r="L1494" s="74" t="str">
        <x:f>IF(J1494="","Keep current",IF(J1494=I1494,"Use suggestion","Custom"))</x:f>
        <x:v>Keep current</x:v>
      </x:c>
      <x:c r="M1494" s="71" t="str">
        <x:v>Pending review</x:v>
      </x:c>
      <x:c r="N1494" s="71" t="str">
        <x:v>Normal</x:v>
      </x:c>
      <x:c r="O1494" s="71" t="str">
        <x:v>components/journey-map-planner-workspace.tsx</x:v>
      </x:c>
      <x:c r="P1494" s="71" t="str">
        <x:v>JourneyMapPlannerWorkspace:338</x:v>
      </x:c>
      <x:c r="Q1494" s="71" t="str">
        <x:v>EN (default / shared)</x:v>
      </x:c>
      <x:c r="R1494" s="71" t="str">
        <x:v>Already clear and direct; suggested wording intentionally keeps the current copy. Dynamic traveller or trip value is represented as a token; user-generated values are excluded.</x:v>
      </x:c>
      <x:c r="S1494" s="75" t="str">
        <x:v>Not applied — review required</x:v>
      </x:c>
    </x:row>
    <x:row r="1495">
      <x:c r="A1495" s="71" t="str">
        <x:v>MRV-D833B89327</x:v>
      </x:c>
      <x:c r="B1495" s="71" t="str">
        <x:v>Planning</x:v>
      </x:c>
      <x:c r="C1495" s="71" t="str">
        <x:v>Planner recommendations</x:v>
      </x:c>
      <x:c r="D1495" s="71" t="str">
        <x:v>Shared planner output</x:v>
      </x:c>
      <x:c r="E1495" s="71" t="str">
        <x:v>JourneyMapPlannerWorkspace</x:v>
      </x:c>
      <x:c r="F1495" s="71" t="str">
        <x:v>Default</x:v>
      </x:c>
      <x:c r="G1495" s="71" t="str">
        <x:v>Body copy</x:v>
      </x:c>
      <x:c r="H1495" s="71" t="str">
        <x:v>{providedTrip?.id}-day-{firstProvidedItem.dayNumber}</x:v>
      </x:c>
      <x:c r="I1495" s="71" t="str">
        <x:v>{providedTrip?.id}-day-{firstProvidedItem.dayNumber}</x:v>
      </x:c>
      <x:c r="J1495" s="73"/>
      <x:c r="K1495" s="74" t="str">
        <x:f>IF(J1495="",H1495,IF(J1495=I1495,I1495,J1495))</x:f>
        <x:v>{providedTrip?.id}-day-{firstProvidedItem.dayNumber}</x:v>
      </x:c>
      <x:c r="L1495" s="74" t="str">
        <x:f>IF(J1495="","Keep current",IF(J1495=I1495,"Use suggestion","Custom"))</x:f>
        <x:v>Keep current</x:v>
      </x:c>
      <x:c r="M1495" s="71" t="str">
        <x:v>Pending review</x:v>
      </x:c>
      <x:c r="N1495" s="71" t="str">
        <x:v>Normal</x:v>
      </x:c>
      <x:c r="O1495" s="71" t="str">
        <x:v>components/journey-map-planner-workspace.tsx</x:v>
      </x:c>
      <x:c r="P1495" s="71" t="str">
        <x:v>JourneyMapPlannerWorkspace:340</x:v>
      </x:c>
      <x:c r="Q1495" s="71" t="str">
        <x:v>EN (default / shared)</x:v>
      </x:c>
      <x:c r="R1495" s="71" t="str">
        <x:v>Already clear and direct; suggested wording intentionally keeps the current copy. Dynamic traveller or trip value is represented as a token; user-generated values are excluded.</x:v>
      </x:c>
      <x:c r="S1495" s="75" t="str">
        <x:v>Not applied — review required</x:v>
      </x:c>
    </x:row>
    <x:row r="1496">
      <x:c r="A1496" s="71" t="str">
        <x:v>MRV-A438287D05</x:v>
      </x:c>
      <x:c r="B1496" s="71" t="str">
        <x:v>Planning</x:v>
      </x:c>
      <x:c r="C1496" s="71" t="str">
        <x:v>Planner recommendations</x:v>
      </x:c>
      <x:c r="D1496" s="71" t="str">
        <x:v>Shared planner output</x:v>
      </x:c>
      <x:c r="E1496" s="71" t="str">
        <x:v>healthCopy</x:v>
      </x:c>
      <x:c r="F1496" s="71" t="str">
        <x:v>Default</x:v>
      </x:c>
      <x:c r="G1496" s="71" t="str">
        <x:v>Tooltip</x:v>
      </x:c>
      <x:c r="H1496" s="71" t="str">
        <x:v>SALUD DEL VIAJE</x:v>
      </x:c>
      <x:c r="I1496" s="71" t="str">
        <x:v>SALUD DEL VIAJE</x:v>
      </x:c>
      <x:c r="J1496" s="73"/>
      <x:c r="K1496" s="74" t="str">
        <x:f>IF(J1496="",H1496,IF(J1496=I1496,I1496,J1496))</x:f>
        <x:v>SALUD DEL VIAJE</x:v>
      </x:c>
      <x:c r="L1496" s="74" t="str">
        <x:f>IF(J1496="","Keep current",IF(J1496=I1496,"Use suggestion","Custom"))</x:f>
        <x:v>Keep current</x:v>
      </x:c>
      <x:c r="M1496" s="71" t="str">
        <x:v>Pending review</x:v>
      </x:c>
      <x:c r="N1496" s="71" t="str">
        <x:v>Normal</x:v>
      </x:c>
      <x:c r="O1496" s="71" t="str">
        <x:v>components/journey-map-planner-workspace.tsx</x:v>
      </x:c>
      <x:c r="P1496" s="71" t="str">
        <x:v>healthCopy:409</x:v>
      </x:c>
      <x:c r="Q1496" s="71" t="str">
        <x:v>ES</x:v>
      </x:c>
      <x:c r="R1496" s="71" t="str">
        <x:v>Already clear and direct; suggested wording intentionally keeps the current copy.</x:v>
      </x:c>
      <x:c r="S1496" s="75" t="str">
        <x:v>Not applied — review required</x:v>
      </x:c>
    </x:row>
    <x:row r="1497">
      <x:c r="A1497" s="71" t="str">
        <x:v>MRV-946A1F9182</x:v>
      </x:c>
      <x:c r="B1497" s="71" t="str">
        <x:v>Planning</x:v>
      </x:c>
      <x:c r="C1497" s="71" t="str">
        <x:v>Planner recommendations</x:v>
      </x:c>
      <x:c r="D1497" s="71" t="str">
        <x:v>Shared planner output</x:v>
      </x:c>
      <x:c r="E1497" s="71" t="str">
        <x:v>healthCopy</x:v>
      </x:c>
      <x:c r="F1497" s="71" t="str">
        <x:v>Default</x:v>
      </x:c>
      <x:c r="G1497" s="71" t="str">
        <x:v>Tooltip</x:v>
      </x:c>
      <x:c r="H1497" s="71" t="str">
        <x:v>TRIP HEALTH</x:v>
      </x:c>
      <x:c r="I1497" s="71" t="str">
        <x:v>TRIP HEALTH</x:v>
      </x:c>
      <x:c r="J1497" s="73"/>
      <x:c r="K1497" s="74" t="str">
        <x:f>IF(J1497="",H1497,IF(J1497=I1497,I1497,J1497))</x:f>
        <x:v>TRIP HEALTH</x:v>
      </x:c>
      <x:c r="L1497" s="74" t="str">
        <x:f>IF(J1497="","Keep current",IF(J1497=I1497,"Use suggestion","Custom"))</x:f>
        <x:v>Keep current</x:v>
      </x:c>
      <x:c r="M1497" s="71" t="str">
        <x:v>Pending review</x:v>
      </x:c>
      <x:c r="N1497" s="71" t="str">
        <x:v>Normal</x:v>
      </x:c>
      <x:c r="O1497" s="71" t="str">
        <x:v>components/journey-map-planner-workspace.tsx</x:v>
      </x:c>
      <x:c r="P1497" s="71" t="str">
        <x:v>healthCopy:410</x:v>
      </x:c>
      <x:c r="Q1497" s="71" t="str">
        <x:v>EN</x:v>
      </x:c>
      <x:c r="R1497" s="71" t="str">
        <x:v>Already clear and direct; suggested wording intentionally keeps the current copy. Duplicate wording: appears 2 times. Terminology watch: ‘trip’ and ‘journey’ both describe the same plan. Terminology watch: ‘stops’, ‘destinations’ and ‘places’ overlap.</x:v>
      </x:c>
      <x:c r="S1497" s="75" t="str">
        <x:v>Not applied — review required</x:v>
      </x:c>
    </x:row>
    <x:row r="1498">
      <x:c r="A1498" s="71" t="str">
        <x:v>MRV-3A71429197</x:v>
      </x:c>
      <x:c r="B1498" s="71" t="str">
        <x:v>Planning</x:v>
      </x:c>
      <x:c r="C1498" s="71" t="str">
        <x:v>Planner recommendations</x:v>
      </x:c>
      <x:c r="D1498" s="71" t="str">
        <x:v>Shared planner output</x:v>
      </x:c>
      <x:c r="E1498" s="71" t="str">
        <x:v>mapCoach</x:v>
      </x:c>
      <x:c r="F1498" s="71" t="str">
        <x:v>Default</x:v>
      </x:c>
      <x:c r="G1498" s="71" t="str">
        <x:v>Tooltip</x:v>
      </x:c>
      <x:c r="H1498" s="71" t="str">
        <x:v>Primero, mira el día.</x:v>
      </x:c>
      <x:c r="I1498" s="71" t="str">
        <x:v>Primero, mira el día.</x:v>
      </x:c>
      <x:c r="J1498" s="73"/>
      <x:c r="K1498" s="74" t="str">
        <x:f>IF(J1498="",H1498,IF(J1498=I1498,I1498,J1498))</x:f>
        <x:v>Primero, mira el día.</x:v>
      </x:c>
      <x:c r="L1498" s="74" t="str">
        <x:f>IF(J1498="","Keep current",IF(J1498=I1498,"Use suggestion","Custom"))</x:f>
        <x:v>Keep current</x:v>
      </x:c>
      <x:c r="M1498" s="71" t="str">
        <x:v>Pending review</x:v>
      </x:c>
      <x:c r="N1498" s="71" t="str">
        <x:v>Normal</x:v>
      </x:c>
      <x:c r="O1498" s="71" t="str">
        <x:v>components/journey-map-planner-workspace.tsx</x:v>
      </x:c>
      <x:c r="P1498" s="71" t="str">
        <x:v>mapCoach:415</x:v>
      </x:c>
      <x:c r="Q1498" s="71" t="str">
        <x:v>ES</x:v>
      </x:c>
      <x:c r="R1498" s="71" t="str">
        <x:v>Already clear and direct; suggested wording intentionally keeps the current copy.</x:v>
      </x:c>
      <x:c r="S1498" s="75" t="str">
        <x:v>Not applied — review required</x:v>
      </x:c>
    </x:row>
    <x:row r="1499">
      <x:c r="A1499" s="71" t="str">
        <x:v>MRV-BD0ECCA48B</x:v>
      </x:c>
      <x:c r="B1499" s="71" t="str">
        <x:v>Planning</x:v>
      </x:c>
      <x:c r="C1499" s="71" t="str">
        <x:v>Planner recommendations</x:v>
      </x:c>
      <x:c r="D1499" s="71" t="str">
        <x:v>Shared planner output</x:v>
      </x:c>
      <x:c r="E1499" s="71" t="str">
        <x:v>mapCoach</x:v>
      </x:c>
      <x:c r="F1499" s="71" t="str">
        <x:v>Default</x:v>
      </x:c>
      <x:c r="G1499" s="71" t="str">
        <x:v>Tooltip</x:v>
      </x:c>
      <x:c r="H1499" s="71" t="str">
        <x:v>First, look at the day.</x:v>
      </x:c>
      <x:c r="I1499" s="71" t="str">
        <x:v>First, look at the day.</x:v>
      </x:c>
      <x:c r="J1499" s="73"/>
      <x:c r="K1499" s="74" t="str">
        <x:f>IF(J1499="",H1499,IF(J1499=I1499,I1499,J1499))</x:f>
        <x:v>First, look at the day.</x:v>
      </x:c>
      <x:c r="L1499" s="74" t="str">
        <x:f>IF(J1499="","Keep current",IF(J1499=I1499,"Use suggestion","Custom"))</x:f>
        <x:v>Keep current</x:v>
      </x:c>
      <x:c r="M1499" s="71" t="str">
        <x:v>Pending review</x:v>
      </x:c>
      <x:c r="N1499" s="71" t="str">
        <x:v>Normal</x:v>
      </x:c>
      <x:c r="O1499" s="71" t="str">
        <x:v>components/journey-map-planner-workspace.tsx</x:v>
      </x:c>
      <x:c r="P1499" s="71" t="str">
        <x:v>mapCoach:416</x:v>
      </x:c>
      <x:c r="Q1499" s="71" t="str">
        <x:v>EN</x:v>
      </x:c>
      <x:c r="R1499" s="71" t="str">
        <x:v>Already clear and direct; suggested wording intentionally keeps the current copy.</x:v>
      </x:c>
      <x:c r="S1499" s="75" t="str">
        <x:v>Not applied — review required</x:v>
      </x:c>
    </x:row>
    <x:row r="1500">
      <x:c r="A1500" s="71" t="str">
        <x:v>MRV-580D8D4B39</x:v>
      </x:c>
      <x:c r="B1500" s="71" t="str">
        <x:v>Planning</x:v>
      </x:c>
      <x:c r="C1500" s="71" t="str">
        <x:v>Planner recommendations</x:v>
      </x:c>
      <x:c r="D1500" s="71" t="str">
        <x:v>Shared planner output</x:v>
      </x:c>
      <x:c r="E1500" s="71" t="str">
        <x:v>selectedPlanItem</x:v>
      </x:c>
      <x:c r="F1500" s="71" t="str">
        <x:v>Default</x:v>
      </x:c>
      <x:c r="G1500" s="71" t="str">
        <x:v>Body copy</x:v>
      </x:c>
      <x:c r="H1500" s="71" t="str">
        <x:v>{customTrip.id}-calendar-{item.dayNumber}</x:v>
      </x:c>
      <x:c r="I1500" s="71" t="str">
        <x:v>{customTrip.id}-calendar-{item.dayNumber}</x:v>
      </x:c>
      <x:c r="J1500" s="73"/>
      <x:c r="K1500" s="74" t="str">
        <x:f>IF(J1500="",H1500,IF(J1500=I1500,I1500,J1500))</x:f>
        <x:v>{customTrip.id}-calendar-{item.dayNumber}</x:v>
      </x:c>
      <x:c r="L1500" s="74" t="str">
        <x:f>IF(J1500="","Keep current",IF(J1500=I1500,"Use suggestion","Custom"))</x:f>
        <x:v>Keep current</x:v>
      </x:c>
      <x:c r="M1500" s="71" t="str">
        <x:v>Pending review</x:v>
      </x:c>
      <x:c r="N1500" s="71" t="str">
        <x:v>Normal</x:v>
      </x:c>
      <x:c r="O1500" s="71" t="str">
        <x:v>components/journey-map-planner-workspace.tsx</x:v>
      </x:c>
      <x:c r="P1500" s="71" t="str">
        <x:v>selectedPlanItem:426</x:v>
      </x:c>
      <x:c r="Q1500" s="71" t="str">
        <x:v>EN (default / shared)</x:v>
      </x:c>
      <x:c r="R1500" s="71" t="str">
        <x:v>Already clear and direct; suggested wording intentionally keeps the current copy. Duplicate wording: appears 2 times. Dynamic traveller or trip value is represented as a token; user-generated values are excluded.</x:v>
      </x:c>
      <x:c r="S1500" s="75" t="str">
        <x:v>Not applied — review required</x:v>
      </x:c>
    </x:row>
    <x:row r="1501">
      <x:c r="A1501" s="71" t="str">
        <x:v>MRV-2AB13EE4EA</x:v>
      </x:c>
      <x:c r="B1501" s="71" t="str">
        <x:v>Planning</x:v>
      </x:c>
      <x:c r="C1501" s="71" t="str">
        <x:v>Planner recommendations</x:v>
      </x:c>
      <x:c r="D1501" s="71" t="str">
        <x:v>Shared planner output</x:v>
      </x:c>
      <x:c r="E1501" s="71" t="str">
        <x:v>selectedScheduleSignals</x:v>
      </x:c>
      <x:c r="F1501" s="71" t="str">
        <x:v>Default</x:v>
      </x:c>
      <x:c r="G1501" s="71" t="str">
        <x:v>Body copy</x:v>
      </x:c>
      <x:c r="H1501" s="71" t="str">
        <x:v>{selectedActivities.length} activities: keep travel tight.</x:v>
      </x:c>
      <x:c r="I1501" s="71" t="str">
        <x:v>{selectedActivities.length} activities: keep travel tight.</x:v>
      </x:c>
      <x:c r="J1501" s="73"/>
      <x:c r="K1501" s="74" t="str">
        <x:f>IF(J1501="",H1501,IF(J1501=I1501,I1501,J1501))</x:f>
        <x:v>{selectedActivities.length} activities: keep travel tight.</x:v>
      </x:c>
      <x:c r="L1501" s="74" t="str">
        <x:f>IF(J1501="","Keep current",IF(J1501=I1501,"Use suggestion","Custom"))</x:f>
        <x:v>Keep current</x:v>
      </x:c>
      <x:c r="M1501" s="71" t="str">
        <x:v>Pending review</x:v>
      </x:c>
      <x:c r="N1501" s="71" t="str">
        <x:v>Normal</x:v>
      </x:c>
      <x:c r="O1501" s="71" t="str">
        <x:v>components/journey-map-planner-workspace.tsx</x:v>
      </x:c>
      <x:c r="P1501" s="71" t="str">
        <x:v>selectedScheduleSignals:489</x:v>
      </x:c>
      <x:c r="Q1501" s="71" t="str">
        <x:v>EN (default / shared)</x:v>
      </x:c>
      <x:c r="R1501" s="71" t="str">
        <x:v>Already clear and direct; suggested wording intentionally keeps the current copy. Dynamic traveller or trip value is represented as a token; user-generated values are excluded.</x:v>
      </x:c>
      <x:c r="S1501" s="75" t="str">
        <x:v>Not applied — review required</x:v>
      </x:c>
    </x:row>
    <x:row r="1502">
      <x:c r="A1502" s="71" t="str">
        <x:v>MRV-2E3299EC0C</x:v>
      </x:c>
      <x:c r="B1502" s="71" t="str">
        <x:v>Planning</x:v>
      </x:c>
      <x:c r="C1502" s="71" t="str">
        <x:v>Planner recommendations</x:v>
      </x:c>
      <x:c r="D1502" s="71" t="str">
        <x:v>Shared planner output</x:v>
      </x:c>
      <x:c r="E1502" s="71" t="str">
        <x:v>selectedScheduleSignals</x:v>
      </x:c>
      <x:c r="F1502" s="71" t="str">
        <x:v>Default</x:v>
      </x:c>
      <x:c r="G1502" s="71" t="str">
        <x:v>Body copy</x:v>
      </x:c>
      <x:c r="H1502" s="71" t="str">
        <x:v>Long transfer: allow at least {hours + 1} hours door to door.</x:v>
      </x:c>
      <x:c r="I1502" s="71" t="str">
        <x:v>Long transfer: allow at least {hours + 1} hours door to door.</x:v>
      </x:c>
      <x:c r="J1502" s="73"/>
      <x:c r="K1502" s="74" t="str">
        <x:f>IF(J1502="",H1502,IF(J1502=I1502,I1502,J1502))</x:f>
        <x:v>Long transfer: allow at least {hours + 1} hours door to door.</x:v>
      </x:c>
      <x:c r="L1502" s="74" t="str">
        <x:f>IF(J1502="","Keep current",IF(J1502=I1502,"Use suggestion","Custom"))</x:f>
        <x:v>Keep current</x:v>
      </x:c>
      <x:c r="M1502" s="71" t="str">
        <x:v>Pending review</x:v>
      </x:c>
      <x:c r="N1502" s="71" t="str">
        <x:v>Normal</x:v>
      </x:c>
      <x:c r="O1502" s="71" t="str">
        <x:v>components/journey-map-planner-workspace.tsx</x:v>
      </x:c>
      <x:c r="P1502" s="71" t="str">
        <x:v>selectedScheduleSignals:491</x:v>
      </x:c>
      <x:c r="Q1502" s="71" t="str">
        <x:v>EN (default / shared)</x:v>
      </x:c>
      <x:c r="R1502" s="71" t="str">
        <x:v>Already clear and direct; suggested wording intentionally keeps the current copy. Dynamic traveller or trip value is represented as a token; user-generated values are excluded.</x:v>
      </x:c>
      <x:c r="S1502" s="75" t="str">
        <x:v>Not applied — review required</x:v>
      </x:c>
    </x:row>
    <x:row r="1503">
      <x:c r="A1503" s="71" t="str">
        <x:v>MRV-3BAB13081A</x:v>
      </x:c>
      <x:c r="B1503" s="71" t="str">
        <x:v>Planning</x:v>
      </x:c>
      <x:c r="C1503" s="71" t="str">
        <x:v>Planner recommendations</x:v>
      </x:c>
      <x:c r="D1503" s="71" t="str">
        <x:v>Shared planner output</x:v>
      </x:c>
      <x:c r="E1503" s="71" t="str">
        <x:v>imageKey</x:v>
      </x:c>
      <x:c r="F1503" s="71" t="str">
        <x:v>Default</x:v>
      </x:c>
      <x:c r="G1503" s="71" t="str">
        <x:v>Body copy</x:v>
      </x:c>
      <x:c r="H1503" s="71" t="str">
        <x:v>{customTrip.id}-day-{first.dayNumber}</x:v>
      </x:c>
      <x:c r="I1503" s="71" t="str">
        <x:v>{customTrip.id}-day-{first.dayNumber}</x:v>
      </x:c>
      <x:c r="J1503" s="73"/>
      <x:c r="K1503" s="74" t="str">
        <x:f>IF(J1503="",H1503,IF(J1503=I1503,I1503,J1503))</x:f>
        <x:v>{customTrip.id}-day-{first.dayNumber}</x:v>
      </x:c>
      <x:c r="L1503" s="74" t="str">
        <x:f>IF(J1503="","Keep current",IF(J1503=I1503,"Use suggestion","Custom"))</x:f>
        <x:v>Keep current</x:v>
      </x:c>
      <x:c r="M1503" s="71" t="str">
        <x:v>Pending review</x:v>
      </x:c>
      <x:c r="N1503" s="71" t="str">
        <x:v>Normal</x:v>
      </x:c>
      <x:c r="O1503" s="71" t="str">
        <x:v>components/journey-map-planner-workspace.tsx</x:v>
      </x:c>
      <x:c r="P1503" s="71" t="str">
        <x:v>imageKey:506</x:v>
      </x:c>
      <x:c r="Q1503" s="71" t="str">
        <x:v>EN (default / shared)</x:v>
      </x:c>
      <x:c r="R1503" s="71" t="str">
        <x:v>Already clear and direct; suggested wording intentionally keeps the current copy. Dynamic traveller or trip value is represented as a token; user-generated values are excluded.</x:v>
      </x:c>
      <x:c r="S1503" s="75" t="str">
        <x:v>Not applied — review required</x:v>
      </x:c>
    </x:row>
    <x:row r="1504">
      <x:c r="A1504" s="71" t="str">
        <x:v>MRV-C409DCE79D</x:v>
      </x:c>
      <x:c r="B1504" s="71" t="str">
        <x:v>Planning</x:v>
      </x:c>
      <x:c r="C1504" s="71" t="str">
        <x:v>Planner recommendations</x:v>
      </x:c>
      <x:c r="D1504" s="71" t="str">
        <x:v>Shared planner output</x:v>
      </x:c>
      <x:c r="E1504" s="71" t="str">
        <x:v>key</x:v>
      </x:c>
      <x:c r="F1504" s="71" t="str">
        <x:v>Default</x:v>
      </x:c>
      <x:c r="G1504" s="71" t="str">
        <x:v>Body copy</x:v>
      </x:c>
      <x:c r="H1504" s="71" t="str">
        <x:v>morrovia:health-shown:{customTrip.id}:{health.blockingCount}:{health.cautionCount}:{health.openIssueCount}</x:v>
      </x:c>
      <x:c r="I1504" s="71" t="str">
        <x:v>morrovia:health-shown:{customTrip.id}:{health.blockingCount}:{health.cautionCount}:{health.openIssueCount}</x:v>
      </x:c>
      <x:c r="J1504" s="73"/>
      <x:c r="K1504" s="74" t="str">
        <x:f>IF(J1504="",H1504,IF(J1504=I1504,I1504,J1504))</x:f>
        <x:v>morrovia:health-shown:{customTrip.id}:{health.blockingCount}:{health.cautionCount}:{health.openIssueCount}</x:v>
      </x:c>
      <x:c r="L1504" s="74" t="str">
        <x:f>IF(J1504="","Keep current",IF(J1504=I1504,"Use suggestion","Custom"))</x:f>
        <x:v>Keep current</x:v>
      </x:c>
      <x:c r="M1504" s="71" t="str">
        <x:v>Pending review</x:v>
      </x:c>
      <x:c r="N1504" s="71" t="str">
        <x:v>Normal</x:v>
      </x:c>
      <x:c r="O1504" s="71" t="str">
        <x:v>components/journey-map-planner-workspace.tsx</x:v>
      </x:c>
      <x:c r="P1504" s="71" t="str">
        <x:v>key:522</x:v>
      </x:c>
      <x:c r="Q1504" s="71" t="str">
        <x:v>EN (default / shared)</x:v>
      </x:c>
      <x:c r="R1504" s="71" t="str">
        <x:v>Already clear and direct; suggested wording intentionally keeps the current copy. Dynamic traveller or trip value is represented as a token; user-generated values are excluded.</x:v>
      </x:c>
      <x:c r="S1504" s="75" t="str">
        <x:v>Not applied — review required</x:v>
      </x:c>
    </x:row>
    <x:row r="1505">
      <x:c r="A1505" s="71" t="str">
        <x:v>MRV-FCC6202F55</x:v>
      </x:c>
      <x:c r="B1505" s="71" t="str">
        <x:v>Planning</x:v>
      </x:c>
      <x:c r="C1505" s="71" t="str">
        <x:v>Planner recommendations</x:v>
      </x:c>
      <x:c r="D1505" s="71" t="str">
        <x:v>Shared planner output</x:v>
      </x:c>
      <x:c r="E1505" s="71" t="str">
        <x:v>key</x:v>
      </x:c>
      <x:c r="F1505" s="71" t="str">
        <x:v>Default</x:v>
      </x:c>
      <x:c r="G1505" s="71" t="str">
        <x:v>Body copy</x:v>
      </x:c>
      <x:c r="H1505" s="71" t="str">
        <x:v>morrovia:trip-ready:{customTrip.id}</x:v>
      </x:c>
      <x:c r="I1505" s="71" t="str">
        <x:v>morrovia:trip-ready:{customTrip.id}</x:v>
      </x:c>
      <x:c r="J1505" s="73"/>
      <x:c r="K1505" s="74" t="str">
        <x:f>IF(J1505="",H1505,IF(J1505=I1505,I1505,J1505))</x:f>
        <x:v>morrovia:trip-ready:{customTrip.id}</x:v>
      </x:c>
      <x:c r="L1505" s="74" t="str">
        <x:f>IF(J1505="","Keep current",IF(J1505=I1505,"Use suggestion","Custom"))</x:f>
        <x:v>Keep current</x:v>
      </x:c>
      <x:c r="M1505" s="71" t="str">
        <x:v>Pending review</x:v>
      </x:c>
      <x:c r="N1505" s="71" t="str">
        <x:v>Normal</x:v>
      </x:c>
      <x:c r="O1505" s="71" t="str">
        <x:v>components/journey-map-planner-workspace.tsx</x:v>
      </x:c>
      <x:c r="P1505" s="71" t="str">
        <x:v>key:530</x:v>
      </x:c>
      <x:c r="Q1505" s="71" t="str">
        <x:v>EN (default / shared)</x:v>
      </x:c>
      <x:c r="R1505"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505" s="75" t="str">
        <x:v>Not applied — review required</x:v>
      </x:c>
    </x:row>
    <x:row r="1506">
      <x:c r="A1506" s="71" t="str">
        <x:v>MRV-54C98EF4C0</x:v>
      </x:c>
      <x:c r="B1506" s="71" t="str">
        <x:v>Planning</x:v>
      </x:c>
      <x:c r="C1506" s="71" t="str">
        <x:v>Planner recommendations</x:v>
      </x:c>
      <x:c r="D1506" s="71" t="str">
        <x:v>Shared planner output</x:v>
      </x:c>
      <x:c r="E1506" s="71" t="str">
        <x:v>savePlannerRecovery</x:v>
      </x:c>
      <x:c r="F1506" s="71" t="str">
        <x:v>Failure / recovery</x:v>
      </x:c>
      <x:c r="G1506" s="71" t="str">
        <x:v>Body copy</x:v>
      </x:c>
      <x:c r="H1506" s="71" t="str">
        <x:v>This trip belongs to a different browser account scope. Reopen it from the current account before editing.</x:v>
      </x:c>
      <x:c r="I1506" s="71" t="str">
        <x:v>This trip belongs to a different browser account scope. Reopen it from the current account before editing.</x:v>
      </x:c>
      <x:c r="J1506" s="73"/>
      <x:c r="K1506" s="74" t="str">
        <x:f>IF(J1506="",H1506,IF(J1506=I1506,I1506,J1506))</x:f>
        <x:v>This trip belongs to a different browser account scope. Reopen it from the current account before editing.</x:v>
      </x:c>
      <x:c r="L1506" s="74" t="str">
        <x:f>IF(J1506="","Keep current",IF(J1506=I1506,"Use suggestion","Custom"))</x:f>
        <x:v>Keep current</x:v>
      </x:c>
      <x:c r="M1506" s="71" t="str">
        <x:v>Pending review</x:v>
      </x:c>
      <x:c r="N1506" s="71" t="str">
        <x:v>High</x:v>
      </x:c>
      <x:c r="O1506" s="71" t="str">
        <x:v>components/journey-map-planner-workspace.tsx</x:v>
      </x:c>
      <x:c r="P1506" s="71" t="str">
        <x:v>savePlannerRecovery:567</x:v>
      </x:c>
      <x:c r="Q1506" s="71" t="str">
        <x:v>EN (default / shared)</x:v>
      </x:c>
      <x:c r="R1506" s="71" t="str">
        <x:v>Already clear and direct; suggested wording intentionally keeps the current copy. Terminology watch: ‘trip’ and ‘journey’ both describe the same plan. Terminology watch: ‘stops’, ‘destinations’ and ‘places’ overlap.</x:v>
      </x:c>
      <x:c r="S1506" s="75" t="str">
        <x:v>Not applied — review required</x:v>
      </x:c>
    </x:row>
    <x:row r="1507">
      <x:c r="A1507" s="71" t="str">
        <x:v>MRV-7CA376EEDE</x:v>
      </x:c>
      <x:c r="B1507" s="71" t="str">
        <x:v>Planning</x:v>
      </x:c>
      <x:c r="C1507" s="71" t="str">
        <x:v>Planner recommendations</x:v>
      </x:c>
      <x:c r="D1507" s="71" t="str">
        <x:v>Shared planner output</x:v>
      </x:c>
      <x:c r="E1507" s="71" t="str">
        <x:v>savePlannerRecovery</x:v>
      </x:c>
      <x:c r="F1507" s="71" t="str">
        <x:v>Loading / in progress</x:v>
      </x:c>
      <x:c r="G1507" s="71" t="str">
        <x:v>Body copy</x:v>
      </x:c>
      <x:c r="H1507" s="71" t="str">
        <x:v>This device already has a different unsynced copy of this trip. Open the device copy to resolve it before saving this version. This latest change is only in this tab.</x:v>
      </x:c>
      <x:c r="I1507" s="71" t="str">
        <x:v>This device already has a different unsynced copy of this trip. Open the device copy to resolve it before saving this version. This latest change is only in this tab.</x:v>
      </x:c>
      <x:c r="J1507" s="73"/>
      <x:c r="K1507" s="74" t="str">
        <x:f>IF(J1507="",H1507,IF(J1507=I1507,I1507,J1507))</x:f>
        <x:v>This device already has a different unsynced copy of this trip. Open the device copy to resolve it before saving this version. This latest change is only in this tab.</x:v>
      </x:c>
      <x:c r="L1507" s="74" t="str">
        <x:f>IF(J1507="","Keep current",IF(J1507=I1507,"Use suggestion","Custom"))</x:f>
        <x:v>Keep current</x:v>
      </x:c>
      <x:c r="M1507" s="71" t="str">
        <x:v>Pending review</x:v>
      </x:c>
      <x:c r="N1507" s="71" t="str">
        <x:v>Normal</x:v>
      </x:c>
      <x:c r="O1507" s="71" t="str">
        <x:v>components/journey-map-planner-workspace.tsx</x:v>
      </x:c>
      <x:c r="P1507" s="71" t="str">
        <x:v>savePlannerRecovery:592</x:v>
      </x:c>
      <x:c r="Q1507" s="71" t="str">
        <x:v>EN (default / shared)</x:v>
      </x:c>
      <x:c r="R1507" s="71" t="str">
        <x:v>Already clear and direct; suggested wording intentionally keeps the current copy. Terminology watch: ‘trip’ and ‘journey’ both describe the same plan. Terminology watch: ‘stops’, ‘destinations’ and ‘places’ overlap.</x:v>
      </x:c>
      <x:c r="S1507" s="75" t="str">
        <x:v>Not applied — review required</x:v>
      </x:c>
    </x:row>
    <x:row r="1508">
      <x:c r="A1508" s="71" t="str">
        <x:v>MRV-EBA533678D</x:v>
      </x:c>
      <x:c r="B1508" s="71" t="str">
        <x:v>Planning</x:v>
      </x:c>
      <x:c r="C1508" s="71" t="str">
        <x:v>Planner recommendations</x:v>
      </x:c>
      <x:c r="D1508" s="71" t="str">
        <x:v>Shared planner output</x:v>
      </x:c>
      <x:c r="E1508" s="71" t="str">
        <x:v>savePlannerRecovery</x:v>
      </x:c>
      <x:c r="F1508" s="71" t="str">
        <x:v>Loading / in progress</x:v>
      </x:c>
      <x:c r="G1508" s="71" t="str">
        <x:v>Body copy</x:v>
      </x:c>
      <x:c r="H1508" s="71" t="str">
        <x:v>Browser storage is blocked. This latest change is only in this tab; keep it open and try again after storage is available.</x:v>
      </x:c>
      <x:c r="I1508" s="71" t="str">
        <x:v>Browser storage is blocked. This latest change is only in this tab; keep it open and try again after storage is available.</x:v>
      </x:c>
      <x:c r="J1508" s="73"/>
      <x:c r="K1508" s="74" t="str">
        <x:f>IF(J1508="",H1508,IF(J1508=I1508,I1508,J1508))</x:f>
        <x:v>Browser storage is blocked. This latest change is only in this tab; keep it open and try again after storage is available.</x:v>
      </x:c>
      <x:c r="L1508" s="74" t="str">
        <x:f>IF(J1508="","Keep current",IF(J1508=I1508,"Use suggestion","Custom"))</x:f>
        <x:v>Keep current</x:v>
      </x:c>
      <x:c r="M1508" s="71" t="str">
        <x:v>Pending review</x:v>
      </x:c>
      <x:c r="N1508" s="71" t="str">
        <x:v>Normal</x:v>
      </x:c>
      <x:c r="O1508" s="71" t="str">
        <x:v>components/journey-map-planner-workspace.tsx</x:v>
      </x:c>
      <x:c r="P1508" s="71" t="str">
        <x:v>savePlannerRecovery:593</x:v>
      </x:c>
      <x:c r="Q1508" s="71" t="str">
        <x:v>EN (default / shared)</x:v>
      </x:c>
      <x:c r="R1508" s="71" t="str">
        <x:v>Already clear and direct; suggested wording intentionally keeps the current copy.</x:v>
      </x:c>
      <x:c r="S1508" s="75" t="str">
        <x:v>Not applied — review required</x:v>
      </x:c>
    </x:row>
    <x:row r="1509">
      <x:c r="A1509" s="71" t="str">
        <x:v>MRV-68CCD0BFCA</x:v>
      </x:c>
      <x:c r="B1509" s="71" t="str">
        <x:v>Planning</x:v>
      </x:c>
      <x:c r="C1509" s="71" t="str">
        <x:v>Planner recommendations</x:v>
      </x:c>
      <x:c r="D1509" s="71" t="str">
        <x:v>Shared planner output</x:v>
      </x:c>
      <x:c r="E1509" s="71" t="str">
        <x:v>cacheSavedTrip</x:v>
      </x:c>
      <x:c r="F1509" s="71" t="str">
        <x:v>Failure / recovery</x:v>
      </x:c>
      <x:c r="G1509" s="71" t="str">
        <x:v>Body copy</x:v>
      </x:c>
      <x:c r="H1509" s="71" t="str">
        <x:v>A newer device edit was preserved while this version finished syncing. Open the device copy before continuing.</x:v>
      </x:c>
      <x:c r="I1509" s="71" t="str">
        <x:v>A newer device edit was preserved while this version finished syncing. Open the device copy before continuing.</x:v>
      </x:c>
      <x:c r="J1509" s="73"/>
      <x:c r="K1509" s="74" t="str">
        <x:f>IF(J1509="",H1509,IF(J1509=I1509,I1509,J1509))</x:f>
        <x:v>A newer device edit was preserved while this version finished syncing. Open the device copy before continuing.</x:v>
      </x:c>
      <x:c r="L1509" s="74" t="str">
        <x:f>IF(J1509="","Keep current",IF(J1509=I1509,"Use suggestion","Custom"))</x:f>
        <x:v>Keep current</x:v>
      </x:c>
      <x:c r="M1509" s="71" t="str">
        <x:v>Pending review</x:v>
      </x:c>
      <x:c r="N1509" s="71" t="str">
        <x:v>High</x:v>
      </x:c>
      <x:c r="O1509" s="71" t="str">
        <x:v>components/journey-map-planner-workspace.tsx</x:v>
      </x:c>
      <x:c r="P1509" s="71" t="str">
        <x:v>cacheSavedTrip:615</x:v>
      </x:c>
      <x:c r="Q1509" s="71" t="str">
        <x:v>EN (default / shared)</x:v>
      </x:c>
      <x:c r="R1509" s="71" t="str">
        <x:v>Already clear and direct; suggested wording intentionally keeps the current copy. Duplicate wording: appears 2 times.</x:v>
      </x:c>
      <x:c r="S1509" s="75" t="str">
        <x:v>Not applied — review required</x:v>
      </x:c>
    </x:row>
    <x:row r="1510">
      <x:c r="A1510" s="71" t="str">
        <x:v>MRV-3D9A532671</x:v>
      </x:c>
      <x:c r="B1510" s="71" t="str">
        <x:v>Planning</x:v>
      </x:c>
      <x:c r="C1510" s="71" t="str">
        <x:v>Planner recommendations</x:v>
      </x:c>
      <x:c r="D1510" s="71" t="str">
        <x:v>Shared planner output</x:v>
      </x:c>
      <x:c r="E1510" s="71" t="str">
        <x:v>updatePlannerTrip</x:v>
      </x:c>
      <x:c r="F1510" s="71" t="str">
        <x:v>Default</x:v>
      </x:c>
      <x:c r="G1510" s="71" t="str">
        <x:v>CTA / button</x:v>
      </x:c>
      <x:c r="H1510" s="71" t="str">
        <x:v>Edit saved</x:v>
      </x:c>
      <x:c r="I1510" s="71" t="str">
        <x:v>Edit saved</x:v>
      </x:c>
      <x:c r="J1510" s="73"/>
      <x:c r="K1510" s="74" t="str">
        <x:f>IF(J1510="",H1510,IF(J1510=I1510,I1510,J1510))</x:f>
        <x:v>Edit saved</x:v>
      </x:c>
      <x:c r="L1510" s="74" t="str">
        <x:f>IF(J1510="","Keep current",IF(J1510=I1510,"Use suggestion","Custom"))</x:f>
        <x:v>Keep current</x:v>
      </x:c>
      <x:c r="M1510" s="71" t="str">
        <x:v>Pending review</x:v>
      </x:c>
      <x:c r="N1510" s="71" t="str">
        <x:v>Medium</x:v>
      </x:c>
      <x:c r="O1510" s="71" t="str">
        <x:v>components/journey-map-planner-workspace.tsx</x:v>
      </x:c>
      <x:c r="P1510" s="71" t="str">
        <x:v>updatePlannerTrip:631</x:v>
      </x:c>
      <x:c r="Q1510" s="71" t="str">
        <x:v>EN (default / shared)</x:v>
      </x:c>
      <x:c r="R1510" s="71" t="str">
        <x:v>Already clear and direct; suggested wording intentionally keeps the current copy.</x:v>
      </x:c>
      <x:c r="S1510" s="75" t="str">
        <x:v>Not applied — review required</x:v>
      </x:c>
    </x:row>
    <x:row r="1511">
      <x:c r="A1511" s="71" t="str">
        <x:v>MRV-D158AA56E9</x:v>
      </x:c>
      <x:c r="B1511" s="71" t="str">
        <x:v>Planning</x:v>
      </x:c>
      <x:c r="C1511" s="71" t="str">
        <x:v>Planner recommendations</x:v>
      </x:c>
      <x:c r="D1511" s="71" t="str">
        <x:v>Shared planner output</x:v>
      </x:c>
      <x:c r="E1511" s="71" t="str">
        <x:v>handleAttractionSelection</x:v>
      </x:c>
      <x:c r="F1511" s="71" t="str">
        <x:v>Default</x:v>
      </x:c>
      <x:c r="G1511" s="71" t="str">
        <x:v>Label</x:v>
      </x:c>
      <x:c r="H1511" s="71" t="str">
        <x:v>Place added to trip</x:v>
      </x:c>
      <x:c r="I1511" s="71" t="str">
        <x:v>Place added to trip</x:v>
      </x:c>
      <x:c r="J1511" s="73"/>
      <x:c r="K1511" s="74" t="str">
        <x:f>IF(J1511="",H1511,IF(J1511=I1511,I1511,J1511))</x:f>
        <x:v>Place added to trip</x:v>
      </x:c>
      <x:c r="L1511" s="74" t="str">
        <x:f>IF(J1511="","Keep current",IF(J1511=I1511,"Use suggestion","Custom"))</x:f>
        <x:v>Keep current</x:v>
      </x:c>
      <x:c r="M1511" s="71" t="str">
        <x:v>Pending review</x:v>
      </x:c>
      <x:c r="N1511" s="71" t="str">
        <x:v>Normal</x:v>
      </x:c>
      <x:c r="O1511" s="71" t="str">
        <x:v>components/journey-map-planner-workspace.tsx</x:v>
      </x:c>
      <x:c r="P1511" s="71" t="str">
        <x:v>handleAttractionSelection:680</x:v>
      </x:c>
      <x:c r="Q1511" s="71" t="str">
        <x:v>EN (default / shared)</x:v>
      </x:c>
      <x:c r="R1511" s="71" t="str">
        <x:v>Already clear and direct; suggested wording intentionally keeps the current copy. Terminology watch: ‘trip’ and ‘journey’ both describe the same plan. Terminology watch: ‘stops’, ‘destinations’ and ‘places’ overlap.</x:v>
      </x:c>
      <x:c r="S1511" s="75" t="str">
        <x:v>Not applied — review required</x:v>
      </x:c>
    </x:row>
    <x:row r="1512">
      <x:c r="A1512" s="71" t="str">
        <x:v>MRV-F7212D5627</x:v>
      </x:c>
      <x:c r="B1512" s="71" t="str">
        <x:v>Planning</x:v>
      </x:c>
      <x:c r="C1512" s="71" t="str">
        <x:v>Planner recommendations</x:v>
      </x:c>
      <x:c r="D1512" s="71" t="str">
        <x:v>Shared planner output</x:v>
      </x:c>
      <x:c r="E1512" s="71" t="str">
        <x:v>handleAttractionSelection</x:v>
      </x:c>
      <x:c r="F1512" s="71" t="str">
        <x:v>Default</x:v>
      </x:c>
      <x:c r="G1512" s="71" t="str">
        <x:v>Label</x:v>
      </x:c>
      <x:c r="H1512" s="71" t="str">
        <x:v>Place removed from trip</x:v>
      </x:c>
      <x:c r="I1512" s="71" t="str">
        <x:v>Place removed from trip</x:v>
      </x:c>
      <x:c r="J1512" s="73"/>
      <x:c r="K1512" s="74" t="str">
        <x:f>IF(J1512="",H1512,IF(J1512=I1512,I1512,J1512))</x:f>
        <x:v>Place removed from trip</x:v>
      </x:c>
      <x:c r="L1512" s="74" t="str">
        <x:f>IF(J1512="","Keep current",IF(J1512=I1512,"Use suggestion","Custom"))</x:f>
        <x:v>Keep current</x:v>
      </x:c>
      <x:c r="M1512" s="71" t="str">
        <x:v>Pending review</x:v>
      </x:c>
      <x:c r="N1512" s="71" t="str">
        <x:v>Normal</x:v>
      </x:c>
      <x:c r="O1512" s="71" t="str">
        <x:v>components/journey-map-planner-workspace.tsx</x:v>
      </x:c>
      <x:c r="P1512" s="71" t="str">
        <x:v>handleAttractionSelection:680</x:v>
      </x:c>
      <x:c r="Q1512" s="71" t="str">
        <x:v>EN (default / shared)</x:v>
      </x:c>
      <x:c r="R1512" s="71" t="str">
        <x:v>Already clear and direct; suggested wording intentionally keeps the current copy. Terminology watch: ‘trip’ and ‘journey’ both describe the same plan. Terminology watch: ‘stops’, ‘destinations’ and ‘places’ overlap.</x:v>
      </x:c>
      <x:c r="S1512" s="75" t="str">
        <x:v>Not applied — review required</x:v>
      </x:c>
    </x:row>
    <x:row r="1513">
      <x:c r="A1513" s="71" t="str">
        <x:v>MRV-426E148E38</x:v>
      </x:c>
      <x:c r="B1513" s="71" t="str">
        <x:v>Planning</x:v>
      </x:c>
      <x:c r="C1513" s="71" t="str">
        <x:v>Planner recommendations</x:v>
      </x:c>
      <x:c r="D1513" s="71" t="str">
        <x:v>Shared planner output</x:v>
      </x:c>
      <x:c r="E1513" s="71" t="str">
        <x:v>moveDay</x:v>
      </x:c>
      <x:c r="F1513" s="71" t="str">
        <x:v>Default</x:v>
      </x:c>
      <x:c r="G1513" s="71" t="str">
        <x:v>Label</x:v>
      </x:c>
      <x:c r="H1513" s="71" t="str">
        <x:v>an earlier stop</x:v>
      </x:c>
      <x:c r="I1513" s="71" t="str">
        <x:v>an earlier stop</x:v>
      </x:c>
      <x:c r="J1513" s="73"/>
      <x:c r="K1513" s="74" t="str">
        <x:f>IF(J1513="",H1513,IF(J1513=I1513,I1513,J1513))</x:f>
        <x:v>an earlier stop</x:v>
      </x:c>
      <x:c r="L1513" s="74" t="str">
        <x:f>IF(J1513="","Keep current",IF(J1513=I1513,"Use suggestion","Custom"))</x:f>
        <x:v>Keep current</x:v>
      </x:c>
      <x:c r="M1513" s="71" t="str">
        <x:v>Pending review</x:v>
      </x:c>
      <x:c r="N1513" s="71" t="str">
        <x:v>Normal</x:v>
      </x:c>
      <x:c r="O1513" s="71" t="str">
        <x:v>components/journey-map-planner-workspace.tsx</x:v>
      </x:c>
      <x:c r="P1513" s="71" t="str">
        <x:v>moveDay:722</x:v>
      </x:c>
      <x:c r="Q1513" s="71" t="str">
        <x:v>EN (default / shared)</x:v>
      </x:c>
      <x:c r="R1513" s="71" t="str">
        <x:v>Already clear and direct; suggested wording intentionally keeps the current copy. Terminology watch: ‘trip’ and ‘journey’ both describe the same plan. Terminology watch: ‘stops’, ‘destinations’ and ‘places’ overlap.</x:v>
      </x:c>
      <x:c r="S1513" s="75" t="str">
        <x:v>Not applied — review required</x:v>
      </x:c>
    </x:row>
    <x:row r="1514">
      <x:c r="A1514" s="71" t="str">
        <x:v>MRV-D252D69A00</x:v>
      </x:c>
      <x:c r="B1514" s="71" t="str">
        <x:v>Planning</x:v>
      </x:c>
      <x:c r="C1514" s="71" t="str">
        <x:v>Planner recommendations</x:v>
      </x:c>
      <x:c r="D1514" s="71" t="str">
        <x:v>Shared planner output</x:v>
      </x:c>
      <x:c r="E1514" s="71" t="str">
        <x:v>moveDay</x:v>
      </x:c>
      <x:c r="F1514" s="71" t="str">
        <x:v>Default</x:v>
      </x:c>
      <x:c r="G1514" s="71" t="str">
        <x:v>Label</x:v>
      </x:c>
      <x:c r="H1514" s="71" t="str">
        <x:v>Day order updated</x:v>
      </x:c>
      <x:c r="I1514" s="71" t="str">
        <x:v>Day order updated</x:v>
      </x:c>
      <x:c r="J1514" s="73"/>
      <x:c r="K1514" s="74" t="str">
        <x:f>IF(J1514="",H1514,IF(J1514=I1514,I1514,J1514))</x:f>
        <x:v>Day order updated</x:v>
      </x:c>
      <x:c r="L1514" s="74" t="str">
        <x:f>IF(J1514="","Keep current",IF(J1514=I1514,"Use suggestion","Custom"))</x:f>
        <x:v>Keep current</x:v>
      </x:c>
      <x:c r="M1514" s="71" t="str">
        <x:v>Pending review</x:v>
      </x:c>
      <x:c r="N1514" s="71" t="str">
        <x:v>Normal</x:v>
      </x:c>
      <x:c r="O1514" s="71" t="str">
        <x:v>components/journey-map-planner-workspace.tsx</x:v>
      </x:c>
      <x:c r="P1514" s="71" t="str">
        <x:v>moveDay:726</x:v>
      </x:c>
      <x:c r="Q1514" s="71" t="str">
        <x:v>EN (default / shared)</x:v>
      </x:c>
      <x:c r="R1514" s="71" t="str">
        <x:v>Already clear and direct; suggested wording intentionally keeps the current copy.</x:v>
      </x:c>
      <x:c r="S1514" s="75" t="str">
        <x:v>Not applied — review required</x:v>
      </x:c>
    </x:row>
    <x:row r="1515">
      <x:c r="A1515" s="71" t="str">
        <x:v>MRV-9DD719797D</x:v>
      </x:c>
      <x:c r="B1515" s="71" t="str">
        <x:v>Planning</x:v>
      </x:c>
      <x:c r="C1515" s="71" t="str">
        <x:v>Planner recommendations</x:v>
      </x:c>
      <x:c r="D1515" s="71" t="str">
        <x:v>Shared planner output</x:v>
      </x:c>
      <x:c r="E1515" s="71" t="str">
        <x:v>moveDay</x:v>
      </x:c>
      <x:c r="F1515" s="71" t="str">
        <x:v>Default</x:v>
      </x:c>
      <x:c r="G1515" s="71" t="str">
        <x:v>Body copy</x:v>
      </x:c>
      <x:c r="H1515" s="71" t="str">
        <x:v>Este cambio vuelve a {returnedStopName}. Mantén ese regreso intencionadamente o edita la ruta antes de reservar.</x:v>
      </x:c>
      <x:c r="I1515" s="71" t="str">
        <x:v>Este cambio vuelve a {returnedStopName}. Mantén ese regreso intencionadamente o edita la ruta antes de reservar.</x:v>
      </x:c>
      <x:c r="J1515" s="73"/>
      <x:c r="K1515" s="74" t="str">
        <x:f>IF(J1515="",H1515,IF(J1515=I1515,I1515,J1515))</x:f>
        <x:v>Este cambio vuelve a {returnedStopName}. Mantén ese regreso intencionadamente o edita la ruta antes de reservar.</x:v>
      </x:c>
      <x:c r="L1515" s="74" t="str">
        <x:f>IF(J1515="","Keep current",IF(J1515=I1515,"Use suggestion","Custom"))</x:f>
        <x:v>Keep current</x:v>
      </x:c>
      <x:c r="M1515" s="71" t="str">
        <x:v>Pending review</x:v>
      </x:c>
      <x:c r="N1515" s="71" t="str">
        <x:v>Normal</x:v>
      </x:c>
      <x:c r="O1515" s="71" t="str">
        <x:v>components/journey-map-planner-workspace.tsx</x:v>
      </x:c>
      <x:c r="P1515" s="71" t="str">
        <x:v>moveDay:729</x:v>
      </x:c>
      <x:c r="Q1515" s="71" t="str">
        <x:v>ES</x:v>
      </x:c>
      <x:c r="R1515" s="71" t="str">
        <x:v>Already clear and direct; suggested wording intentionally keeps the current copy. Dynamic traveller or trip value is represented as a token; user-generated values are excluded.</x:v>
      </x:c>
      <x:c r="S1515" s="75" t="str">
        <x:v>Not applied — review required</x:v>
      </x:c>
    </x:row>
    <x:row r="1516">
      <x:c r="A1516" s="71" t="str">
        <x:v>MRV-40EFCC6F06</x:v>
      </x:c>
      <x:c r="B1516" s="71" t="str">
        <x:v>Planning</x:v>
      </x:c>
      <x:c r="C1516" s="71" t="str">
        <x:v>Planner recommendations</x:v>
      </x:c>
      <x:c r="D1516" s="71" t="str">
        <x:v>Shared planner output</x:v>
      </x:c>
      <x:c r="E1516" s="71" t="str">
        <x:v>moveDay</x:v>
      </x:c>
      <x:c r="F1516" s="71" t="str">
        <x:v>Default</x:v>
      </x:c>
      <x:c r="G1516" s="71" t="str">
        <x:v>Body copy</x:v>
      </x:c>
      <x:c r="H1516" s="71" t="str">
        <x:v>This move returns to {returnedStopName}. Keep that return intentionally, or edit the route before booking.</x:v>
      </x:c>
      <x:c r="I1516" s="71" t="str">
        <x:v>This move returns to {returnedStopName}. Keep that return intentionally, or edit the route before booking.</x:v>
      </x:c>
      <x:c r="J1516" s="73"/>
      <x:c r="K1516" s="74" t="str">
        <x:f>IF(J1516="",H1516,IF(J1516=I1516,I1516,J1516))</x:f>
        <x:v>This move returns to {returnedStopName}. Keep that return intentionally, or edit the route before booking.</x:v>
      </x:c>
      <x:c r="L1516" s="74" t="str">
        <x:f>IF(J1516="","Keep current",IF(J1516=I1516,"Use suggestion","Custom"))</x:f>
        <x:v>Keep current</x:v>
      </x:c>
      <x:c r="M1516" s="71" t="str">
        <x:v>Pending review</x:v>
      </x:c>
      <x:c r="N1516" s="71" t="str">
        <x:v>Normal</x:v>
      </x:c>
      <x:c r="O1516" s="71" t="str">
        <x:v>components/journey-map-planner-workspace.tsx</x:v>
      </x:c>
      <x:c r="P1516" s="71" t="str">
        <x:v>moveDay:730</x:v>
      </x:c>
      <x:c r="Q1516" s="71" t="str">
        <x:v>EN</x:v>
      </x:c>
      <x:c r="R1516" s="71" t="str">
        <x:v>Already clear and direct; suggested wording intentionally keeps the current copy. Dynamic traveller or trip value is represented as a token; user-generated values are excluded.</x:v>
      </x:c>
      <x:c r="S1516" s="75" t="str">
        <x:v>Not applied — review required</x:v>
      </x:c>
    </x:row>
    <x:row r="1517">
      <x:c r="A1517" s="71" t="str">
        <x:v>MRV-4CC2ADF8AC</x:v>
      </x:c>
      <x:c r="B1517" s="71" t="str">
        <x:v>Planning</x:v>
      </x:c>
      <x:c r="C1517" s="71" t="str">
        <x:v>Planner recommendations</x:v>
      </x:c>
      <x:c r="D1517" s="71" t="str">
        <x:v>Shared planner output</x:v>
      </x:c>
      <x:c r="E1517" s="71" t="str">
        <x:v>moveDay</x:v>
      </x:c>
      <x:c r="F1517" s="71" t="str">
        <x:v>Default</x:v>
      </x:c>
      <x:c r="G1517" s="71" t="str">
        <x:v>Body copy</x:v>
      </x:c>
      <x:c r="H1517" s="71" t="str">
        <x:v>El orden de los días cambió. Morrovia recalculó la ruta y los traslados estimados; revisa los traslados destacados antes de reservar.</x:v>
      </x:c>
      <x:c r="I1517" s="71" t="str">
        <x:v>El orden de los días cambió. Morrovia recalculó la ruta y los traslados estimados; revisa los traslados destacados antes de reservar.</x:v>
      </x:c>
      <x:c r="J1517" s="73"/>
      <x:c r="K1517" s="74" t="str">
        <x:f>IF(J1517="",H1517,IF(J1517=I1517,I1517,J1517))</x:f>
        <x:v>El orden de los días cambió. Morrovia recalculó la ruta y los traslados estimados; revisa los traslados destacados antes de reservar.</x:v>
      </x:c>
      <x:c r="L1517" s="74" t="str">
        <x:f>IF(J1517="","Keep current",IF(J1517=I1517,"Use suggestion","Custom"))</x:f>
        <x:v>Keep current</x:v>
      </x:c>
      <x:c r="M1517" s="71" t="str">
        <x:v>Pending review</x:v>
      </x:c>
      <x:c r="N1517" s="71" t="str">
        <x:v>High</x:v>
      </x:c>
      <x:c r="O1517" s="71" t="str">
        <x:v>components/journey-map-planner-workspace.tsx</x:v>
      </x:c>
      <x:c r="P1517" s="71" t="str">
        <x:v>moveDay:732</x:v>
      </x:c>
      <x:c r="Q1517" s="71" t="str">
        <x:v>ES</x:v>
      </x:c>
      <x:c r="R1517" s="71" t="str">
        <x:v>Already clear and direct; suggested wording intentionally keeps the current copy.</x:v>
      </x:c>
      <x:c r="S1517" s="75" t="str">
        <x:v>Not applied — review required</x:v>
      </x:c>
    </x:row>
    <x:row r="1518">
      <x:c r="A1518" s="71" t="str">
        <x:v>MRV-62EC8595D1</x:v>
      </x:c>
      <x:c r="B1518" s="71" t="str">
        <x:v>Planning</x:v>
      </x:c>
      <x:c r="C1518" s="71" t="str">
        <x:v>Planner recommendations</x:v>
      </x:c>
      <x:c r="D1518" s="71" t="str">
        <x:v>Shared planner output</x:v>
      </x:c>
      <x:c r="E1518" s="71" t="str">
        <x:v>moveDay</x:v>
      </x:c>
      <x:c r="F1518" s="71" t="str">
        <x:v>Default</x:v>
      </x:c>
      <x:c r="G1518" s="71" t="str">
        <x:v>Body copy</x:v>
      </x:c>
      <x:c r="H1518" s="71" t="str">
        <x:v>Day order changed. Morrovia recalculated the route and transfer estimates; check the highlighted transfers before booking.</x:v>
      </x:c>
      <x:c r="I1518" s="71" t="str">
        <x:v>Day order changed. Morrovia recalculated the route and transfer estimates; check the highlighted transfers before booking.</x:v>
      </x:c>
      <x:c r="J1518" s="73"/>
      <x:c r="K1518" s="74" t="str">
        <x:f>IF(J1518="",H1518,IF(J1518=I1518,I1518,J1518))</x:f>
        <x:v>Day order changed. Morrovia recalculated the route and transfer estimates; check the highlighted transfers before booking.</x:v>
      </x:c>
      <x:c r="L1518" s="74" t="str">
        <x:f>IF(J1518="","Keep current",IF(J1518=I1518,"Use suggestion","Custom"))</x:f>
        <x:v>Keep current</x:v>
      </x:c>
      <x:c r="M1518" s="71" t="str">
        <x:v>Pending review</x:v>
      </x:c>
      <x:c r="N1518" s="71" t="str">
        <x:v>Normal</x:v>
      </x:c>
      <x:c r="O1518" s="71" t="str">
        <x:v>components/journey-map-planner-workspace.tsx</x:v>
      </x:c>
      <x:c r="P1518" s="71" t="str">
        <x:v>moveDay:733</x:v>
      </x:c>
      <x:c r="Q1518" s="71" t="str">
        <x:v>EN</x:v>
      </x:c>
      <x:c r="R1518" s="71" t="str">
        <x:v>Already clear and direct; suggested wording intentionally keeps the current copy.</x:v>
      </x:c>
      <x:c r="S1518" s="75" t="str">
        <x:v>Not applied — review required</x:v>
      </x:c>
    </x:row>
    <x:row r="1519">
      <x:c r="A1519" s="71" t="str">
        <x:v>MRV-3563D99997</x:v>
      </x:c>
      <x:c r="B1519" s="71" t="str">
        <x:v>Planning</x:v>
      </x:c>
      <x:c r="C1519" s="71" t="str">
        <x:v>Planner recommendations</x:v>
      </x:c>
      <x:c r="D1519" s="71" t="str">
        <x:v>Shared planner output</x:v>
      </x:c>
      <x:c r="E1519" s="71" t="str">
        <x:v>moveActivity</x:v>
      </x:c>
      <x:c r="F1519" s="71" t="str">
        <x:v>Default</x:v>
      </x:c>
      <x:c r="G1519" s="71" t="str">
        <x:v>Label</x:v>
      </x:c>
      <x:c r="H1519" s="71" t="str">
        <x:v>Activity moved</x:v>
      </x:c>
      <x:c r="I1519" s="71" t="str">
        <x:v>Activity moved</x:v>
      </x:c>
      <x:c r="J1519" s="73"/>
      <x:c r="K1519" s="74" t="str">
        <x:f>IF(J1519="",H1519,IF(J1519=I1519,I1519,J1519))</x:f>
        <x:v>Activity moved</x:v>
      </x:c>
      <x:c r="L1519" s="74" t="str">
        <x:f>IF(J1519="","Keep current",IF(J1519=I1519,"Use suggestion","Custom"))</x:f>
        <x:v>Keep current</x:v>
      </x:c>
      <x:c r="M1519" s="71" t="str">
        <x:v>Pending review</x:v>
      </x:c>
      <x:c r="N1519" s="71" t="str">
        <x:v>Normal</x:v>
      </x:c>
      <x:c r="O1519" s="71" t="str">
        <x:v>components/journey-map-planner-workspace.tsx</x:v>
      </x:c>
      <x:c r="P1519" s="71" t="str">
        <x:v>moveActivity:754</x:v>
      </x:c>
      <x:c r="Q1519" s="71" t="str">
        <x:v>EN (default / shared)</x:v>
      </x:c>
      <x:c r="R1519" s="71" t="str">
        <x:v>Already clear and direct; suggested wording intentionally keeps the current copy.</x:v>
      </x:c>
      <x:c r="S1519" s="75" t="str">
        <x:v>Not applied — review required</x:v>
      </x:c>
    </x:row>
    <x:row r="1520">
      <x:c r="A1520" s="71" t="str">
        <x:v>MRV-342D1B9565</x:v>
      </x:c>
      <x:c r="B1520" s="71" t="str">
        <x:v>Planning</x:v>
      </x:c>
      <x:c r="C1520" s="71" t="str">
        <x:v>Planner recommendations</x:v>
      </x:c>
      <x:c r="D1520" s="71" t="str">
        <x:v>Shared planner output</x:v>
      </x:c>
      <x:c r="E1520" s="71" t="str">
        <x:v>moveActivity</x:v>
      </x:c>
      <x:c r="F1520" s="71" t="str">
        <x:v>Default</x:v>
      </x:c>
      <x:c r="G1520" s="71" t="str">
        <x:v>Body copy</x:v>
      </x:c>
      <x:c r="H1520" s="71" t="str">
        <x:v>Activity order updated.</x:v>
      </x:c>
      <x:c r="I1520" s="71" t="str">
        <x:v>Activity order updated.</x:v>
      </x:c>
      <x:c r="J1520" s="73"/>
      <x:c r="K1520" s="74" t="str">
        <x:f>IF(J1520="",H1520,IF(J1520=I1520,I1520,J1520))</x:f>
        <x:v>Activity order updated.</x:v>
      </x:c>
      <x:c r="L1520" s="74" t="str">
        <x:f>IF(J1520="","Keep current",IF(J1520=I1520,"Use suggestion","Custom"))</x:f>
        <x:v>Keep current</x:v>
      </x:c>
      <x:c r="M1520" s="71" t="str">
        <x:v>Pending review</x:v>
      </x:c>
      <x:c r="N1520" s="71" t="str">
        <x:v>Normal</x:v>
      </x:c>
      <x:c r="O1520" s="71" t="str">
        <x:v>components/journey-map-planner-workspace.tsx</x:v>
      </x:c>
      <x:c r="P1520" s="71" t="str">
        <x:v>moveActivity:755</x:v>
      </x:c>
      <x:c r="Q1520" s="71" t="str">
        <x:v>EN (default / shared)</x:v>
      </x:c>
      <x:c r="R1520" s="71" t="str">
        <x:v>Already clear and direct; suggested wording intentionally keeps the current copy.</x:v>
      </x:c>
      <x:c r="S1520" s="75" t="str">
        <x:v>Not applied — review required</x:v>
      </x:c>
    </x:row>
    <x:row r="1521">
      <x:c r="A1521" s="71" t="str">
        <x:v>MRV-FBB61A7809</x:v>
      </x:c>
      <x:c r="B1521" s="71" t="str">
        <x:v>Planning</x:v>
      </x:c>
      <x:c r="C1521" s="71" t="str">
        <x:v>Planner recommendations</x:v>
      </x:c>
      <x:c r="D1521" s="71" t="str">
        <x:v>Shared planner output</x:v>
      </x:c>
      <x:c r="E1521" s="71" t="str">
        <x:v>moveActivity</x:v>
      </x:c>
      <x:c r="F1521" s="71" t="str">
        <x:v>Default</x:v>
      </x:c>
      <x:c r="G1521" s="71" t="str">
        <x:v>Body copy</x:v>
      </x:c>
      <x:c r="H1521" s="71" t="str">
        <x:v>Activity moved to a different day. Morrovia has recalculated the travel sequence.</x:v>
      </x:c>
      <x:c r="I1521" s="71" t="str">
        <x:v>Activity moved to a different day. Morrovia has recalculated the travel sequence.</x:v>
      </x:c>
      <x:c r="J1521" s="73"/>
      <x:c r="K1521" s="74" t="str">
        <x:f>IF(J1521="",H1521,IF(J1521=I1521,I1521,J1521))</x:f>
        <x:v>Activity moved to a different day. Morrovia has recalculated the travel sequence.</x:v>
      </x:c>
      <x:c r="L1521" s="74" t="str">
        <x:f>IF(J1521="","Keep current",IF(J1521=I1521,"Use suggestion","Custom"))</x:f>
        <x:v>Keep current</x:v>
      </x:c>
      <x:c r="M1521" s="71" t="str">
        <x:v>Pending review</x:v>
      </x:c>
      <x:c r="N1521" s="71" t="str">
        <x:v>Normal</x:v>
      </x:c>
      <x:c r="O1521" s="71" t="str">
        <x:v>components/journey-map-planner-workspace.tsx</x:v>
      </x:c>
      <x:c r="P1521" s="71" t="str">
        <x:v>moveActivity:755</x:v>
      </x:c>
      <x:c r="Q1521" s="71" t="str">
        <x:v>EN (default / shared)</x:v>
      </x:c>
      <x:c r="R1521" s="71" t="str">
        <x:v>Already clear and direct; suggested wording intentionally keeps the current copy.</x:v>
      </x:c>
      <x:c r="S1521" s="75" t="str">
        <x:v>Not applied — review required</x:v>
      </x:c>
    </x:row>
    <x:row r="1522">
      <x:c r="A1522" s="71" t="str">
        <x:v>MRV-45FE86A7D7</x:v>
      </x:c>
      <x:c r="B1522" s="71" t="str">
        <x:v>Planning</x:v>
      </x:c>
      <x:c r="C1522" s="71" t="str">
        <x:v>Planner recommendations</x:v>
      </x:c>
      <x:c r="D1522" s="71" t="str">
        <x:v>Shared planner output</x:v>
      </x:c>
      <x:c r="E1522" s="71" t="str">
        <x:v>saveNoteEdit</x:v>
      </x:c>
      <x:c r="F1522" s="71" t="str">
        <x:v>Default</x:v>
      </x:c>
      <x:c r="G1522" s="71" t="str">
        <x:v>Label</x:v>
      </x:c>
      <x:c r="H1522" s="71" t="str">
        <x:v>Note updated</x:v>
      </x:c>
      <x:c r="I1522" s="71" t="str">
        <x:v>Note updated</x:v>
      </x:c>
      <x:c r="J1522" s="73"/>
      <x:c r="K1522" s="74" t="str">
        <x:f>IF(J1522="",H1522,IF(J1522=I1522,I1522,J1522))</x:f>
        <x:v>Note updated</x:v>
      </x:c>
      <x:c r="L1522" s="74" t="str">
        <x:f>IF(J1522="","Keep current",IF(J1522=I1522,"Use suggestion","Custom"))</x:f>
        <x:v>Keep current</x:v>
      </x:c>
      <x:c r="M1522" s="71" t="str">
        <x:v>Pending review</x:v>
      </x:c>
      <x:c r="N1522" s="71" t="str">
        <x:v>Normal</x:v>
      </x:c>
      <x:c r="O1522" s="71" t="str">
        <x:v>components/journey-map-planner-workspace.tsx</x:v>
      </x:c>
      <x:c r="P1522" s="71" t="str">
        <x:v>saveNoteEdit:788</x:v>
      </x:c>
      <x:c r="Q1522" s="71" t="str">
        <x:v>EN (default / shared)</x:v>
      </x:c>
      <x:c r="R1522" s="71" t="str">
        <x:v>Already clear and direct; suggested wording intentionally keeps the current copy.</x:v>
      </x:c>
      <x:c r="S1522" s="75" t="str">
        <x:v>Not applied — review required</x:v>
      </x:c>
    </x:row>
    <x:row r="1523">
      <x:c r="A1523" s="71" t="str">
        <x:v>MRV-4BF58D6DAB</x:v>
      </x:c>
      <x:c r="B1523" s="71" t="str">
        <x:v>Planning</x:v>
      </x:c>
      <x:c r="C1523" s="71" t="str">
        <x:v>Planner recommendations</x:v>
      </x:c>
      <x:c r="D1523" s="71" t="str">
        <x:v>Shared planner output</x:v>
      </x:c>
      <x:c r="E1523" s="71" t="str">
        <x:v>removeDayNote</x:v>
      </x:c>
      <x:c r="F1523" s="71" t="str">
        <x:v>Default</x:v>
      </x:c>
      <x:c r="G1523" s="71" t="str">
        <x:v>Label</x:v>
      </x:c>
      <x:c r="H1523" s="71" t="str">
        <x:v>Note removed</x:v>
      </x:c>
      <x:c r="I1523" s="71" t="str">
        <x:v>Note removed</x:v>
      </x:c>
      <x:c r="J1523" s="73"/>
      <x:c r="K1523" s="74" t="str">
        <x:f>IF(J1523="",H1523,IF(J1523=I1523,I1523,J1523))</x:f>
        <x:v>Note removed</x:v>
      </x:c>
      <x:c r="L1523" s="74" t="str">
        <x:f>IF(J1523="","Keep current",IF(J1523=I1523,"Use suggestion","Custom"))</x:f>
        <x:v>Keep current</x:v>
      </x:c>
      <x:c r="M1523" s="71" t="str">
        <x:v>Pending review</x:v>
      </x:c>
      <x:c r="N1523" s="71" t="str">
        <x:v>Normal</x:v>
      </x:c>
      <x:c r="O1523" s="71" t="str">
        <x:v>components/journey-map-planner-workspace.tsx</x:v>
      </x:c>
      <x:c r="P1523" s="71" t="str">
        <x:v>removeDayNote:831</x:v>
      </x:c>
      <x:c r="Q1523" s="71" t="str">
        <x:v>EN (default / shared)</x:v>
      </x:c>
      <x:c r="R1523" s="71" t="str">
        <x:v>Already clear and direct; suggested wording intentionally keeps the current copy.</x:v>
      </x:c>
      <x:c r="S1523" s="75" t="str">
        <x:v>Not applied — review required</x:v>
      </x:c>
    </x:row>
    <x:row r="1524">
      <x:c r="A1524" s="71" t="str">
        <x:v>MRV-D00D499A13</x:v>
      </x:c>
      <x:c r="B1524" s="71" t="str">
        <x:v>Planning</x:v>
      </x:c>
      <x:c r="C1524" s="71" t="str">
        <x:v>Planner recommendations</x:v>
      </x:c>
      <x:c r="D1524" s="71" t="str">
        <x:v>Shared planner output</x:v>
      </x:c>
      <x:c r="E1524" s="71" t="str">
        <x:v>nextIndex</x:v>
      </x:c>
      <x:c r="F1524" s="71" t="str">
        <x:v>Default</x:v>
      </x:c>
      <x:c r="G1524" s="71" t="str">
        <x:v>Label</x:v>
      </x:c>
      <x:c r="H1524" s="71" t="str">
        <x:v>ArrowRight</x:v>
      </x:c>
      <x:c r="I1524" s="71" t="str">
        <x:v>ArrowRight</x:v>
      </x:c>
      <x:c r="J1524" s="73"/>
      <x:c r="K1524" s="74" t="str">
        <x:f>IF(J1524="",H1524,IF(J1524=I1524,I1524,J1524))</x:f>
        <x:v>ArrowRight</x:v>
      </x:c>
      <x:c r="L1524" s="74" t="str">
        <x:f>IF(J1524="","Keep current",IF(J1524=I1524,"Use suggestion","Custom"))</x:f>
        <x:v>Keep current</x:v>
      </x:c>
      <x:c r="M1524" s="71" t="str">
        <x:v>Pending review</x:v>
      </x:c>
      <x:c r="N1524" s="71" t="str">
        <x:v>Normal</x:v>
      </x:c>
      <x:c r="O1524" s="71" t="str">
        <x:v>components/journey-map-planner-workspace.tsx</x:v>
      </x:c>
      <x:c r="P1524" s="71" t="str">
        <x:v>nextIndex:864</x:v>
      </x:c>
      <x:c r="Q1524" s="71" t="str">
        <x:v>EN (default / shared)</x:v>
      </x:c>
      <x:c r="R1524" s="71" t="str">
        <x:v>Already clear and direct; suggested wording intentionally keeps the current copy. Duplicate wording: appears 2 times.</x:v>
      </x:c>
      <x:c r="S1524" s="75" t="str">
        <x:v>Not applied — review required</x:v>
      </x:c>
    </x:row>
    <x:row r="1525">
      <x:c r="A1525" s="71" t="str">
        <x:v>MRV-6C6BD6911D</x:v>
      </x:c>
      <x:c r="B1525" s="71" t="str">
        <x:v>Planning</x:v>
      </x:c>
      <x:c r="C1525" s="71" t="str">
        <x:v>Planner recommendations</x:v>
      </x:c>
      <x:c r="D1525" s="71" t="str">
        <x:v>Shared planner output</x:v>
      </x:c>
      <x:c r="E1525" s="71" t="str">
        <x:v>nextIndex</x:v>
      </x:c>
      <x:c r="F1525" s="71" t="str">
        <x:v>Default</x:v>
      </x:c>
      <x:c r="G1525" s="71" t="str">
        <x:v>Label</x:v>
      </x:c>
      <x:c r="H1525" s="71" t="str">
        <x:v>ArrowDown</x:v>
      </x:c>
      <x:c r="I1525" s="71" t="str">
        <x:v>ArrowDown</x:v>
      </x:c>
      <x:c r="J1525" s="73"/>
      <x:c r="K1525" s="74" t="str">
        <x:f>IF(J1525="",H1525,IF(J1525=I1525,I1525,J1525))</x:f>
        <x:v>ArrowDown</x:v>
      </x:c>
      <x:c r="L1525" s="74" t="str">
        <x:f>IF(J1525="","Keep current",IF(J1525=I1525,"Use suggestion","Custom"))</x:f>
        <x:v>Keep current</x:v>
      </x:c>
      <x:c r="M1525" s="71" t="str">
        <x:v>Pending review</x:v>
      </x:c>
      <x:c r="N1525" s="71" t="str">
        <x:v>Normal</x:v>
      </x:c>
      <x:c r="O1525" s="71" t="str">
        <x:v>components/journey-map-planner-workspace.tsx</x:v>
      </x:c>
      <x:c r="P1525" s="71" t="str">
        <x:v>nextIndex:864</x:v>
      </x:c>
      <x:c r="Q1525" s="71" t="str">
        <x:v>EN (default / shared)</x:v>
      </x:c>
      <x:c r="R1525" s="71" t="str">
        <x:v>Already clear and direct; suggested wording intentionally keeps the current copy. Duplicate wording: appears 2 times.</x:v>
      </x:c>
      <x:c r="S1525" s="75" t="str">
        <x:v>Not applied — review required</x:v>
      </x:c>
    </x:row>
    <x:row r="1526">
      <x:c r="A1526" s="71" t="str">
        <x:v>MRV-523D4314D8</x:v>
      </x:c>
      <x:c r="B1526" s="71" t="str">
        <x:v>Planning</x:v>
      </x:c>
      <x:c r="C1526" s="71" t="str">
        <x:v>Planner recommendations</x:v>
      </x:c>
      <x:c r="D1526" s="71" t="str">
        <x:v>Shared planner output</x:v>
      </x:c>
      <x:c r="E1526" s="71" t="str">
        <x:v>nextIndex</x:v>
      </x:c>
      <x:c r="F1526" s="71" t="str">
        <x:v>Default</x:v>
      </x:c>
      <x:c r="G1526" s="71" t="str">
        <x:v>Label</x:v>
      </x:c>
      <x:c r="H1526" s="71" t="str">
        <x:v>ArrowLeft</x:v>
      </x:c>
      <x:c r="I1526" s="71" t="str">
        <x:v>ArrowLeft</x:v>
      </x:c>
      <x:c r="J1526" s="73"/>
      <x:c r="K1526" s="74" t="str">
        <x:f>IF(J1526="",H1526,IF(J1526=I1526,I1526,J1526))</x:f>
        <x:v>ArrowLeft</x:v>
      </x:c>
      <x:c r="L1526" s="74" t="str">
        <x:f>IF(J1526="","Keep current",IF(J1526=I1526,"Use suggestion","Custom"))</x:f>
        <x:v>Keep current</x:v>
      </x:c>
      <x:c r="M1526" s="71" t="str">
        <x:v>Pending review</x:v>
      </x:c>
      <x:c r="N1526" s="71" t="str">
        <x:v>Normal</x:v>
      </x:c>
      <x:c r="O1526" s="71" t="str">
        <x:v>components/journey-map-planner-workspace.tsx</x:v>
      </x:c>
      <x:c r="P1526" s="71" t="str">
        <x:v>nextIndex:866</x:v>
      </x:c>
      <x:c r="Q1526" s="71" t="str">
        <x:v>EN (default / shared)</x:v>
      </x:c>
      <x:c r="R1526" s="71" t="str">
        <x:v>Already clear and direct; suggested wording intentionally keeps the current copy. Duplicate wording: appears 2 times.</x:v>
      </x:c>
      <x:c r="S1526" s="75" t="str">
        <x:v>Not applied — review required</x:v>
      </x:c>
    </x:row>
    <x:row r="1527">
      <x:c r="A1527" s="71" t="str">
        <x:v>MRV-9E07BAD99D</x:v>
      </x:c>
      <x:c r="B1527" s="71" t="str">
        <x:v>Planning</x:v>
      </x:c>
      <x:c r="C1527" s="71" t="str">
        <x:v>Planner recommendations</x:v>
      </x:c>
      <x:c r="D1527" s="71" t="str">
        <x:v>Shared planner output</x:v>
      </x:c>
      <x:c r="E1527" s="71" t="str">
        <x:v>nextIndex</x:v>
      </x:c>
      <x:c r="F1527" s="71" t="str">
        <x:v>Default</x:v>
      </x:c>
      <x:c r="G1527" s="71" t="str">
        <x:v>Label</x:v>
      </x:c>
      <x:c r="H1527" s="71" t="str">
        <x:v>ArrowUp</x:v>
      </x:c>
      <x:c r="I1527" s="71" t="str">
        <x:v>ArrowUp</x:v>
      </x:c>
      <x:c r="J1527" s="73"/>
      <x:c r="K1527" s="74" t="str">
        <x:f>IF(J1527="",H1527,IF(J1527=I1527,I1527,J1527))</x:f>
        <x:v>ArrowUp</x:v>
      </x:c>
      <x:c r="L1527" s="74" t="str">
        <x:f>IF(J1527="","Keep current",IF(J1527=I1527,"Use suggestion","Custom"))</x:f>
        <x:v>Keep current</x:v>
      </x:c>
      <x:c r="M1527" s="71" t="str">
        <x:v>Pending review</x:v>
      </x:c>
      <x:c r="N1527" s="71" t="str">
        <x:v>Normal</x:v>
      </x:c>
      <x:c r="O1527" s="71" t="str">
        <x:v>components/journey-map-planner-workspace.tsx</x:v>
      </x:c>
      <x:c r="P1527" s="71" t="str">
        <x:v>nextIndex:866</x:v>
      </x:c>
      <x:c r="Q1527" s="71" t="str">
        <x:v>EN (default / shared)</x:v>
      </x:c>
      <x:c r="R1527" s="71" t="str">
        <x:v>Already clear and direct; suggested wording intentionally keeps the current copy. Duplicate wording: appears 2 times.</x:v>
      </x:c>
      <x:c r="S1527" s="75" t="str">
        <x:v>Not applied — review required</x:v>
      </x:c>
    </x:row>
    <x:row r="1528">
      <x:c r="A1528" s="71" t="str">
        <x:v>MRV-4D7C89ED7A</x:v>
      </x:c>
      <x:c r="B1528" s="71" t="str">
        <x:v>Planning</x:v>
      </x:c>
      <x:c r="C1528" s="71" t="str">
        <x:v>Planner recommendations</x:v>
      </x:c>
      <x:c r="D1528" s="71" t="str">
        <x:v>Shared planner output</x:v>
      </x:c>
      <x:c r="E1528" s="71" t="str">
        <x:v>nextIndex</x:v>
      </x:c>
      <x:c r="F1528" s="71" t="str">
        <x:v>Default</x:v>
      </x:c>
      <x:c r="G1528" s="71" t="str">
        <x:v>Label</x:v>
      </x:c>
      <x:c r="H1528" s="71" t="str">
        <x:v>Home</x:v>
      </x:c>
      <x:c r="I1528" s="71" t="str">
        <x:v>Home</x:v>
      </x:c>
      <x:c r="J1528" s="73"/>
      <x:c r="K1528" s="74" t="str">
        <x:f>IF(J1528="",H1528,IF(J1528=I1528,I1528,J1528))</x:f>
        <x:v>Home</x:v>
      </x:c>
      <x:c r="L1528" s="74" t="str">
        <x:f>IF(J1528="","Keep current",IF(J1528=I1528,"Use suggestion","Custom"))</x:f>
        <x:v>Keep current</x:v>
      </x:c>
      <x:c r="M1528" s="71" t="str">
        <x:v>Pending review</x:v>
      </x:c>
      <x:c r="N1528" s="71" t="str">
        <x:v>Normal</x:v>
      </x:c>
      <x:c r="O1528" s="71" t="str">
        <x:v>components/journey-map-planner-workspace.tsx</x:v>
      </x:c>
      <x:c r="P1528" s="71" t="str">
        <x:v>nextIndex:868</x:v>
      </x:c>
      <x:c r="Q1528" s="71" t="str">
        <x:v>EN (default / shared)</x:v>
      </x:c>
      <x:c r="R1528" s="71" t="str">
        <x:v>Already clear and direct; suggested wording intentionally keeps the current copy.</x:v>
      </x:c>
      <x:c r="S1528" s="75" t="str">
        <x:v>Not applied — review required</x:v>
      </x:c>
    </x:row>
    <x:row r="1529">
      <x:c r="A1529" s="71" t="str">
        <x:v>MRV-CBB66140AE</x:v>
      </x:c>
      <x:c r="B1529" s="71" t="str">
        <x:v>Planning</x:v>
      </x:c>
      <x:c r="C1529" s="71" t="str">
        <x:v>Planner recommendations</x:v>
      </x:c>
      <x:c r="D1529" s="71" t="str">
        <x:v>Shared planner output</x:v>
      </x:c>
      <x:c r="E1529" s="71" t="str">
        <x:v>nextIndex</x:v>
      </x:c>
      <x:c r="F1529" s="71" t="str">
        <x:v>Default</x:v>
      </x:c>
      <x:c r="G1529" s="71" t="str">
        <x:v>Label</x:v>
      </x:c>
      <x:c r="H1529" s="71" t="str">
        <x:v>End</x:v>
      </x:c>
      <x:c r="I1529" s="71" t="str">
        <x:v>End</x:v>
      </x:c>
      <x:c r="J1529" s="73"/>
      <x:c r="K1529" s="74" t="str">
        <x:f>IF(J1529="",H1529,IF(J1529=I1529,I1529,J1529))</x:f>
        <x:v>End</x:v>
      </x:c>
      <x:c r="L1529" s="74" t="str">
        <x:f>IF(J1529="","Keep current",IF(J1529=I1529,"Use suggestion","Custom"))</x:f>
        <x:v>Keep current</x:v>
      </x:c>
      <x:c r="M1529" s="71" t="str">
        <x:v>Pending review</x:v>
      </x:c>
      <x:c r="N1529" s="71" t="str">
        <x:v>Normal</x:v>
      </x:c>
      <x:c r="O1529" s="71" t="str">
        <x:v>components/journey-map-planner-workspace.tsx</x:v>
      </x:c>
      <x:c r="P1529" s="71" t="str">
        <x:v>nextIndex:870</x:v>
      </x:c>
      <x:c r="Q1529" s="71" t="str">
        <x:v>EN (default / shared)</x:v>
      </x:c>
      <x:c r="R1529" s="71" t="str">
        <x:v>Already clear and direct; suggested wording intentionally keeps the current copy. Duplicate wording: appears 2 times.</x:v>
      </x:c>
      <x:c r="S1529" s="75" t="str">
        <x:v>Not applied — review required</x:v>
      </x:c>
    </x:row>
    <x:row r="1530">
      <x:c r="A1530" s="71" t="str">
        <x:v>MRV-9E2CC077CF</x:v>
      </x:c>
      <x:c r="B1530" s="71" t="str">
        <x:v>Planning</x:v>
      </x:c>
      <x:c r="C1530" s="71" t="str">
        <x:v>Planner recommendations</x:v>
      </x:c>
      <x:c r="D1530" s="71" t="str">
        <x:v>Shared planner output</x:v>
      </x:c>
      <x:c r="E1530" s="71" t="str">
        <x:v>onShapeDayTabKeyDown</x:v>
      </x:c>
      <x:c r="F1530" s="71" t="str">
        <x:v>Default</x:v>
      </x:c>
      <x:c r="G1530" s="71" t="str">
        <x:v>Label</x:v>
      </x:c>
      <x:c r="H1530" s="71" t="str">
        <x:v>[role="tab"]</x:v>
      </x:c>
      <x:c r="I1530" s="71" t="str">
        <x:v>[role="tab"]</x:v>
      </x:c>
      <x:c r="J1530" s="73"/>
      <x:c r="K1530" s="74" t="str">
        <x:f>IF(J1530="",H1530,IF(J1530=I1530,I1530,J1530))</x:f>
        <x:v>[role="tab"]</x:v>
      </x:c>
      <x:c r="L1530" s="74" t="str">
        <x:f>IF(J1530="","Keep current",IF(J1530=I1530,"Use suggestion","Custom"))</x:f>
        <x:v>Keep current</x:v>
      </x:c>
      <x:c r="M1530" s="71" t="str">
        <x:v>Pending review</x:v>
      </x:c>
      <x:c r="N1530" s="71" t="str">
        <x:v>Normal</x:v>
      </x:c>
      <x:c r="O1530" s="71" t="str">
        <x:v>components/journey-map-planner-workspace.tsx</x:v>
      </x:c>
      <x:c r="P1530" s="71" t="str">
        <x:v>onShapeDayTabKeyDown:876</x:v>
      </x:c>
      <x:c r="Q1530" s="71" t="str">
        <x:v>EN (default / shared)</x:v>
      </x:c>
      <x:c r="R1530" s="71" t="str">
        <x:v>Already clear and direct; suggested wording intentionally keeps the current copy.</x:v>
      </x:c>
      <x:c r="S1530" s="75" t="str">
        <x:v>Not applied — review required</x:v>
      </x:c>
    </x:row>
    <x:row r="1531">
      <x:c r="A1531" s="71" t="str">
        <x:v>MRV-8A7FBDB1D0</x:v>
      </x:c>
      <x:c r="B1531" s="71" t="str">
        <x:v>Planning</x:v>
      </x:c>
      <x:c r="C1531" s="71" t="str">
        <x:v>Planner recommendations</x:v>
      </x:c>
      <x:c r="D1531" s="71" t="str">
        <x:v>Shared planner output</x:v>
      </x:c>
      <x:c r="E1531" s="71" t="str">
        <x:v>addPin</x:v>
      </x:c>
      <x:c r="F1531" s="71" t="str">
        <x:v>Default</x:v>
      </x:c>
      <x:c r="G1531" s="71" t="str">
        <x:v>Label</x:v>
      </x:c>
      <x:c r="H1531" s="71" t="str">
        <x:v>Map pin added</x:v>
      </x:c>
      <x:c r="I1531" s="71" t="str">
        <x:v>Map pin added</x:v>
      </x:c>
      <x:c r="J1531" s="73"/>
      <x:c r="K1531" s="74" t="str">
        <x:f>IF(J1531="",H1531,IF(J1531=I1531,I1531,J1531))</x:f>
        <x:v>Map pin added</x:v>
      </x:c>
      <x:c r="L1531" s="74" t="str">
        <x:f>IF(J1531="","Keep current",IF(J1531=I1531,"Use suggestion","Custom"))</x:f>
        <x:v>Keep current</x:v>
      </x:c>
      <x:c r="M1531" s="71" t="str">
        <x:v>Pending review</x:v>
      </x:c>
      <x:c r="N1531" s="71" t="str">
        <x:v>Normal</x:v>
      </x:c>
      <x:c r="O1531" s="71" t="str">
        <x:v>components/journey-map-planner-workspace.tsx</x:v>
      </x:c>
      <x:c r="P1531" s="71" t="str">
        <x:v>addPin:884</x:v>
      </x:c>
      <x:c r="Q1531" s="71" t="str">
        <x:v>EN (default / shared)</x:v>
      </x:c>
      <x:c r="R1531" s="71" t="str">
        <x:v>Already clear and direct; suggested wording intentionally keeps the current copy.</x:v>
      </x:c>
      <x:c r="S1531" s="75" t="str">
        <x:v>Not applied — review required</x:v>
      </x:c>
    </x:row>
    <x:row r="1532">
      <x:c r="A1532" s="71" t="str">
        <x:v>MRV-76903072E5</x:v>
      </x:c>
      <x:c r="B1532" s="71" t="str">
        <x:v>Planning</x:v>
      </x:c>
      <x:c r="C1532" s="71" t="str">
        <x:v>Planner recommendations</x:v>
      </x:c>
      <x:c r="D1532" s="71" t="str">
        <x:v>Shared planner output</x:v>
      </x:c>
      <x:c r="E1532" s="71" t="str">
        <x:v>savePinEdit</x:v>
      </x:c>
      <x:c r="F1532" s="71" t="str">
        <x:v>Default</x:v>
      </x:c>
      <x:c r="G1532" s="71" t="str">
        <x:v>Label</x:v>
      </x:c>
      <x:c r="H1532" s="71" t="str">
        <x:v>Map pin updated</x:v>
      </x:c>
      <x:c r="I1532" s="71" t="str">
        <x:v>Map pin updated</x:v>
      </x:c>
      <x:c r="J1532" s="73"/>
      <x:c r="K1532" s="74" t="str">
        <x:f>IF(J1532="",H1532,IF(J1532=I1532,I1532,J1532))</x:f>
        <x:v>Map pin updated</x:v>
      </x:c>
      <x:c r="L1532" s="74" t="str">
        <x:f>IF(J1532="","Keep current",IF(J1532=I1532,"Use suggestion","Custom"))</x:f>
        <x:v>Keep current</x:v>
      </x:c>
      <x:c r="M1532" s="71" t="str">
        <x:v>Pending review</x:v>
      </x:c>
      <x:c r="N1532" s="71" t="str">
        <x:v>Normal</x:v>
      </x:c>
      <x:c r="O1532" s="71" t="str">
        <x:v>components/journey-map-planner-workspace.tsx</x:v>
      </x:c>
      <x:c r="P1532" s="71" t="str">
        <x:v>savePinEdit:904</x:v>
      </x:c>
      <x:c r="Q1532" s="71" t="str">
        <x:v>EN (default / shared)</x:v>
      </x:c>
      <x:c r="R1532" s="71" t="str">
        <x:v>Already clear and direct; suggested wording intentionally keeps the current copy.</x:v>
      </x:c>
      <x:c r="S1532" s="75" t="str">
        <x:v>Not applied — review required</x:v>
      </x:c>
    </x:row>
    <x:row r="1533">
      <x:c r="A1533" s="71" t="str">
        <x:v>MRV-4028106E7E</x:v>
      </x:c>
      <x:c r="B1533" s="71" t="str">
        <x:v>Planning</x:v>
      </x:c>
      <x:c r="C1533" s="71" t="str">
        <x:v>Planner recommendations</x:v>
      </x:c>
      <x:c r="D1533" s="71" t="str">
        <x:v>Shared planner output</x:v>
      </x:c>
      <x:c r="E1533" s="71" t="str">
        <x:v>id</x:v>
      </x:c>
      <x:c r="F1533" s="71" t="str">
        <x:v>Default</x:v>
      </x:c>
      <x:c r="G1533" s="71" t="str">
        <x:v>Body copy</x:v>
      </x:c>
      <x:c r="H1533" s="71" t="str">
        <x:v>venue-{selectedPlanItem.dayNumber}-{category}-{venue.name.toLowerCase().replace(/[^a-z0-9]+/g, "-")}</x:v>
      </x:c>
      <x:c r="I1533" s="71" t="str">
        <x:v>venue-{selectedPlanItem.dayNumber}-{category}-{venue.name.toLowerCase().replace(/[^a-z0-9]+/g, "-")}</x:v>
      </x:c>
      <x:c r="J1533" s="73"/>
      <x:c r="K1533" s="74" t="str">
        <x:f>IF(J1533="",H1533,IF(J1533=I1533,I1533,J1533))</x:f>
        <x:v>venue-{selectedPlanItem.dayNumber}-{category}-{venue.name.toLowerCase().replace(/[^a-z0-9]+/g, "-")}</x:v>
      </x:c>
      <x:c r="L1533" s="74" t="str">
        <x:f>IF(J1533="","Keep current",IF(J1533=I1533,"Use suggestion","Custom"))</x:f>
        <x:v>Keep current</x:v>
      </x:c>
      <x:c r="M1533" s="71" t="str">
        <x:v>Pending review</x:v>
      </x:c>
      <x:c r="N1533" s="71" t="str">
        <x:v>Normal</x:v>
      </x:c>
      <x:c r="O1533" s="71" t="str">
        <x:v>components/journey-map-planner-workspace.tsx</x:v>
      </x:c>
      <x:c r="P1533" s="71" t="str">
        <x:v>id:910</x:v>
      </x:c>
      <x:c r="Q1533" s="71" t="str">
        <x:v>EN (default / shared)</x:v>
      </x:c>
      <x:c r="R1533" s="71" t="str">
        <x:v>Already clear and direct; suggested wording intentionally keeps the current copy. Duplicate wording: appears 2 times. Dynamic traveller or trip value is represented as a token; user-generated values are excluded.</x:v>
      </x:c>
      <x:c r="S1533" s="75" t="str">
        <x:v>Not applied — review required</x:v>
      </x:c>
    </x:row>
    <x:row r="1534">
      <x:c r="A1534" s="71" t="str">
        <x:v>MRV-1187C65FC4</x:v>
      </x:c>
      <x:c r="B1534" s="71" t="str">
        <x:v>Planning</x:v>
      </x:c>
      <x:c r="C1534" s="71" t="str">
        <x:v>Planner recommendations</x:v>
      </x:c>
      <x:c r="D1534" s="71" t="str">
        <x:v>Shared planner output</x:v>
      </x:c>
      <x:c r="E1534" s="71" t="str">
        <x:v>stayBookingId</x:v>
      </x:c>
      <x:c r="F1534" s="71" t="str">
        <x:v>Default</x:v>
      </x:c>
      <x:c r="G1534" s="71" t="str">
        <x:v>Body copy</x:v>
      </x:c>
      <x:c r="H1534" s="71" t="str">
        <x:v>stay-{stop.id}</x:v>
      </x:c>
      <x:c r="I1534" s="71" t="str">
        <x:v>stay-{stop.id}</x:v>
      </x:c>
      <x:c r="J1534" s="73"/>
      <x:c r="K1534" s="74" t="str">
        <x:f>IF(J1534="",H1534,IF(J1534=I1534,I1534,J1534))</x:f>
        <x:v>stay-{stop.id}</x:v>
      </x:c>
      <x:c r="L1534" s="74" t="str">
        <x:f>IF(J1534="","Keep current",IF(J1534=I1534,"Use suggestion","Custom"))</x:f>
        <x:v>Keep current</x:v>
      </x:c>
      <x:c r="M1534" s="71" t="str">
        <x:v>Pending review</x:v>
      </x:c>
      <x:c r="N1534" s="71" t="str">
        <x:v>Normal</x:v>
      </x:c>
      <x:c r="O1534" s="71" t="str">
        <x:v>components/journey-map-planner-workspace.tsx</x:v>
      </x:c>
      <x:c r="P1534" s="71" t="str">
        <x:v>stayBookingId:912</x:v>
      </x:c>
      <x:c r="Q1534" s="71" t="str">
        <x:v>EN (default / shared)</x:v>
      </x:c>
      <x:c r="R153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534" s="75" t="str">
        <x:v>Not applied — review required</x:v>
      </x:c>
    </x:row>
    <x:row r="1535">
      <x:c r="A1535" s="71" t="str">
        <x:v>MRV-7B798871AF</x:v>
      </x:c>
      <x:c r="B1535" s="71" t="str">
        <x:v>Planning</x:v>
      </x:c>
      <x:c r="C1535" s="71" t="str">
        <x:v>Planner recommendations</x:v>
      </x:c>
      <x:c r="D1535" s="71" t="str">
        <x:v>Shared planner output</x:v>
      </x:c>
      <x:c r="E1535" s="71" t="str">
        <x:v>saveLocalVenue</x:v>
      </x:c>
      <x:c r="F1535" s="71" t="str">
        <x:v>Default</x:v>
      </x:c>
      <x:c r="G1535" s="71" t="str">
        <x:v>Body copy</x:v>
      </x:c>
      <x:c r="H1535" s="71" t="str">
        <x:v>{category === "restaurant" ? "Restaurant" : "Stay"} added to the day</x:v>
      </x:c>
      <x:c r="I1535" s="71" t="str">
        <x:v>{category === "restaurant" ? "Restaurant" : "Stay"} added to the day</x:v>
      </x:c>
      <x:c r="J1535" s="73"/>
      <x:c r="K1535" s="74" t="str">
        <x:f>IF(J1535="",H1535,IF(J1535=I1535,I1535,J1535))</x:f>
        <x:v>{category === "restaurant" ? "Restaurant" : "Stay"} added to the day</x:v>
      </x:c>
      <x:c r="L1535" s="74" t="str">
        <x:f>IF(J1535="","Keep current",IF(J1535=I1535,"Use suggestion","Custom"))</x:f>
        <x:v>Keep current</x:v>
      </x:c>
      <x:c r="M1535" s="71" t="str">
        <x:v>Pending review</x:v>
      </x:c>
      <x:c r="N1535" s="71" t="str">
        <x:v>Normal</x:v>
      </x:c>
      <x:c r="O1535" s="71" t="str">
        <x:v>components/journey-map-planner-workspace.tsx</x:v>
      </x:c>
      <x:c r="P1535" s="71" t="str">
        <x:v>saveLocalVenue:925</x:v>
      </x:c>
      <x:c r="Q1535" s="71" t="str">
        <x:v>EN (default / shared)</x:v>
      </x:c>
      <x:c r="R1535" s="71" t="str">
        <x:v>Already clear and direct; suggested wording intentionally keeps the current copy. Dynamic traveller or trip value is represented as a token; user-generated values are excluded.</x:v>
      </x:c>
      <x:c r="S1535" s="75" t="str">
        <x:v>Not applied — review required</x:v>
      </x:c>
    </x:row>
    <x:row r="1536">
      <x:c r="A1536" s="71" t="str">
        <x:v>MRV-BF6060951F</x:v>
      </x:c>
      <x:c r="B1536" s="71" t="str">
        <x:v>Planning</x:v>
      </x:c>
      <x:c r="C1536" s="71" t="str">
        <x:v>Planner recommendations</x:v>
      </x:c>
      <x:c r="D1536" s="71" t="str">
        <x:v>Shared planner output</x:v>
      </x:c>
      <x:c r="E1536" s="71" t="str">
        <x:v>saveLocalVenue</x:v>
      </x:c>
      <x:c r="F1536" s="71" t="str">
        <x:v>Default</x:v>
      </x:c>
      <x:c r="G1536" s="71" t="str">
        <x:v>Label</x:v>
      </x:c>
      <x:c r="H1536" s="71" t="str">
        <x:v>Restaurant</x:v>
      </x:c>
      <x:c r="I1536" s="71" t="str">
        <x:v>Restaurant</x:v>
      </x:c>
      <x:c r="J1536" s="73"/>
      <x:c r="K1536" s="74" t="str">
        <x:f>IF(J1536="",H1536,IF(J1536=I1536,I1536,J1536))</x:f>
        <x:v>Restaurant</x:v>
      </x:c>
      <x:c r="L1536" s="74" t="str">
        <x:f>IF(J1536="","Keep current",IF(J1536=I1536,"Use suggestion","Custom"))</x:f>
        <x:v>Keep current</x:v>
      </x:c>
      <x:c r="M1536" s="71" t="str">
        <x:v>Pending review</x:v>
      </x:c>
      <x:c r="N1536" s="71" t="str">
        <x:v>Normal</x:v>
      </x:c>
      <x:c r="O1536" s="71" t="str">
        <x:v>components/journey-map-planner-workspace.tsx</x:v>
      </x:c>
      <x:c r="P1536" s="71" t="str">
        <x:v>saveLocalVenue:925</x:v>
      </x:c>
      <x:c r="Q1536" s="71" t="str">
        <x:v>EN (default / shared)</x:v>
      </x:c>
      <x:c r="R1536" s="71" t="str">
        <x:v>Already clear and direct; suggested wording intentionally keeps the current copy. Duplicate wording: appears 2 times.</x:v>
      </x:c>
      <x:c r="S1536" s="75" t="str">
        <x:v>Not applied — review required</x:v>
      </x:c>
    </x:row>
    <x:row r="1537">
      <x:c r="A1537" s="71" t="str">
        <x:v>MRV-E1C45F39D2</x:v>
      </x:c>
      <x:c r="B1537" s="71" t="str">
        <x:v>Planning</x:v>
      </x:c>
      <x:c r="C1537" s="71" t="str">
        <x:v>Planner recommendations</x:v>
      </x:c>
      <x:c r="D1537" s="71" t="str">
        <x:v>Shared planner output</x:v>
      </x:c>
      <x:c r="E1537" s="71" t="str">
        <x:v>saveLocalVenue</x:v>
      </x:c>
      <x:c r="F1537" s="71" t="str">
        <x:v>Default</x:v>
      </x:c>
      <x:c r="G1537" s="71" t="str">
        <x:v>Label</x:v>
      </x:c>
      <x:c r="H1537" s="71" t="str">
        <x:v>Stay</x:v>
      </x:c>
      <x:c r="I1537" s="71" t="str">
        <x:v>Stay</x:v>
      </x:c>
      <x:c r="J1537" s="73"/>
      <x:c r="K1537" s="74" t="str">
        <x:f>IF(J1537="",H1537,IF(J1537=I1537,I1537,J1537))</x:f>
        <x:v>Stay</x:v>
      </x:c>
      <x:c r="L1537" s="74" t="str">
        <x:f>IF(J1537="","Keep current",IF(J1537=I1537,"Use suggestion","Custom"))</x:f>
        <x:v>Keep current</x:v>
      </x:c>
      <x:c r="M1537" s="71" t="str">
        <x:v>Pending review</x:v>
      </x:c>
      <x:c r="N1537" s="71" t="str">
        <x:v>Normal</x:v>
      </x:c>
      <x:c r="O1537" s="71" t="str">
        <x:v>components/journey-map-planner-workspace.tsx</x:v>
      </x:c>
      <x:c r="P1537" s="71" t="str">
        <x:v>saveLocalVenue:925</x:v>
      </x:c>
      <x:c r="Q1537" s="71" t="str">
        <x:v>EN (default / shared)</x:v>
      </x:c>
      <x:c r="R1537" s="71" t="str">
        <x:v>Already clear and direct; suggested wording intentionally keeps the current copy. Duplicate wording: appears 6 times.</x:v>
      </x:c>
      <x:c r="S1537" s="75" t="str">
        <x:v>Not applied — review required</x:v>
      </x:c>
    </x:row>
    <x:row r="1538">
      <x:c r="A1538" s="71" t="str">
        <x:v>MRV-8E681354D5</x:v>
      </x:c>
      <x:c r="B1538" s="71" t="str">
        <x:v>Planning</x:v>
      </x:c>
      <x:c r="C1538" s="71" t="str">
        <x:v>Planner recommendations</x:v>
      </x:c>
      <x:c r="D1538" s="71" t="str">
        <x:v>Shared planner output</x:v>
      </x:c>
      <x:c r="E1538" s="71" t="str">
        <x:v>id</x:v>
      </x:c>
      <x:c r="F1538" s="71" t="str">
        <x:v>Default</x:v>
      </x:c>
      <x:c r="G1538" s="71" t="str">
        <x:v>Body copy</x:v>
      </x:c>
      <x:c r="H1538" s="71" t="str">
        <x:v>venue-{selectedPlanItem.dayNumber}-{category}-{venue.name.toLowerCase().replace(/[^a-z0-9]+/g, "-")}</x:v>
      </x:c>
      <x:c r="I1538" s="71" t="str">
        <x:v>venue-{selectedPlanItem.dayNumber}-{category}-{venue.name.toLowerCase().replace(/[^a-z0-9]+/g, "-")}</x:v>
      </x:c>
      <x:c r="J1538" s="73"/>
      <x:c r="K1538" s="74" t="str">
        <x:f>IF(J1538="",H1538,IF(J1538=I1538,I1538,J1538))</x:f>
        <x:v>venue-{selectedPlanItem.dayNumber}-{category}-{venue.name.toLowerCase().replace(/[^a-z0-9]+/g, "-")}</x:v>
      </x:c>
      <x:c r="L1538" s="74" t="str">
        <x:f>IF(J1538="","Keep current",IF(J1538=I1538,"Use suggestion","Custom"))</x:f>
        <x:v>Keep current</x:v>
      </x:c>
      <x:c r="M1538" s="71" t="str">
        <x:v>Pending review</x:v>
      </x:c>
      <x:c r="N1538" s="71" t="str">
        <x:v>Normal</x:v>
      </x:c>
      <x:c r="O1538" s="71" t="str">
        <x:v>components/journey-map-planner-workspace.tsx</x:v>
      </x:c>
      <x:c r="P1538" s="71" t="str">
        <x:v>id:930</x:v>
      </x:c>
      <x:c r="Q1538" s="71" t="str">
        <x:v>EN (default / shared)</x:v>
      </x:c>
      <x:c r="R1538" s="71" t="str">
        <x:v>Already clear and direct; suggested wording intentionally keeps the current copy. Duplicate wording: appears 2 times. Dynamic traveller or trip value is represented as a token; user-generated values are excluded.</x:v>
      </x:c>
      <x:c r="S1538" s="75" t="str">
        <x:v>Not applied — review required</x:v>
      </x:c>
    </x:row>
    <x:row r="1539">
      <x:c r="A1539" s="71" t="str">
        <x:v>MRV-D9A7906897</x:v>
      </x:c>
      <x:c r="B1539" s="71" t="str">
        <x:v>Planning</x:v>
      </x:c>
      <x:c r="C1539" s="71" t="str">
        <x:v>Planner recommendations</x:v>
      </x:c>
      <x:c r="D1539" s="71" t="str">
        <x:v>Shared planner output</x:v>
      </x:c>
      <x:c r="E1539" s="71" t="str">
        <x:v>removeLocalVenue</x:v>
      </x:c>
      <x:c r="F1539" s="71" t="str">
        <x:v>Default</x:v>
      </x:c>
      <x:c r="G1539" s="71" t="str">
        <x:v>Body copy</x:v>
      </x:c>
      <x:c r="H1539" s="71" t="str">
        <x:v>{category === "restaurant" ? "Restaurant" : "Stay"} removed from the day</x:v>
      </x:c>
      <x:c r="I1539" s="71" t="str">
        <x:v>{category === "restaurant" ? "Restaurant" : "Stay"} removed from the day</x:v>
      </x:c>
      <x:c r="J1539" s="73"/>
      <x:c r="K1539" s="74" t="str">
        <x:f>IF(J1539="",H1539,IF(J1539=I1539,I1539,J1539))</x:f>
        <x:v>{category === "restaurant" ? "Restaurant" : "Stay"} removed from the day</x:v>
      </x:c>
      <x:c r="L1539" s="74" t="str">
        <x:f>IF(J1539="","Keep current",IF(J1539=I1539,"Use suggestion","Custom"))</x:f>
        <x:v>Keep current</x:v>
      </x:c>
      <x:c r="M1539" s="71" t="str">
        <x:v>Pending review</x:v>
      </x:c>
      <x:c r="N1539" s="71" t="str">
        <x:v>Normal</x:v>
      </x:c>
      <x:c r="O1539" s="71" t="str">
        <x:v>components/journey-map-planner-workspace.tsx</x:v>
      </x:c>
      <x:c r="P1539" s="71" t="str">
        <x:v>removeLocalVenue:941</x:v>
      </x:c>
      <x:c r="Q1539" s="71" t="str">
        <x:v>EN (default / shared)</x:v>
      </x:c>
      <x:c r="R1539" s="71" t="str">
        <x:v>Already clear and direct; suggested wording intentionally keeps the current copy. Dynamic traveller or trip value is represented as a token; user-generated values are excluded.</x:v>
      </x:c>
      <x:c r="S1539" s="75" t="str">
        <x:v>Not applied — review required</x:v>
      </x:c>
    </x:row>
    <x:row r="1540">
      <x:c r="A1540" s="71" t="str">
        <x:v>MRV-1F161B5C5F</x:v>
      </x:c>
      <x:c r="B1540" s="71" t="str">
        <x:v>Planning</x:v>
      </x:c>
      <x:c r="C1540" s="71" t="str">
        <x:v>Planner recommendations</x:v>
      </x:c>
      <x:c r="D1540" s="71" t="str">
        <x:v>Shared planner output</x:v>
      </x:c>
      <x:c r="E1540" s="71" t="str">
        <x:v>removeLocalVenue</x:v>
      </x:c>
      <x:c r="F1540" s="71" t="str">
        <x:v>Default</x:v>
      </x:c>
      <x:c r="G1540" s="71" t="str">
        <x:v>Label</x:v>
      </x:c>
      <x:c r="H1540" s="71" t="str">
        <x:v>Restaurant</x:v>
      </x:c>
      <x:c r="I1540" s="71" t="str">
        <x:v>Restaurant</x:v>
      </x:c>
      <x:c r="J1540" s="73"/>
      <x:c r="K1540" s="74" t="str">
        <x:f>IF(J1540="",H1540,IF(J1540=I1540,I1540,J1540))</x:f>
        <x:v>Restaurant</x:v>
      </x:c>
      <x:c r="L1540" s="74" t="str">
        <x:f>IF(J1540="","Keep current",IF(J1540=I1540,"Use suggestion","Custom"))</x:f>
        <x:v>Keep current</x:v>
      </x:c>
      <x:c r="M1540" s="71" t="str">
        <x:v>Pending review</x:v>
      </x:c>
      <x:c r="N1540" s="71" t="str">
        <x:v>Normal</x:v>
      </x:c>
      <x:c r="O1540" s="71" t="str">
        <x:v>components/journey-map-planner-workspace.tsx</x:v>
      </x:c>
      <x:c r="P1540" s="71" t="str">
        <x:v>removeLocalVenue:941</x:v>
      </x:c>
      <x:c r="Q1540" s="71" t="str">
        <x:v>EN (default / shared)</x:v>
      </x:c>
      <x:c r="R1540" s="71" t="str">
        <x:v>Already clear and direct; suggested wording intentionally keeps the current copy. Duplicate wording: appears 2 times.</x:v>
      </x:c>
      <x:c r="S1540" s="75" t="str">
        <x:v>Not applied — review required</x:v>
      </x:c>
    </x:row>
    <x:row r="1541">
      <x:c r="A1541" s="71" t="str">
        <x:v>MRV-44ED291C01</x:v>
      </x:c>
      <x:c r="B1541" s="71" t="str">
        <x:v>Planning</x:v>
      </x:c>
      <x:c r="C1541" s="71" t="str">
        <x:v>Planner recommendations</x:v>
      </x:c>
      <x:c r="D1541" s="71" t="str">
        <x:v>Shared planner output</x:v>
      </x:c>
      <x:c r="E1541" s="71" t="str">
        <x:v>removeLocalVenue</x:v>
      </x:c>
      <x:c r="F1541" s="71" t="str">
        <x:v>Default</x:v>
      </x:c>
      <x:c r="G1541" s="71" t="str">
        <x:v>Label</x:v>
      </x:c>
      <x:c r="H1541" s="71" t="str">
        <x:v>Stay</x:v>
      </x:c>
      <x:c r="I1541" s="71" t="str">
        <x:v>Stay</x:v>
      </x:c>
      <x:c r="J1541" s="73"/>
      <x:c r="K1541" s="74" t="str">
        <x:f>IF(J1541="",H1541,IF(J1541=I1541,I1541,J1541))</x:f>
        <x:v>Stay</x:v>
      </x:c>
      <x:c r="L1541" s="74" t="str">
        <x:f>IF(J1541="","Keep current",IF(J1541=I1541,"Use suggestion","Custom"))</x:f>
        <x:v>Keep current</x:v>
      </x:c>
      <x:c r="M1541" s="71" t="str">
        <x:v>Pending review</x:v>
      </x:c>
      <x:c r="N1541" s="71" t="str">
        <x:v>Normal</x:v>
      </x:c>
      <x:c r="O1541" s="71" t="str">
        <x:v>components/journey-map-planner-workspace.tsx</x:v>
      </x:c>
      <x:c r="P1541" s="71" t="str">
        <x:v>removeLocalVenue:941</x:v>
      </x:c>
      <x:c r="Q1541" s="71" t="str">
        <x:v>EN (default / shared)</x:v>
      </x:c>
      <x:c r="R1541" s="71" t="str">
        <x:v>Already clear and direct; suggested wording intentionally keeps the current copy. Duplicate wording: appears 6 times.</x:v>
      </x:c>
      <x:c r="S1541" s="75" t="str">
        <x:v>Not applied — review required</x:v>
      </x:c>
    </x:row>
    <x:row r="1542">
      <x:c r="A1542" s="71" t="str">
        <x:v>MRV-BCE0EDB142</x:v>
      </x:c>
      <x:c r="B1542" s="71" t="str">
        <x:v>Planning</x:v>
      </x:c>
      <x:c r="C1542" s="71" t="str">
        <x:v>Planner recommendations</x:v>
      </x:c>
      <x:c r="D1542" s="71" t="str">
        <x:v>Shared planner output</x:v>
      </x:c>
      <x:c r="E1542" s="71" t="str">
        <x:v>changeRecommendation</x:v>
      </x:c>
      <x:c r="F1542" s="71" t="str">
        <x:v>Session expired</x:v>
      </x:c>
      <x:c r="G1542" s="71" t="str">
        <x:v>Body copy</x:v>
      </x:c>
      <x:c r="H1542" s="71" t="str">
        <x:v>Your session expired. Your edits are still safe on this device; sign in again to sync them.</x:v>
      </x:c>
      <x:c r="I1542" s="71" t="str">
        <x:v>Your session expired. Your edits are still safe on this device; sign in again to sync them.</x:v>
      </x:c>
      <x:c r="J1542" s="73"/>
      <x:c r="K1542" s="74" t="str">
        <x:f>IF(J1542="",H1542,IF(J1542=I1542,I1542,J1542))</x:f>
        <x:v>Your session expired. Your edits are still safe on this device; sign in again to sync them.</x:v>
      </x:c>
      <x:c r="L1542" s="74" t="str">
        <x:f>IF(J1542="","Keep current",IF(J1542=I1542,"Use suggestion","Custom"))</x:f>
        <x:v>Keep current</x:v>
      </x:c>
      <x:c r="M1542" s="71" t="str">
        <x:v>Pending review</x:v>
      </x:c>
      <x:c r="N1542" s="71" t="str">
        <x:v>High</x:v>
      </x:c>
      <x:c r="O1542" s="71" t="str">
        <x:v>components/journey-map-planner-workspace.tsx</x:v>
      </x:c>
      <x:c r="P1542" s="71" t="str">
        <x:v>changeRecommendation:980</x:v>
      </x:c>
      <x:c r="Q1542" s="71" t="str">
        <x:v>EN (default / shared)</x:v>
      </x:c>
      <x:c r="R1542" s="71" t="str">
        <x:v>Already clear and direct; suggested wording intentionally keeps the current copy. Duplicate wording: appears 2 times.</x:v>
      </x:c>
      <x:c r="S1542" s="75" t="str">
        <x:v>Not applied — review required</x:v>
      </x:c>
    </x:row>
    <x:row r="1543">
      <x:c r="A1543" s="71" t="str">
        <x:v>MRV-1024856965</x:v>
      </x:c>
      <x:c r="B1543" s="71" t="str">
        <x:v>Planning</x:v>
      </x:c>
      <x:c r="C1543" s="71" t="str">
        <x:v>Planner recommendations</x:v>
      </x:c>
      <x:c r="D1543" s="71" t="str">
        <x:v>Shared planner output</x:v>
      </x:c>
      <x:c r="E1543" s="71" t="str">
        <x:v>changeRecommendation</x:v>
      </x:c>
      <x:c r="F1543" s="71" t="str">
        <x:v>Default</x:v>
      </x:c>
      <x:c r="G1543" s="71" t="str">
        <x:v>Body copy</x:v>
      </x:c>
      <x:c r="H1543" s="71" t="str">
        <x:v>This trip changed on another device. Your edits are still on this device; reload the cloud copy before editing again.</x:v>
      </x:c>
      <x:c r="I1543" s="71" t="str">
        <x:v>This trip changed on another device. Your edits are still on this device; reload the cloud copy before editing again.</x:v>
      </x:c>
      <x:c r="J1543" s="73"/>
      <x:c r="K1543" s="74" t="str">
        <x:f>IF(J1543="",H1543,IF(J1543=I1543,I1543,J1543))</x:f>
        <x:v>This trip changed on another device. Your edits are still on this device; reload the cloud copy before editing again.</x:v>
      </x:c>
      <x:c r="L1543" s="74" t="str">
        <x:f>IF(J1543="","Keep current",IF(J1543=I1543,"Use suggestion","Custom"))</x:f>
        <x:v>Keep current</x:v>
      </x:c>
      <x:c r="M1543" s="71" t="str">
        <x:v>Pending review</x:v>
      </x:c>
      <x:c r="N1543" s="71" t="str">
        <x:v>Normal</x:v>
      </x:c>
      <x:c r="O1543" s="71" t="str">
        <x:v>components/journey-map-planner-workspace.tsx</x:v>
      </x:c>
      <x:c r="P1543" s="71" t="str">
        <x:v>changeRecommendation:982</x:v>
      </x:c>
      <x:c r="Q1543" s="71" t="str">
        <x:v>EN (default / shared)</x:v>
      </x:c>
      <x:c r="R1543" s="71" t="str">
        <x:v>Already clear and direct; suggested wording intentionally keeps the current copy. Duplicate wording: appears 2 times. Terminology watch: ‘trip’ and ‘journey’ both describe the same plan. Terminology watch: ‘stops’, ‘destinations’ and ‘places’ overlap.</x:v>
      </x:c>
      <x:c r="S1543" s="75" t="str">
        <x:v>Not applied — review required</x:v>
      </x:c>
    </x:row>
    <x:row r="1544">
      <x:c r="A1544" s="71" t="str">
        <x:v>MRV-09ACCF5CC1</x:v>
      </x:c>
      <x:c r="B1544" s="71" t="str">
        <x:v>Planning</x:v>
      </x:c>
      <x:c r="C1544" s="71" t="str">
        <x:v>Planner recommendations</x:v>
      </x:c>
      <x:c r="D1544" s="71" t="str">
        <x:v>Shared planner output</x:v>
      </x:c>
      <x:c r="E1544" s="71" t="str">
        <x:v>changeRecommendation</x:v>
      </x:c>
      <x:c r="F1544" s="71" t="str">
        <x:v>Default</x:v>
      </x:c>
      <x:c r="G1544" s="71" t="str">
        <x:v>Body copy</x:v>
      </x:c>
      <x:c r="H1544" s="71" t="str">
        <x:v>Couldn’t save this trip just now. Your plan is still safe on this device.</x:v>
      </x:c>
      <x:c r="I1544" s="71" t="str">
        <x:v>Couldn’t save this trip just now. Your plan is still safe on this device.</x:v>
      </x:c>
      <x:c r="J1544" s="73"/>
      <x:c r="K1544" s="74" t="str">
        <x:f>IF(J1544="",H1544,IF(J1544=I1544,I1544,J1544))</x:f>
        <x:v>Couldn’t save this trip just now. Your plan is still safe on this device.</x:v>
      </x:c>
      <x:c r="L1544" s="74" t="str">
        <x:f>IF(J1544="","Keep current",IF(J1544=I1544,"Use suggestion","Custom"))</x:f>
        <x:v>Keep current</x:v>
      </x:c>
      <x:c r="M1544" s="71" t="str">
        <x:v>Pending review</x:v>
      </x:c>
      <x:c r="N1544" s="71" t="str">
        <x:v>Normal</x:v>
      </x:c>
      <x:c r="O1544" s="71" t="str">
        <x:v>components/journey-map-planner-workspace.tsx</x:v>
      </x:c>
      <x:c r="P1544" s="71" t="str">
        <x:v>changeRecommendation:983</x:v>
      </x:c>
      <x:c r="Q1544" s="71" t="str">
        <x:v>EN (default / shared)</x:v>
      </x:c>
      <x:c r="R1544" s="71" t="str">
        <x:v>Already clear and direct; suggested wording intentionally keeps the current copy. Duplicate wording: appears 3 times. Terminology watch: ‘trip’ and ‘journey’ both describe the same plan. Terminology watch: ‘stops’, ‘destinations’ and ‘places’ overlap.</x:v>
      </x:c>
      <x:c r="S1544" s="75" t="str">
        <x:v>Not applied — review required</x:v>
      </x:c>
    </x:row>
    <x:row r="1545">
      <x:c r="A1545" s="71" t="str">
        <x:v>MRV-5BB72F007D</x:v>
      </x:c>
      <x:c r="B1545" s="71" t="str">
        <x:v>Planning</x:v>
      </x:c>
      <x:c r="C1545" s="71" t="str">
        <x:v>Planner recommendations</x:v>
      </x:c>
      <x:c r="D1545" s="71" t="str">
        <x:v>Shared planner output</x:v>
      </x:c>
      <x:c r="E1545" s="71" t="str">
        <x:v>chooseTransportAlternative</x:v>
      </x:c>
      <x:c r="F1545" s="71" t="str">
        <x:v>Default</x:v>
      </x:c>
      <x:c r="G1545" s="71" t="str">
        <x:v>Body copy</x:v>
      </x:c>
      <x:c r="H1545" s="71" t="str">
        <x:v>{option.label} selected</x:v>
      </x:c>
      <x:c r="I1545" s="71" t="str">
        <x:v>{option.label} selected</x:v>
      </x:c>
      <x:c r="J1545" s="73"/>
      <x:c r="K1545" s="74" t="str">
        <x:f>IF(J1545="",H1545,IF(J1545=I1545,I1545,J1545))</x:f>
        <x:v>{option.label} selected</x:v>
      </x:c>
      <x:c r="L1545" s="74" t="str">
        <x:f>IF(J1545="","Keep current",IF(J1545=I1545,"Use suggestion","Custom"))</x:f>
        <x:v>Keep current</x:v>
      </x:c>
      <x:c r="M1545" s="71" t="str">
        <x:v>Pending review</x:v>
      </x:c>
      <x:c r="N1545" s="71" t="str">
        <x:v>Normal</x:v>
      </x:c>
      <x:c r="O1545" s="71" t="str">
        <x:v>components/journey-map-planner-workspace.tsx</x:v>
      </x:c>
      <x:c r="P1545" s="71" t="str">
        <x:v>chooseTransportAlternative:996</x:v>
      </x:c>
      <x:c r="Q1545" s="71" t="str">
        <x:v>EN (default / shared)</x:v>
      </x:c>
      <x:c r="R1545" s="71" t="str">
        <x:v>Already clear and direct; suggested wording intentionally keeps the current copy. Dynamic traveller or trip value is represented as a token; user-generated values are excluded.</x:v>
      </x:c>
      <x:c r="S1545" s="75" t="str">
        <x:v>Not applied — review required</x:v>
      </x:c>
    </x:row>
    <x:row r="1546">
      <x:c r="A1546" s="71" t="str">
        <x:v>MRV-F190EDFF7D</x:v>
      </x:c>
      <x:c r="B1546" s="71" t="str">
        <x:v>Planning</x:v>
      </x:c>
      <x:c r="C1546" s="71" t="str">
        <x:v>Planner recommendations</x:v>
      </x:c>
      <x:c r="D1546" s="71" t="str">
        <x:v>Shared planner output</x:v>
      </x:c>
      <x:c r="E1546" s="71" t="str">
        <x:v>savePlan</x:v>
      </x:c>
      <x:c r="F1546" s="71" t="str">
        <x:v>Failure / recovery</x:v>
      </x:c>
      <x:c r="G1546" s="71" t="str">
        <x:v>Body copy</x:v>
      </x:c>
      <x:c r="H1546" s="71" t="str">
        <x:v>This trip changed on another device. Reload the cloud copy before trying another cloud save; your device edit remains preserved.</x:v>
      </x:c>
      <x:c r="I1546" s="71" t="str">
        <x:v>This trip changed on another device. Reload the cloud copy before trying another cloud save; your device edit remains preserved.</x:v>
      </x:c>
      <x:c r="J1546" s="73"/>
      <x:c r="K1546" s="74" t="str">
        <x:f>IF(J1546="",H1546,IF(J1546=I1546,I1546,J1546))</x:f>
        <x:v>This trip changed on another device. Reload the cloud copy before trying another cloud save; your device edit remains preserved.</x:v>
      </x:c>
      <x:c r="L1546" s="74" t="str">
        <x:f>IF(J1546="","Keep current",IF(J1546=I1546,"Use suggestion","Custom"))</x:f>
        <x:v>Keep current</x:v>
      </x:c>
      <x:c r="M1546" s="71" t="str">
        <x:v>Pending review</x:v>
      </x:c>
      <x:c r="N1546" s="71" t="str">
        <x:v>High</x:v>
      </x:c>
      <x:c r="O1546" s="71" t="str">
        <x:v>components/journey-map-planner-workspace.tsx</x:v>
      </x:c>
      <x:c r="P1546" s="71" t="str">
        <x:v>savePlan:1003</x:v>
      </x:c>
      <x:c r="Q1546" s="71" t="str">
        <x:v>EN (default / shared)</x:v>
      </x:c>
      <x:c r="R1546" s="71" t="str">
        <x:v>Already clear and direct; suggested wording intentionally keeps the current copy. Terminology watch: ‘trip’ and ‘journey’ both describe the same plan. Terminology watch: ‘stops’, ‘destinations’ and ‘places’ overlap.</x:v>
      </x:c>
      <x:c r="S1546" s="75" t="str">
        <x:v>Not applied — review required</x:v>
      </x:c>
    </x:row>
    <x:row r="1547">
      <x:c r="A1547" s="71" t="str">
        <x:v>MRV-B607495C54</x:v>
      </x:c>
      <x:c r="B1547" s="71" t="str">
        <x:v>Planning</x:v>
      </x:c>
      <x:c r="C1547" s="71" t="str">
        <x:v>Planner recommendations</x:v>
      </x:c>
      <x:c r="D1547" s="71" t="str">
        <x:v>Shared planner output</x:v>
      </x:c>
      <x:c r="E1547" s="71" t="str">
        <x:v>savePlan</x:v>
      </x:c>
      <x:c r="F1547" s="71" t="str">
        <x:v>Session expired</x:v>
      </x:c>
      <x:c r="G1547" s="71" t="str">
        <x:v>Body copy</x:v>
      </x:c>
      <x:c r="H1547" s="71" t="str">
        <x:v>Your session expired. Your edits are still safe on this device; sign in again to sync them.</x:v>
      </x:c>
      <x:c r="I1547" s="71" t="str">
        <x:v>Your session expired. Your edits are still safe on this device; sign in again to sync them.</x:v>
      </x:c>
      <x:c r="J1547" s="73"/>
      <x:c r="K1547" s="74" t="str">
        <x:f>IF(J1547="",H1547,IF(J1547=I1547,I1547,J1547))</x:f>
        <x:v>Your session expired. Your edits are still safe on this device; sign in again to sync them.</x:v>
      </x:c>
      <x:c r="L1547" s="74" t="str">
        <x:f>IF(J1547="","Keep current",IF(J1547=I1547,"Use suggestion","Custom"))</x:f>
        <x:v>Keep current</x:v>
      </x:c>
      <x:c r="M1547" s="71" t="str">
        <x:v>Pending review</x:v>
      </x:c>
      <x:c r="N1547" s="71" t="str">
        <x:v>High</x:v>
      </x:c>
      <x:c r="O1547" s="71" t="str">
        <x:v>components/journey-map-planner-workspace.tsx</x:v>
      </x:c>
      <x:c r="P1547" s="71" t="str">
        <x:v>savePlan:1040</x:v>
      </x:c>
      <x:c r="Q1547" s="71" t="str">
        <x:v>EN (default / shared)</x:v>
      </x:c>
      <x:c r="R1547" s="71" t="str">
        <x:v>Already clear and direct; suggested wording intentionally keeps the current copy. Duplicate wording: appears 2 times.</x:v>
      </x:c>
      <x:c r="S1547" s="75" t="str">
        <x:v>Not applied — review required</x:v>
      </x:c>
    </x:row>
    <x:row r="1548">
      <x:c r="A1548" s="71" t="str">
        <x:v>MRV-20FFF8E544</x:v>
      </x:c>
      <x:c r="B1548" s="71" t="str">
        <x:v>Planning</x:v>
      </x:c>
      <x:c r="C1548" s="71" t="str">
        <x:v>Planner recommendations</x:v>
      </x:c>
      <x:c r="D1548" s="71" t="str">
        <x:v>Shared planner output</x:v>
      </x:c>
      <x:c r="E1548" s="71" t="str">
        <x:v>savePlan</x:v>
      </x:c>
      <x:c r="F1548" s="71" t="str">
        <x:v>Default</x:v>
      </x:c>
      <x:c r="G1548" s="71" t="str">
        <x:v>Body copy</x:v>
      </x:c>
      <x:c r="H1548" s="71" t="str">
        <x:v>This trip changed on another device. Your edits are still on this device; reload the cloud copy before editing again.</x:v>
      </x:c>
      <x:c r="I1548" s="71" t="str">
        <x:v>This trip changed on another device. Your edits are still on this device; reload the cloud copy before editing again.</x:v>
      </x:c>
      <x:c r="J1548" s="73"/>
      <x:c r="K1548" s="74" t="str">
        <x:f>IF(J1548="",H1548,IF(J1548=I1548,I1548,J1548))</x:f>
        <x:v>This trip changed on another device. Your edits are still on this device; reload the cloud copy before editing again.</x:v>
      </x:c>
      <x:c r="L1548" s="74" t="str">
        <x:f>IF(J1548="","Keep current",IF(J1548=I1548,"Use suggestion","Custom"))</x:f>
        <x:v>Keep current</x:v>
      </x:c>
      <x:c r="M1548" s="71" t="str">
        <x:v>Pending review</x:v>
      </x:c>
      <x:c r="N1548" s="71" t="str">
        <x:v>Normal</x:v>
      </x:c>
      <x:c r="O1548" s="71" t="str">
        <x:v>components/journey-map-planner-workspace.tsx</x:v>
      </x:c>
      <x:c r="P1548" s="71" t="str">
        <x:v>savePlan:1042</x:v>
      </x:c>
      <x:c r="Q1548" s="71" t="str">
        <x:v>EN (default / shared)</x:v>
      </x:c>
      <x:c r="R1548" s="71" t="str">
        <x:v>Already clear and direct; suggested wording intentionally keeps the current copy. Duplicate wording: appears 2 times. Terminology watch: ‘trip’ and ‘journey’ both describe the same plan. Terminology watch: ‘stops’, ‘destinations’ and ‘places’ overlap.</x:v>
      </x:c>
      <x:c r="S1548" s="75" t="str">
        <x:v>Not applied — review required</x:v>
      </x:c>
    </x:row>
    <x:row r="1549">
      <x:c r="A1549" s="71" t="str">
        <x:v>MRV-89D03E97BA</x:v>
      </x:c>
      <x:c r="B1549" s="71" t="str">
        <x:v>Planning</x:v>
      </x:c>
      <x:c r="C1549" s="71" t="str">
        <x:v>Planner recommendations</x:v>
      </x:c>
      <x:c r="D1549" s="71" t="str">
        <x:v>Shared planner output</x:v>
      </x:c>
      <x:c r="E1549" s="71" t="str">
        <x:v>savePlan</x:v>
      </x:c>
      <x:c r="F1549" s="71" t="str">
        <x:v>Default</x:v>
      </x:c>
      <x:c r="G1549" s="71" t="str">
        <x:v>Body copy</x:v>
      </x:c>
      <x:c r="H1549" s="71" t="str">
        <x:v>Couldn’t save this trip just now. Your plan is still safe on this device.</x:v>
      </x:c>
      <x:c r="I1549" s="71" t="str">
        <x:v>Couldn’t save this trip just now. Your plan is still safe on this device.</x:v>
      </x:c>
      <x:c r="J1549" s="73"/>
      <x:c r="K1549" s="74" t="str">
        <x:f>IF(J1549="",H1549,IF(J1549=I1549,I1549,J1549))</x:f>
        <x:v>Couldn’t save this trip just now. Your plan is still safe on this device.</x:v>
      </x:c>
      <x:c r="L1549" s="74" t="str">
        <x:f>IF(J1549="","Keep current",IF(J1549=I1549,"Use suggestion","Custom"))</x:f>
        <x:v>Keep current</x:v>
      </x:c>
      <x:c r="M1549" s="71" t="str">
        <x:v>Pending review</x:v>
      </x:c>
      <x:c r="N1549" s="71" t="str">
        <x:v>Normal</x:v>
      </x:c>
      <x:c r="O1549" s="71" t="str">
        <x:v>components/journey-map-planner-workspace.tsx</x:v>
      </x:c>
      <x:c r="P1549" s="71" t="str">
        <x:v>savePlan:1043</x:v>
      </x:c>
      <x:c r="Q1549" s="71" t="str">
        <x:v>EN (default / shared)</x:v>
      </x:c>
      <x:c r="R1549" s="71" t="str">
        <x:v>Already clear and direct; suggested wording intentionally keeps the current copy. Duplicate wording: appears 3 times. Terminology watch: ‘trip’ and ‘journey’ both describe the same plan. Terminology watch: ‘stops’, ‘destinations’ and ‘places’ overlap.</x:v>
      </x:c>
      <x:c r="S1549" s="75" t="str">
        <x:v>Not applied — review required</x:v>
      </x:c>
    </x:row>
    <x:row r="1550">
      <x:c r="A1550" s="71" t="str">
        <x:v>MRV-C25BA8F4F8</x:v>
      </x:c>
      <x:c r="B1550" s="71" t="str">
        <x:v>Planning</x:v>
      </x:c>
      <x:c r="C1550" s="71" t="str">
        <x:v>Planner recommendations</x:v>
      </x:c>
      <x:c r="D1550" s="71" t="str">
        <x:v>Shared planner output</x:v>
      </x:c>
      <x:c r="E1550" s="71" t="str">
        <x:v>exportPlan</x:v>
      </x:c>
      <x:c r="F1550" s="71" t="str">
        <x:v>Failure / recovery</x:v>
      </x:c>
      <x:c r="G1550" s="71" t="str">
        <x:v>Body copy</x:v>
      </x:c>
      <x:c r="H1550" s="71" t="str">
        <x:v>Reload the cloud copy before exporting; your device edit remains preserved.</x:v>
      </x:c>
      <x:c r="I1550" s="71" t="str">
        <x:v>Reload the cloud copy before exporting; your device edit remains preserved.</x:v>
      </x:c>
      <x:c r="J1550" s="73"/>
      <x:c r="K1550" s="74" t="str">
        <x:f>IF(J1550="",H1550,IF(J1550=I1550,I1550,J1550))</x:f>
        <x:v>Reload the cloud copy before exporting; your device edit remains preserved.</x:v>
      </x:c>
      <x:c r="L1550" s="74" t="str">
        <x:f>IF(J1550="","Keep current",IF(J1550=I1550,"Use suggestion","Custom"))</x:f>
        <x:v>Keep current</x:v>
      </x:c>
      <x:c r="M1550" s="71" t="str">
        <x:v>Pending review</x:v>
      </x:c>
      <x:c r="N1550" s="71" t="str">
        <x:v>High</x:v>
      </x:c>
      <x:c r="O1550" s="71" t="str">
        <x:v>components/journey-map-planner-workspace.tsx</x:v>
      </x:c>
      <x:c r="P1550" s="71" t="str">
        <x:v>exportPlan:1052</x:v>
      </x:c>
      <x:c r="Q1550" s="71" t="str">
        <x:v>EN (default / shared)</x:v>
      </x:c>
      <x:c r="R1550" s="71" t="str">
        <x:v>Already clear and direct; suggested wording intentionally keeps the current copy.</x:v>
      </x:c>
      <x:c r="S1550" s="75" t="str">
        <x:v>Not applied — review required</x:v>
      </x:c>
    </x:row>
    <x:row r="1551">
      <x:c r="A1551" s="71" t="str">
        <x:v>MRV-E38539F6C0</x:v>
      </x:c>
      <x:c r="B1551" s="71" t="str">
        <x:v>Planning</x:v>
      </x:c>
      <x:c r="C1551" s="71" t="str">
        <x:v>Planner recommendations</x:v>
      </x:c>
      <x:c r="D1551" s="71" t="str">
        <x:v>Shared planner output</x:v>
      </x:c>
      <x:c r="E1551" s="71" t="str">
        <x:v>exportPlan</x:v>
      </x:c>
      <x:c r="F1551" s="71" t="str">
        <x:v>Default</x:v>
      </x:c>
      <x:c r="G1551" s="71" t="str">
        <x:v>CTA / button</x:v>
      </x:c>
      <x:c r="H1551" s="71" t="str">
        <x:v>Open the existing device copy before exporting this version.</x:v>
      </x:c>
      <x:c r="I1551" s="71" t="str">
        <x:v>Open the existing device copy before exporting this version.</x:v>
      </x:c>
      <x:c r="J1551" s="73"/>
      <x:c r="K1551" s="74" t="str">
        <x:f>IF(J1551="",H1551,IF(J1551=I1551,I1551,J1551))</x:f>
        <x:v>Open the existing device copy before exporting this version.</x:v>
      </x:c>
      <x:c r="L1551" s="74" t="str">
        <x:f>IF(J1551="","Keep current",IF(J1551=I1551,"Use suggestion","Custom"))</x:f>
        <x:v>Keep current</x:v>
      </x:c>
      <x:c r="M1551" s="71" t="str">
        <x:v>Pending review</x:v>
      </x:c>
      <x:c r="N1551" s="71" t="str">
        <x:v>Medium</x:v>
      </x:c>
      <x:c r="O1551" s="71" t="str">
        <x:v>components/journey-map-planner-workspace.tsx</x:v>
      </x:c>
      <x:c r="P1551" s="71" t="str">
        <x:v>exportPlan:1062</x:v>
      </x:c>
      <x:c r="Q1551" s="71" t="str">
        <x:v>EN (default / shared)</x:v>
      </x:c>
      <x:c r="R1551" s="71" t="str">
        <x:v>Already clear and direct; suggested wording intentionally keeps the current copy.</x:v>
      </x:c>
      <x:c r="S1551" s="75" t="str">
        <x:v>Not applied — review required</x:v>
      </x:c>
    </x:row>
    <x:row r="1552">
      <x:c r="A1552" s="71" t="str">
        <x:v>MRV-AA0BBA8D06</x:v>
      </x:c>
      <x:c r="B1552" s="71" t="str">
        <x:v>Planning</x:v>
      </x:c>
      <x:c r="C1552" s="71" t="str">
        <x:v>Planner recommendations</x:v>
      </x:c>
      <x:c r="D1552" s="71" t="str">
        <x:v>Shared planner output</x:v>
      </x:c>
      <x:c r="E1552" s="71" t="str">
        <x:v>exportPlan</x:v>
      </x:c>
      <x:c r="F1552" s="71" t="str">
        <x:v>Default</x:v>
      </x:c>
      <x:c r="G1552" s="71" t="str">
        <x:v>Body copy</x:v>
      </x:c>
      <x:c r="H1552" s="71" t="str">
        <x:v>Browser storage is unavailable, so this version was not exported.</x:v>
      </x:c>
      <x:c r="I1552" s="71" t="str">
        <x:v>Browser storage is unavailable, so this version was not exported.</x:v>
      </x:c>
      <x:c r="J1552" s="73"/>
      <x:c r="K1552" s="74" t="str">
        <x:f>IF(J1552="",H1552,IF(J1552=I1552,I1552,J1552))</x:f>
        <x:v>Browser storage is unavailable, so this version was not exported.</x:v>
      </x:c>
      <x:c r="L1552" s="74" t="str">
        <x:f>IF(J1552="","Keep current",IF(J1552=I1552,"Use suggestion","Custom"))</x:f>
        <x:v>Keep current</x:v>
      </x:c>
      <x:c r="M1552" s="71" t="str">
        <x:v>Pending review</x:v>
      </x:c>
      <x:c r="N1552" s="71" t="str">
        <x:v>Normal</x:v>
      </x:c>
      <x:c r="O1552" s="71" t="str">
        <x:v>components/journey-map-planner-workspace.tsx</x:v>
      </x:c>
      <x:c r="P1552" s="71" t="str">
        <x:v>exportPlan:1063</x:v>
      </x:c>
      <x:c r="Q1552" s="71" t="str">
        <x:v>EN (default / shared)</x:v>
      </x:c>
      <x:c r="R1552" s="71" t="str">
        <x:v>Already clear and direct; suggested wording intentionally keeps the current copy.</x:v>
      </x:c>
      <x:c r="S1552" s="75" t="str">
        <x:v>Not applied — review required</x:v>
      </x:c>
    </x:row>
    <x:row r="1553">
      <x:c r="A1553" s="71" t="str">
        <x:v>MRV-D591326260</x:v>
      </x:c>
      <x:c r="B1553" s="71" t="str">
        <x:v>Planning</x:v>
      </x:c>
      <x:c r="C1553" s="71" t="str">
        <x:v>Planner recommendations</x:v>
      </x:c>
      <x:c r="D1553" s="71" t="str">
        <x:v>Shared planner output</x:v>
      </x:c>
      <x:c r="E1553" s="71" t="str">
        <x:v>exportPlan</x:v>
      </x:c>
      <x:c r="F1553" s="71" t="str">
        <x:v>Failure / recovery</x:v>
      </x:c>
      <x:c r="G1553" s="71" t="str">
        <x:v>Body copy</x:v>
      </x:c>
      <x:c r="H1553" s="71" t="str">
        <x:v>A newer device edit is preserved. Open that copy before exporting.</x:v>
      </x:c>
      <x:c r="I1553" s="71" t="str">
        <x:v>A newer device edit is preserved. Open that copy before exporting.</x:v>
      </x:c>
      <x:c r="J1553" s="73"/>
      <x:c r="K1553" s="74" t="str">
        <x:f>IF(J1553="",H1553,IF(J1553=I1553,I1553,J1553))</x:f>
        <x:v>A newer device edit is preserved. Open that copy before exporting.</x:v>
      </x:c>
      <x:c r="L1553" s="74" t="str">
        <x:f>IF(J1553="","Keep current",IF(J1553=I1553,"Use suggestion","Custom"))</x:f>
        <x:v>Keep current</x:v>
      </x:c>
      <x:c r="M1553" s="71" t="str">
        <x:v>Pending review</x:v>
      </x:c>
      <x:c r="N1553" s="71" t="str">
        <x:v>High</x:v>
      </x:c>
      <x:c r="O1553" s="71" t="str">
        <x:v>components/journey-map-planner-workspace.tsx</x:v>
      </x:c>
      <x:c r="P1553" s="71" t="str">
        <x:v>exportPlan:1073</x:v>
      </x:c>
      <x:c r="Q1553" s="71" t="str">
        <x:v>EN (default / shared)</x:v>
      </x:c>
      <x:c r="R1553" s="71" t="str">
        <x:v>Already clear and direct; suggested wording intentionally keeps the current copy.</x:v>
      </x:c>
      <x:c r="S1553" s="75" t="str">
        <x:v>Not applied — review required</x:v>
      </x:c>
    </x:row>
    <x:row r="1554">
      <x:c r="A1554" s="71" t="str">
        <x:v>MRV-72FE6F4A01</x:v>
      </x:c>
      <x:c r="B1554" s="71" t="str">
        <x:v>Planning</x:v>
      </x:c>
      <x:c r="C1554" s="71" t="str">
        <x:v>Planner recommendations</x:v>
      </x:c>
      <x:c r="D1554" s="71" t="str">
        <x:v>Shared planner output</x:v>
      </x:c>
      <x:c r="E1554" s="71" t="str">
        <x:v>exportPlan</x:v>
      </x:c>
      <x:c r="F1554" s="71" t="str">
        <x:v>Failure / recovery</x:v>
      </x:c>
      <x:c r="G1554" s="71" t="str">
        <x:v>Body copy</x:v>
      </x:c>
      <x:c r="H1554" s="71" t="str">
        <x:v>The PDF could not be prepared.</x:v>
      </x:c>
      <x:c r="I1554" s="71" t="str">
        <x:v>The PDF could not be prepared.</x:v>
      </x:c>
      <x:c r="J1554" s="73"/>
      <x:c r="K1554" s="74" t="str">
        <x:f>IF(J1554="",H1554,IF(J1554=I1554,I1554,J1554))</x:f>
        <x:v>The PDF could not be prepared.</x:v>
      </x:c>
      <x:c r="L1554" s="74" t="str">
        <x:f>IF(J1554="","Keep current",IF(J1554=I1554,"Use suggestion","Custom"))</x:f>
        <x:v>Keep current</x:v>
      </x:c>
      <x:c r="M1554" s="71" t="str">
        <x:v>Pending review</x:v>
      </x:c>
      <x:c r="N1554" s="71" t="str">
        <x:v>High</x:v>
      </x:c>
      <x:c r="O1554" s="71" t="str">
        <x:v>components/journey-map-planner-workspace.tsx</x:v>
      </x:c>
      <x:c r="P1554" s="71" t="str">
        <x:v>exportPlan:1081</x:v>
      </x:c>
      <x:c r="Q1554" s="71" t="str">
        <x:v>EN (default / shared)</x:v>
      </x:c>
      <x:c r="R1554" s="71" t="str">
        <x:v>Already clear and direct; suggested wording intentionally keeps the current copy. Duplicate wording: appears 3 times.</x:v>
      </x:c>
      <x:c r="S1554" s="75" t="str">
        <x:v>Not applied — review required</x:v>
      </x:c>
    </x:row>
    <x:row r="1555">
      <x:c r="A1555" s="71" t="str">
        <x:v>MRV-F9E89C8252</x:v>
      </x:c>
      <x:c r="B1555" s="71" t="str">
        <x:v>Planning</x:v>
      </x:c>
      <x:c r="C1555" s="71" t="str">
        <x:v>Planner recommendations</x:v>
      </x:c>
      <x:c r="D1555" s="71" t="str">
        <x:v>Shared planner output</x:v>
      </x:c>
      <x:c r="E1555" s="71" t="str">
        <x:v>exportPlan</x:v>
      </x:c>
      <x:c r="F1555" s="71" t="str">
        <x:v>Default</x:v>
      </x:c>
      <x:c r="G1555" s="71" t="str">
        <x:v>Body copy</x:v>
      </x:c>
      <x:c r="H1555" s="71" t="str">
        <x:v>{saved.title.replace(/[^a-z0-9]+/gi, "-").replace(/^-|-$/g, "").toLowerCase() || "easyt-trip"}.pdf</x:v>
      </x:c>
      <x:c r="I1555" s="71" t="str">
        <x:v>{saved.title.replace(/[^a-z0-9]+/gi, "-").replace(/^-|-$/g, "").toLowerCase() || "easyt-trip"}.pdf</x:v>
      </x:c>
      <x:c r="J1555" s="73"/>
      <x:c r="K1555" s="74" t="str">
        <x:f>IF(J1555="",H1555,IF(J1555=I1555,I1555,J1555))</x:f>
        <x:v>{saved.title.replace(/[^a-z0-9]+/gi, "-").replace(/^-|-$/g, "").toLowerCase() || "easyt-trip"}.pdf</x:v>
      </x:c>
      <x:c r="L1555" s="74" t="str">
        <x:f>IF(J1555="","Keep current",IF(J1555=I1555,"Use suggestion","Custom"))</x:f>
        <x:v>Keep current</x:v>
      </x:c>
      <x:c r="M1555" s="71" t="str">
        <x:v>Pending review</x:v>
      </x:c>
      <x:c r="N1555" s="71" t="str">
        <x:v>Normal</x:v>
      </x:c>
      <x:c r="O1555" s="71" t="str">
        <x:v>components/journey-map-planner-workspace.tsx</x:v>
      </x:c>
      <x:c r="P1555" s="71" t="str">
        <x:v>exportPlan:1086</x:v>
      </x:c>
      <x:c r="Q1555" s="71" t="str">
        <x:v>EN (default / shared)</x:v>
      </x:c>
      <x:c r="R1555"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555" s="75" t="str">
        <x:v>Not applied — review required</x:v>
      </x:c>
    </x:row>
    <x:row r="1556">
      <x:c r="A1556" s="71" t="str">
        <x:v>MRV-A05DE57326</x:v>
      </x:c>
      <x:c r="B1556" s="71" t="str">
        <x:v>Planning</x:v>
      </x:c>
      <x:c r="C1556" s="71" t="str">
        <x:v>Planner recommendations</x:v>
      </x:c>
      <x:c r="D1556" s="71" t="str">
        <x:v>Shared planner output</x:v>
      </x:c>
      <x:c r="E1556" s="71" t="str">
        <x:v>exportPlan</x:v>
      </x:c>
      <x:c r="F1556" s="71" t="str">
        <x:v>Failure / recovery</x:v>
      </x:c>
      <x:c r="G1556" s="71" t="str">
        <x:v>Body copy</x:v>
      </x:c>
      <x:c r="H1556" s="71" t="str">
        <x:v>This trip changed on another device. Your edits are still on this device; reload the cloud copy before exporting.</x:v>
      </x:c>
      <x:c r="I1556" s="71" t="str">
        <x:v>This trip changed on another device. Your edits are still on this device; reload the cloud copy before exporting.</x:v>
      </x:c>
      <x:c r="J1556" s="73"/>
      <x:c r="K1556" s="74" t="str">
        <x:f>IF(J1556="",H1556,IF(J1556=I1556,I1556,J1556))</x:f>
        <x:v>This trip changed on another device. Your edits are still on this device; reload the cloud copy before exporting.</x:v>
      </x:c>
      <x:c r="L1556" s="74" t="str">
        <x:f>IF(J1556="","Keep current",IF(J1556=I1556,"Use suggestion","Custom"))</x:f>
        <x:v>Keep current</x:v>
      </x:c>
      <x:c r="M1556" s="71" t="str">
        <x:v>Pending review</x:v>
      </x:c>
      <x:c r="N1556" s="71" t="str">
        <x:v>High</x:v>
      </x:c>
      <x:c r="O1556" s="71" t="str">
        <x:v>components/journey-map-planner-workspace.tsx</x:v>
      </x:c>
      <x:c r="P1556" s="71" t="str">
        <x:v>exportPlan:1103</x:v>
      </x:c>
      <x:c r="Q1556" s="71" t="str">
        <x:v>EN (default / shared)</x:v>
      </x:c>
      <x:c r="R1556" s="71" t="str">
        <x:v>Already clear and direct; suggested wording intentionally keeps the current copy. Terminology watch: ‘trip’ and ‘journey’ both describe the same plan. Terminology watch: ‘stops’, ‘destinations’ and ‘places’ overlap.</x:v>
      </x:c>
      <x:c r="S1556" s="75" t="str">
        <x:v>Not applied — review required</x:v>
      </x:c>
    </x:row>
    <x:row r="1557">
      <x:c r="A1557" s="71" t="str">
        <x:v>MRV-60149B1F1A</x:v>
      </x:c>
      <x:c r="B1557" s="71" t="str">
        <x:v>Planning</x:v>
      </x:c>
      <x:c r="C1557" s="71" t="str">
        <x:v>Planner recommendations</x:v>
      </x:c>
      <x:c r="D1557" s="71" t="str">
        <x:v>Shared planner output</x:v>
      </x:c>
      <x:c r="E1557" s="71" t="str">
        <x:v>exportPlan</x:v>
      </x:c>
      <x:c r="F1557" s="71" t="str">
        <x:v>Session expired</x:v>
      </x:c>
      <x:c r="G1557" s="71" t="str">
        <x:v>Body copy</x:v>
      </x:c>
      <x:c r="H1557" s="71" t="str">
        <x:v>Your session expired. Your edits are still safe on this device; sign in again before exporting.</x:v>
      </x:c>
      <x:c r="I1557" s="71" t="str">
        <x:v>Your session expired. Your edits are still safe on this device; sign in again before exporting.</x:v>
      </x:c>
      <x:c r="J1557" s="73"/>
      <x:c r="K1557" s="74" t="str">
        <x:f>IF(J1557="",H1557,IF(J1557=I1557,I1557,J1557))</x:f>
        <x:v>Your session expired. Your edits are still safe on this device; sign in again before exporting.</x:v>
      </x:c>
      <x:c r="L1557" s="74" t="str">
        <x:f>IF(J1557="","Keep current",IF(J1557=I1557,"Use suggestion","Custom"))</x:f>
        <x:v>Keep current</x:v>
      </x:c>
      <x:c r="M1557" s="71" t="str">
        <x:v>Pending review</x:v>
      </x:c>
      <x:c r="N1557" s="71" t="str">
        <x:v>High</x:v>
      </x:c>
      <x:c r="O1557" s="71" t="str">
        <x:v>components/journey-map-planner-workspace.tsx</x:v>
      </x:c>
      <x:c r="P1557" s="71" t="str">
        <x:v>exportPlan:1108</x:v>
      </x:c>
      <x:c r="Q1557" s="71" t="str">
        <x:v>EN (default / shared)</x:v>
      </x:c>
      <x:c r="R1557" s="71" t="str">
        <x:v>Already clear and direct; suggested wording intentionally keeps the current copy.</x:v>
      </x:c>
      <x:c r="S1557" s="75" t="str">
        <x:v>Not applied — review required</x:v>
      </x:c>
    </x:row>
    <x:row r="1558">
      <x:c r="A1558" s="71" t="str">
        <x:v>MRV-B573C0EEF2</x:v>
      </x:c>
      <x:c r="B1558" s="71" t="str">
        <x:v>Planning</x:v>
      </x:c>
      <x:c r="C1558" s="71" t="str">
        <x:v>Planner recommendations</x:v>
      </x:c>
      <x:c r="D1558" s="71" t="str">
        <x:v>Shared planner output</x:v>
      </x:c>
      <x:c r="E1558" s="71" t="str">
        <x:v>exportPlan</x:v>
      </x:c>
      <x:c r="F1558" s="71" t="str">
        <x:v>Failure / recovery</x:v>
      </x:c>
      <x:c r="G1558" s="71" t="str">
        <x:v>Body copy</x:v>
      </x:c>
      <x:c r="H1558" s="71" t="str">
        <x:v>The PDF could not be prepared.</x:v>
      </x:c>
      <x:c r="I1558" s="71" t="str">
        <x:v>The PDF could not be prepared.</x:v>
      </x:c>
      <x:c r="J1558" s="73"/>
      <x:c r="K1558" s="74" t="str">
        <x:f>IF(J1558="",H1558,IF(J1558=I1558,I1558,J1558))</x:f>
        <x:v>The PDF could not be prepared.</x:v>
      </x:c>
      <x:c r="L1558" s="74" t="str">
        <x:f>IF(J1558="","Keep current",IF(J1558=I1558,"Use suggestion","Custom"))</x:f>
        <x:v>Keep current</x:v>
      </x:c>
      <x:c r="M1558" s="71" t="str">
        <x:v>Pending review</x:v>
      </x:c>
      <x:c r="N1558" s="71" t="str">
        <x:v>High</x:v>
      </x:c>
      <x:c r="O1558" s="71" t="str">
        <x:v>components/journey-map-planner-workspace.tsx</x:v>
      </x:c>
      <x:c r="P1558" s="71" t="str">
        <x:v>exportPlan:1111</x:v>
      </x:c>
      <x:c r="Q1558" s="71" t="str">
        <x:v>EN (default / shared)</x:v>
      </x:c>
      <x:c r="R1558" s="71" t="str">
        <x:v>Already clear and direct; suggested wording intentionally keeps the current copy. Duplicate wording: appears 3 times.</x:v>
      </x:c>
      <x:c r="S1558" s="75" t="str">
        <x:v>Not applied — review required</x:v>
      </x:c>
    </x:row>
    <x:row r="1559">
      <x:c r="A1559" s="71" t="str">
        <x:v>MRV-CD2A0B3743</x:v>
      </x:c>
      <x:c r="B1559" s="71" t="str">
        <x:v>Planning</x:v>
      </x:c>
      <x:c r="C1559" s="71" t="str">
        <x:v>Planner recommendations</x:v>
      </x:c>
      <x:c r="D1559" s="71" t="str">
        <x:v>Shared planner output</x:v>
      </x:c>
      <x:c r="E1559" s="71" t="str">
        <x:v>reloadCloudCopy</x:v>
      </x:c>
      <x:c r="F1559" s="71" t="str">
        <x:v>Failure / recovery</x:v>
      </x:c>
      <x:c r="G1559" s="71" t="str">
        <x:v>Body copy</x:v>
      </x:c>
      <x:c r="H1559" s="71" t="str">
        <x:v>The cloud copy is open. Your separate device edits remain preserved until you open or explicitly discard them.</x:v>
      </x:c>
      <x:c r="I1559" s="71" t="str">
        <x:v>The cloud copy is open. Your separate device edits remain preserved until you open or explicitly discard them.</x:v>
      </x:c>
      <x:c r="J1559" s="73"/>
      <x:c r="K1559" s="74" t="str">
        <x:f>IF(J1559="",H1559,IF(J1559=I1559,I1559,J1559))</x:f>
        <x:v>The cloud copy is open. Your separate device edits remain preserved until you open or explicitly discard them.</x:v>
      </x:c>
      <x:c r="L1559" s="74" t="str">
        <x:f>IF(J1559="","Keep current",IF(J1559=I1559,"Use suggestion","Custom"))</x:f>
        <x:v>Keep current</x:v>
      </x:c>
      <x:c r="M1559" s="71" t="str">
        <x:v>Pending review</x:v>
      </x:c>
      <x:c r="N1559" s="71" t="str">
        <x:v>High</x:v>
      </x:c>
      <x:c r="O1559" s="71" t="str">
        <x:v>components/journey-map-planner-workspace.tsx</x:v>
      </x:c>
      <x:c r="P1559" s="71" t="str">
        <x:v>reloadCloudCopy:1124</x:v>
      </x:c>
      <x:c r="Q1559" s="71" t="str">
        <x:v>EN (default / shared)</x:v>
      </x:c>
      <x:c r="R1559" s="71" t="str">
        <x:v>Already clear and direct; suggested wording intentionally keeps the current copy. Duplicate wording: appears 2 times.</x:v>
      </x:c>
      <x:c r="S1559" s="75" t="str">
        <x:v>Not applied — review required</x:v>
      </x:c>
    </x:row>
    <x:row r="1560">
      <x:c r="A1560" s="71" t="str">
        <x:v>MRV-413C2666ED</x:v>
      </x:c>
      <x:c r="B1560" s="71" t="str">
        <x:v>Planning</x:v>
      </x:c>
      <x:c r="C1560" s="71" t="str">
        <x:v>Planner recommendations</x:v>
      </x:c>
      <x:c r="D1560" s="71" t="str">
        <x:v>Shared planner output</x:v>
      </x:c>
      <x:c r="E1560" s="71" t="str">
        <x:v>hydratePlan</x:v>
      </x:c>
      <x:c r="F1560" s="71" t="str">
        <x:v>Failure / recovery</x:v>
      </x:c>
      <x:c r="G1560" s="71" t="str">
        <x:v>Body copy</x:v>
      </x:c>
      <x:c r="H1560" s="71" t="str">
        <x:v>The cloud copy is open. Your separate device edits remain preserved until you open or explicitly discard them.</x:v>
      </x:c>
      <x:c r="I1560" s="71" t="str">
        <x:v>The cloud copy is open. Your separate device edits remain preserved until you open or explicitly discard them.</x:v>
      </x:c>
      <x:c r="J1560" s="73"/>
      <x:c r="K1560" s="74" t="str">
        <x:f>IF(J1560="",H1560,IF(J1560=I1560,I1560,J1560))</x:f>
        <x:v>The cloud copy is open. Your separate device edits remain preserved until you open or explicitly discard them.</x:v>
      </x:c>
      <x:c r="L1560" s="74" t="str">
        <x:f>IF(J1560="","Keep current",IF(J1560=I1560,"Use suggestion","Custom"))</x:f>
        <x:v>Keep current</x:v>
      </x:c>
      <x:c r="M1560" s="71" t="str">
        <x:v>Pending review</x:v>
      </x:c>
      <x:c r="N1560" s="71" t="str">
        <x:v>High</x:v>
      </x:c>
      <x:c r="O1560" s="71" t="str">
        <x:v>components/journey-map-planner-workspace.tsx</x:v>
      </x:c>
      <x:c r="P1560" s="71" t="str">
        <x:v>hydratePlan:1262</x:v>
      </x:c>
      <x:c r="Q1560" s="71" t="str">
        <x:v>EN (default / shared)</x:v>
      </x:c>
      <x:c r="R1560" s="71" t="str">
        <x:v>Already clear and direct; suggested wording intentionally keeps the current copy. Duplicate wording: appears 2 times.</x:v>
      </x:c>
      <x:c r="S1560" s="75" t="str">
        <x:v>Not applied — review required</x:v>
      </x:c>
    </x:row>
    <x:row r="1561">
      <x:c r="A1561" s="71" t="str">
        <x:v>MRV-A81FAF6566</x:v>
      </x:c>
      <x:c r="B1561" s="71" t="str">
        <x:v>Planning</x:v>
      </x:c>
      <x:c r="C1561" s="71" t="str">
        <x:v>Planner recommendations</x:v>
      </x:c>
      <x:c r="D1561" s="71" t="str">
        <x:v>Shared planner output</x:v>
      </x:c>
      <x:c r="E1561" s="71" t="str">
        <x:v>hydratePlan</x:v>
      </x:c>
      <x:c r="F1561" s="71" t="str">
        <x:v>Default</x:v>
      </x:c>
      <x:c r="G1561" s="71" t="str">
        <x:v>Body copy</x:v>
      </x:c>
      <x:c r="H1561" s="71" t="str">
        <x:v>{activeTrip.id}-calendar-{stayPlanItem.dayNumber}</x:v>
      </x:c>
      <x:c r="I1561" s="71" t="str">
        <x:v>{activeTrip.id}-calendar-{stayPlanItem.dayNumber}</x:v>
      </x:c>
      <x:c r="J1561" s="73"/>
      <x:c r="K1561" s="74" t="str">
        <x:f>IF(J1561="",H1561,IF(J1561=I1561,I1561,J1561))</x:f>
        <x:v>{activeTrip.id}-calendar-{stayPlanItem.dayNumber}</x:v>
      </x:c>
      <x:c r="L1561" s="74" t="str">
        <x:f>IF(J1561="","Keep current",IF(J1561=I1561,"Use suggestion","Custom"))</x:f>
        <x:v>Keep current</x:v>
      </x:c>
      <x:c r="M1561" s="71" t="str">
        <x:v>Pending review</x:v>
      </x:c>
      <x:c r="N1561" s="71" t="str">
        <x:v>Normal</x:v>
      </x:c>
      <x:c r="O1561" s="71" t="str">
        <x:v>components/journey-map-planner-workspace.tsx</x:v>
      </x:c>
      <x:c r="P1561" s="71" t="str">
        <x:v>hydratePlan:1295</x:v>
      </x:c>
      <x:c r="Q1561" s="71" t="str">
        <x:v>EN (default / shared)</x:v>
      </x:c>
      <x:c r="R1561" s="71" t="str">
        <x:v>Already clear and direct; suggested wording intentionally keeps the current copy. Dynamic traveller or trip value is represented as a token; user-generated values are excluded.</x:v>
      </x:c>
      <x:c r="S1561" s="75" t="str">
        <x:v>Not applied — review required</x:v>
      </x:c>
    </x:row>
    <x:row r="1562">
      <x:c r="A1562" s="71" t="str">
        <x:v>MRV-40DD1F5C97</x:v>
      </x:c>
      <x:c r="B1562" s="71" t="str">
        <x:v>Planning</x:v>
      </x:c>
      <x:c r="C1562" s="71" t="str">
        <x:v>Planner recommendations</x:v>
      </x:c>
      <x:c r="D1562" s="71" t="str">
        <x:v>Shared planner output</x:v>
      </x:c>
      <x:c r="E1562" s="71" t="str">
        <x:v>queryKey</x:v>
      </x:c>
      <x:c r="F1562" s="71" t="str">
        <x:v>Default</x:v>
      </x:c>
      <x:c r="G1562" s="71" t="str">
        <x:v>Body copy</x:v>
      </x:c>
      <x:c r="H1562" s="71" t="str">
        <x:v>{customTrip.id}?{searchParams.toString()}</x:v>
      </x:c>
      <x:c r="I1562" s="71" t="str">
        <x:v>{customTrip.id}?{searchParams.toString()}</x:v>
      </x:c>
      <x:c r="J1562" s="73"/>
      <x:c r="K1562" s="74" t="str">
        <x:f>IF(J1562="",H1562,IF(J1562=I1562,I1562,J1562))</x:f>
        <x:v>{customTrip.id}?{searchParams.toString()}</x:v>
      </x:c>
      <x:c r="L1562" s="74" t="str">
        <x:f>IF(J1562="","Keep current",IF(J1562=I1562,"Use suggestion","Custom"))</x:f>
        <x:v>Keep current</x:v>
      </x:c>
      <x:c r="M1562" s="71" t="str">
        <x:v>Pending review</x:v>
      </x:c>
      <x:c r="N1562" s="71" t="str">
        <x:v>Normal</x:v>
      </x:c>
      <x:c r="O1562" s="71" t="str">
        <x:v>components/journey-map-planner-workspace.tsx</x:v>
      </x:c>
      <x:c r="P1562" s="71" t="str">
        <x:v>queryKey:1342</x:v>
      </x:c>
      <x:c r="Q1562" s="71" t="str">
        <x:v>EN (default / shared)</x:v>
      </x:c>
      <x:c r="R1562" s="71" t="str">
        <x:v>Already clear and direct; suggested wording intentionally keeps the current copy. Dynamic traveller or trip value is represented as a token; user-generated values are excluded.</x:v>
      </x:c>
      <x:c r="S1562" s="75" t="str">
        <x:v>Not applied — review required</x:v>
      </x:c>
    </x:row>
    <x:row r="1563">
      <x:c r="A1563" s="71" t="str">
        <x:v>MRV-16267BD4F2</x:v>
      </x:c>
      <x:c r="B1563" s="71" t="str">
        <x:v>Planning</x:v>
      </x:c>
      <x:c r="C1563" s="71" t="str">
        <x:v>Planner recommendations</x:v>
      </x:c>
      <x:c r="D1563" s="71" t="str">
        <x:v>Shared planner output</x:v>
      </x:c>
      <x:c r="E1563" s="71" t="str">
        <x:v>JourneyMapPlannerWorkspace</x:v>
      </x:c>
      <x:c r="F1563" s="71" t="str">
        <x:v>Default</x:v>
      </x:c>
      <x:c r="G1563" s="71" t="str">
        <x:v>Body copy</x:v>
      </x:c>
      <x:c r="H1563" s="71" t="str">
        <x:v>{customTrip.id}-calendar-{item.dayNumber}</x:v>
      </x:c>
      <x:c r="I1563" s="71" t="str">
        <x:v>{customTrip.id}-calendar-{item.dayNumber}</x:v>
      </x:c>
      <x:c r="J1563" s="73"/>
      <x:c r="K1563" s="74" t="str">
        <x:f>IF(J1563="",H1563,IF(J1563=I1563,I1563,J1563))</x:f>
        <x:v>{customTrip.id}-calendar-{item.dayNumber}</x:v>
      </x:c>
      <x:c r="L1563" s="74" t="str">
        <x:f>IF(J1563="","Keep current",IF(J1563=I1563,"Use suggestion","Custom"))</x:f>
        <x:v>Keep current</x:v>
      </x:c>
      <x:c r="M1563" s="71" t="str">
        <x:v>Pending review</x:v>
      </x:c>
      <x:c r="N1563" s="71" t="str">
        <x:v>Normal</x:v>
      </x:c>
      <x:c r="O1563" s="71" t="str">
        <x:v>components/journey-map-planner-workspace.tsx</x:v>
      </x:c>
      <x:c r="P1563" s="71" t="str">
        <x:v>JourneyMapPlannerWorkspace:1351</x:v>
      </x:c>
      <x:c r="Q1563" s="71" t="str">
        <x:v>EN (default / shared)</x:v>
      </x:c>
      <x:c r="R1563" s="71" t="str">
        <x:v>Already clear and direct; suggested wording intentionally keeps the current copy. Duplicate wording: appears 2 times. Dynamic traveller or trip value is represented as a token; user-generated values are excluded.</x:v>
      </x:c>
      <x:c r="S1563" s="75" t="str">
        <x:v>Not applied — review required</x:v>
      </x:c>
    </x:row>
    <x:row r="1564">
      <x:c r="A1564" s="71" t="str">
        <x:v>MRV-6A7368FA5E</x:v>
      </x:c>
      <x:c r="B1564" s="71" t="str">
        <x:v>Planning</x:v>
      </x:c>
      <x:c r="C1564" s="71" t="str">
        <x:v>Planner recommendations</x:v>
      </x:c>
      <x:c r="D1564" s="71" t="str">
        <x:v>Shared planner output</x:v>
      </x:c>
      <x:c r="E1564" s="71" t="str">
        <x:v>JourneyMapPlannerWorkspace</x:v>
      </x:c>
      <x:c r="F1564" s="71" t="str">
        <x:v>Default</x:v>
      </x:c>
      <x:c r="G1564" s="71" t="str">
        <x:v>Body copy</x:v>
      </x:c>
      <x:c r="H1564" s="71" t="str">
        <x:v>{customTrip.id}-day-{item.dayNumber}</x:v>
      </x:c>
      <x:c r="I1564" s="71" t="str">
        <x:v>{customTrip.id}-day-{item.dayNumber}</x:v>
      </x:c>
      <x:c r="J1564" s="73"/>
      <x:c r="K1564" s="74" t="str">
        <x:f>IF(J1564="",H1564,IF(J1564=I1564,I1564,J1564))</x:f>
        <x:v>{customTrip.id}-day-{item.dayNumber}</x:v>
      </x:c>
      <x:c r="L1564" s="74" t="str">
        <x:f>IF(J1564="","Keep current",IF(J1564=I1564,"Use suggestion","Custom"))</x:f>
        <x:v>Keep current</x:v>
      </x:c>
      <x:c r="M1564" s="71" t="str">
        <x:v>Pending review</x:v>
      </x:c>
      <x:c r="N1564" s="71" t="str">
        <x:v>Normal</x:v>
      </x:c>
      <x:c r="O1564" s="71" t="str">
        <x:v>components/journey-map-planner-workspace.tsx</x:v>
      </x:c>
      <x:c r="P1564" s="71" t="str">
        <x:v>JourneyMapPlannerWorkspace:1352</x:v>
      </x:c>
      <x:c r="Q1564" s="71" t="str">
        <x:v>EN (default / shared)</x:v>
      </x:c>
      <x:c r="R1564" s="71" t="str">
        <x:v>Already clear and direct; suggested wording intentionally keeps the current copy. Dynamic traveller or trip value is represented as a token; user-generated values are excluded.</x:v>
      </x:c>
      <x:c r="S1564" s="75" t="str">
        <x:v>Not applied — review required</x:v>
      </x:c>
    </x:row>
    <x:row r="1565">
      <x:c r="A1565" s="71" t="str">
        <x:v>MRV-DF5895D958</x:v>
      </x:c>
      <x:c r="B1565" s="71" t="str">
        <x:v>Planning</x:v>
      </x:c>
      <x:c r="C1565" s="71" t="str">
        <x:v>Planner recommendations</x:v>
      </x:c>
      <x:c r="D1565" s="71" t="str">
        <x:v>Shared planner output</x:v>
      </x:c>
      <x:c r="E1565" s="71" t="str">
        <x:v>JourneyMapPlannerWorkspace</x:v>
      </x:c>
      <x:c r="F1565" s="71" t="str">
        <x:v>Default</x:v>
      </x:c>
      <x:c r="G1565" s="71" t="str">
        <x:v>Label</x:v>
      </x:c>
      <x:c r="H1565" s="71" t="str">
        <x:v>(max-width: 720px)</x:v>
      </x:c>
      <x:c r="I1565" s="71" t="str">
        <x:v>(max-width: 720px)</x:v>
      </x:c>
      <x:c r="J1565" s="73"/>
      <x:c r="K1565" s="74" t="str">
        <x:f>IF(J1565="",H1565,IF(J1565=I1565,I1565,J1565))</x:f>
        <x:v>(max-width: 720px)</x:v>
      </x:c>
      <x:c r="L1565" s="74" t="str">
        <x:f>IF(J1565="","Keep current",IF(J1565=I1565,"Use suggestion","Custom"))</x:f>
        <x:v>Keep current</x:v>
      </x:c>
      <x:c r="M1565" s="71" t="str">
        <x:v>Pending review</x:v>
      </x:c>
      <x:c r="N1565" s="71" t="str">
        <x:v>Normal</x:v>
      </x:c>
      <x:c r="O1565" s="71" t="str">
        <x:v>components/journey-map-planner-workspace.tsx</x:v>
      </x:c>
      <x:c r="P1565" s="71" t="str">
        <x:v>JourneyMapPlannerWorkspace:1396</x:v>
      </x:c>
      <x:c r="Q1565" s="71" t="str">
        <x:v>EN (default / shared)</x:v>
      </x:c>
      <x:c r="R1565" s="71" t="str">
        <x:v>Already clear and direct; suggested wording intentionally keeps the current copy.</x:v>
      </x:c>
      <x:c r="S1565" s="75" t="str">
        <x:v>Not applied — review required</x:v>
      </x:c>
    </x:row>
    <x:row r="1566">
      <x:c r="A1566" s="71" t="str">
        <x:v>MRV-84CA34B2A7</x:v>
      </x:c>
      <x:c r="B1566" s="71" t="str">
        <x:v>Planning</x:v>
      </x:c>
      <x:c r="C1566" s="71" t="str">
        <x:v>Planner recommendations</x:v>
      </x:c>
      <x:c r="D1566" s="71" t="str">
        <x:v>Shared planner output</x:v>
      </x:c>
      <x:c r="E1566" s="71" t="str">
        <x:v>closeOnEscape</x:v>
      </x:c>
      <x:c r="F1566" s="71" t="str">
        <x:v>Default</x:v>
      </x:c>
      <x:c r="G1566" s="71" t="str">
        <x:v>Label</x:v>
      </x:c>
      <x:c r="H1566" s="71" t="str">
        <x:v>Escape</x:v>
      </x:c>
      <x:c r="I1566" s="71" t="str">
        <x:v>Escape</x:v>
      </x:c>
      <x:c r="J1566" s="73"/>
      <x:c r="K1566" s="74" t="str">
        <x:f>IF(J1566="",H1566,IF(J1566=I1566,I1566,J1566))</x:f>
        <x:v>Escape</x:v>
      </x:c>
      <x:c r="L1566" s="74" t="str">
        <x:f>IF(J1566="","Keep current",IF(J1566=I1566,"Use suggestion","Custom"))</x:f>
        <x:v>Keep current</x:v>
      </x:c>
      <x:c r="M1566" s="71" t="str">
        <x:v>Pending review</x:v>
      </x:c>
      <x:c r="N1566" s="71" t="str">
        <x:v>Normal</x:v>
      </x:c>
      <x:c r="O1566" s="71" t="str">
        <x:v>components/journey-map-planner-workspace.tsx</x:v>
      </x:c>
      <x:c r="P1566" s="71" t="str">
        <x:v>closeOnEscape:1428</x:v>
      </x:c>
      <x:c r="Q1566" s="71" t="str">
        <x:v>EN (default / shared)</x:v>
      </x:c>
      <x:c r="R1566" s="71" t="str">
        <x:v>Already clear and direct; suggested wording intentionally keeps the current copy. Duplicate wording: appears 4 times.</x:v>
      </x:c>
      <x:c r="S1566" s="75" t="str">
        <x:v>Not applied — review required</x:v>
      </x:c>
    </x:row>
    <x:row r="1567">
      <x:c r="A1567" s="71" t="str">
        <x:v>MRV-6EBB6C3FBD</x:v>
      </x:c>
      <x:c r="B1567" s="71" t="str">
        <x:v>Planning</x:v>
      </x:c>
      <x:c r="C1567" s="71" t="str">
        <x:v>Planner recommendations</x:v>
      </x:c>
      <x:c r="D1567" s="71" t="str">
        <x:v>Shared planner output</x:v>
      </x:c>
      <x:c r="E1567" s="71" t="str">
        <x:v>onKeyDown</x:v>
      </x:c>
      <x:c r="F1567" s="71" t="str">
        <x:v>Default</x:v>
      </x:c>
      <x:c r="G1567" s="71" t="str">
        <x:v>Label</x:v>
      </x:c>
      <x:c r="H1567" s="71" t="str">
        <x:v>input, textarea, select</x:v>
      </x:c>
      <x:c r="I1567" s="71" t="str">
        <x:v>input, textarea, select</x:v>
      </x:c>
      <x:c r="J1567" s="73"/>
      <x:c r="K1567" s="74" t="str">
        <x:f>IF(J1567="",H1567,IF(J1567=I1567,I1567,J1567))</x:f>
        <x:v>input, textarea, select</x:v>
      </x:c>
      <x:c r="L1567" s="74" t="str">
        <x:f>IF(J1567="","Keep current",IF(J1567=I1567,"Use suggestion","Custom"))</x:f>
        <x:v>Keep current</x:v>
      </x:c>
      <x:c r="M1567" s="71" t="str">
        <x:v>Pending review</x:v>
      </x:c>
      <x:c r="N1567" s="71" t="str">
        <x:v>Normal</x:v>
      </x:c>
      <x:c r="O1567" s="71" t="str">
        <x:v>components/journey-map-planner-workspace.tsx</x:v>
      </x:c>
      <x:c r="P1567" s="71" t="str">
        <x:v>onKeyDown:1441</x:v>
      </x:c>
      <x:c r="Q1567" s="71" t="str">
        <x:v>EN (default / shared)</x:v>
      </x:c>
      <x:c r="R1567" s="71" t="str">
        <x:v>Already clear and direct; suggested wording intentionally keeps the current copy.</x:v>
      </x:c>
      <x:c r="S1567" s="75" t="str">
        <x:v>Not applied — review required</x:v>
      </x:c>
    </x:row>
    <x:row r="1568">
      <x:c r="A1568" s="71" t="str">
        <x:v>MRV-37FB561FCD</x:v>
      </x:c>
      <x:c r="B1568" s="71" t="str">
        <x:v>Planning</x:v>
      </x:c>
      <x:c r="C1568" s="71" t="str">
        <x:v>Planner recommendations</x:v>
      </x:c>
      <x:c r="D1568" s="71" t="str">
        <x:v>Shared planner output</x:v>
      </x:c>
      <x:c r="E1568" s="71" t="str">
        <x:v>onKeyDown</x:v>
      </x:c>
      <x:c r="F1568" s="71" t="str">
        <x:v>Default</x:v>
      </x:c>
      <x:c r="G1568" s="71" t="str">
        <x:v>Label</x:v>
      </x:c>
      <x:c r="H1568" s="71" t="str">
        <x:v>ArrowRight</x:v>
      </x:c>
      <x:c r="I1568" s="71" t="str">
        <x:v>ArrowRight</x:v>
      </x:c>
      <x:c r="J1568" s="73"/>
      <x:c r="K1568" s="74" t="str">
        <x:f>IF(J1568="",H1568,IF(J1568=I1568,I1568,J1568))</x:f>
        <x:v>ArrowRight</x:v>
      </x:c>
      <x:c r="L1568" s="74" t="str">
        <x:f>IF(J1568="","Keep current",IF(J1568=I1568,"Use suggestion","Custom"))</x:f>
        <x:v>Keep current</x:v>
      </x:c>
      <x:c r="M1568" s="71" t="str">
        <x:v>Pending review</x:v>
      </x:c>
      <x:c r="N1568" s="71" t="str">
        <x:v>Normal</x:v>
      </x:c>
      <x:c r="O1568" s="71" t="str">
        <x:v>components/journey-map-planner-workspace.tsx</x:v>
      </x:c>
      <x:c r="P1568" s="71" t="str">
        <x:v>onKeyDown:1442</x:v>
      </x:c>
      <x:c r="Q1568" s="71" t="str">
        <x:v>EN (default / shared)</x:v>
      </x:c>
      <x:c r="R1568" s="71" t="str">
        <x:v>Already clear and direct; suggested wording intentionally keeps the current copy. Duplicate wording: appears 2 times.</x:v>
      </x:c>
      <x:c r="S1568" s="75" t="str">
        <x:v>Not applied — review required</x:v>
      </x:c>
    </x:row>
    <x:row r="1569">
      <x:c r="A1569" s="71" t="str">
        <x:v>MRV-FF995E5E1A</x:v>
      </x:c>
      <x:c r="B1569" s="71" t="str">
        <x:v>Planning</x:v>
      </x:c>
      <x:c r="C1569" s="71" t="str">
        <x:v>Planner recommendations</x:v>
      </x:c>
      <x:c r="D1569" s="71" t="str">
        <x:v>Shared planner output</x:v>
      </x:c>
      <x:c r="E1569" s="71" t="str">
        <x:v>onKeyDown</x:v>
      </x:c>
      <x:c r="F1569" s="71" t="str">
        <x:v>Default</x:v>
      </x:c>
      <x:c r="G1569" s="71" t="str">
        <x:v>Label</x:v>
      </x:c>
      <x:c r="H1569" s="71" t="str">
        <x:v>ArrowDown</x:v>
      </x:c>
      <x:c r="I1569" s="71" t="str">
        <x:v>ArrowDown</x:v>
      </x:c>
      <x:c r="J1569" s="73"/>
      <x:c r="K1569" s="74" t="str">
        <x:f>IF(J1569="",H1569,IF(J1569=I1569,I1569,J1569))</x:f>
        <x:v>ArrowDown</x:v>
      </x:c>
      <x:c r="L1569" s="74" t="str">
        <x:f>IF(J1569="","Keep current",IF(J1569=I1569,"Use suggestion","Custom"))</x:f>
        <x:v>Keep current</x:v>
      </x:c>
      <x:c r="M1569" s="71" t="str">
        <x:v>Pending review</x:v>
      </x:c>
      <x:c r="N1569" s="71" t="str">
        <x:v>Normal</x:v>
      </x:c>
      <x:c r="O1569" s="71" t="str">
        <x:v>components/journey-map-planner-workspace.tsx</x:v>
      </x:c>
      <x:c r="P1569" s="71" t="str">
        <x:v>onKeyDown:1442</x:v>
      </x:c>
      <x:c r="Q1569" s="71" t="str">
        <x:v>EN (default / shared)</x:v>
      </x:c>
      <x:c r="R1569" s="71" t="str">
        <x:v>Already clear and direct; suggested wording intentionally keeps the current copy. Duplicate wording: appears 2 times.</x:v>
      </x:c>
      <x:c r="S1569" s="75" t="str">
        <x:v>Not applied — review required</x:v>
      </x:c>
    </x:row>
    <x:row r="1570">
      <x:c r="A1570" s="71" t="str">
        <x:v>MRV-30FA72BC10</x:v>
      </x:c>
      <x:c r="B1570" s="71" t="str">
        <x:v>Planning</x:v>
      </x:c>
      <x:c r="C1570" s="71" t="str">
        <x:v>Planner recommendations</x:v>
      </x:c>
      <x:c r="D1570" s="71" t="str">
        <x:v>Shared planner output</x:v>
      </x:c>
      <x:c r="E1570" s="71" t="str">
        <x:v>onKeyDown</x:v>
      </x:c>
      <x:c r="F1570" s="71" t="str">
        <x:v>Default</x:v>
      </x:c>
      <x:c r="G1570" s="71" t="str">
        <x:v>Label</x:v>
      </x:c>
      <x:c r="H1570" s="71" t="str">
        <x:v>ArrowLeft</x:v>
      </x:c>
      <x:c r="I1570" s="71" t="str">
        <x:v>ArrowLeft</x:v>
      </x:c>
      <x:c r="J1570" s="73"/>
      <x:c r="K1570" s="74" t="str">
        <x:f>IF(J1570="",H1570,IF(J1570=I1570,I1570,J1570))</x:f>
        <x:v>ArrowLeft</x:v>
      </x:c>
      <x:c r="L1570" s="74" t="str">
        <x:f>IF(J1570="","Keep current",IF(J1570=I1570,"Use suggestion","Custom"))</x:f>
        <x:v>Keep current</x:v>
      </x:c>
      <x:c r="M1570" s="71" t="str">
        <x:v>Pending review</x:v>
      </x:c>
      <x:c r="N1570" s="71" t="str">
        <x:v>Normal</x:v>
      </x:c>
      <x:c r="O1570" s="71" t="str">
        <x:v>components/journey-map-planner-workspace.tsx</x:v>
      </x:c>
      <x:c r="P1570" s="71" t="str">
        <x:v>onKeyDown:1449</x:v>
      </x:c>
      <x:c r="Q1570" s="71" t="str">
        <x:v>EN (default / shared)</x:v>
      </x:c>
      <x:c r="R1570" s="71" t="str">
        <x:v>Already clear and direct; suggested wording intentionally keeps the current copy. Duplicate wording: appears 2 times.</x:v>
      </x:c>
      <x:c r="S1570" s="75" t="str">
        <x:v>Not applied — review required</x:v>
      </x:c>
    </x:row>
    <x:row r="1571">
      <x:c r="A1571" s="71" t="str">
        <x:v>MRV-DCD074E4D1</x:v>
      </x:c>
      <x:c r="B1571" s="71" t="str">
        <x:v>Planning</x:v>
      </x:c>
      <x:c r="C1571" s="71" t="str">
        <x:v>Planner recommendations</x:v>
      </x:c>
      <x:c r="D1571" s="71" t="str">
        <x:v>Shared planner output</x:v>
      </x:c>
      <x:c r="E1571" s="71" t="str">
        <x:v>onKeyDown</x:v>
      </x:c>
      <x:c r="F1571" s="71" t="str">
        <x:v>Default</x:v>
      </x:c>
      <x:c r="G1571" s="71" t="str">
        <x:v>Label</x:v>
      </x:c>
      <x:c r="H1571" s="71" t="str">
        <x:v>ArrowUp</x:v>
      </x:c>
      <x:c r="I1571" s="71" t="str">
        <x:v>ArrowUp</x:v>
      </x:c>
      <x:c r="J1571" s="73"/>
      <x:c r="K1571" s="74" t="str">
        <x:f>IF(J1571="",H1571,IF(J1571=I1571,I1571,J1571))</x:f>
        <x:v>ArrowUp</x:v>
      </x:c>
      <x:c r="L1571" s="74" t="str">
        <x:f>IF(J1571="","Keep current",IF(J1571=I1571,"Use suggestion","Custom"))</x:f>
        <x:v>Keep current</x:v>
      </x:c>
      <x:c r="M1571" s="71" t="str">
        <x:v>Pending review</x:v>
      </x:c>
      <x:c r="N1571" s="71" t="str">
        <x:v>Normal</x:v>
      </x:c>
      <x:c r="O1571" s="71" t="str">
        <x:v>components/journey-map-planner-workspace.tsx</x:v>
      </x:c>
      <x:c r="P1571" s="71" t="str">
        <x:v>onKeyDown:1449</x:v>
      </x:c>
      <x:c r="Q1571" s="71" t="str">
        <x:v>EN (default / shared)</x:v>
      </x:c>
      <x:c r="R1571" s="71" t="str">
        <x:v>Already clear and direct; suggested wording intentionally keeps the current copy. Duplicate wording: appears 2 times.</x:v>
      </x:c>
      <x:c r="S1571" s="75" t="str">
        <x:v>Not applied — review required</x:v>
      </x:c>
    </x:row>
    <x:row r="1572">
      <x:c r="A1572" s="71" t="str">
        <x:v>MRV-2454F84B63</x:v>
      </x:c>
      <x:c r="B1572" s="71" t="str">
        <x:v>Planning</x:v>
      </x:c>
      <x:c r="C1572" s="71" t="str">
        <x:v>Planner recommendations</x:v>
      </x:c>
      <x:c r="D1572" s="71" t="str">
        <x:v>Shared planner output</x:v>
      </x:c>
      <x:c r="E1572" s="71" t="str">
        <x:v>renderReviewItem</x:v>
      </x:c>
      <x:c r="F1572" s="71" t="str">
        <x:v>Default</x:v>
      </x:c>
      <x:c r="G1572" s="71" t="str">
        <x:v>Label</x:v>
      </x:c>
      <x:c r="H1572" s="71" t="str">
        <x:v>Ver detalles</x:v>
      </x:c>
      <x:c r="I1572" s="71" t="str">
        <x:v>Ver detalles</x:v>
      </x:c>
      <x:c r="J1572" s="73"/>
      <x:c r="K1572" s="74" t="str">
        <x:f>IF(J1572="",H1572,IF(J1572=I1572,I1572,J1572))</x:f>
        <x:v>Ver detalles</x:v>
      </x:c>
      <x:c r="L1572" s="74" t="str">
        <x:f>IF(J1572="","Keep current",IF(J1572=I1572,"Use suggestion","Custom"))</x:f>
        <x:v>Keep current</x:v>
      </x:c>
      <x:c r="M1572" s="71" t="str">
        <x:v>Pending review</x:v>
      </x:c>
      <x:c r="N1572" s="71" t="str">
        <x:v>Normal</x:v>
      </x:c>
      <x:c r="O1572" s="71" t="str">
        <x:v>components/journey-map-planner-workspace.tsx</x:v>
      </x:c>
      <x:c r="P1572" s="71" t="str">
        <x:v>renderReviewItem:1469</x:v>
      </x:c>
      <x:c r="Q1572" s="71" t="str">
        <x:v>ES</x:v>
      </x:c>
      <x:c r="R1572" s="71" t="str">
        <x:v>Already clear and direct; suggested wording intentionally keeps the current copy. Duplicate wording: appears 2 times.</x:v>
      </x:c>
      <x:c r="S1572" s="75" t="str">
        <x:v>Not applied — review required</x:v>
      </x:c>
    </x:row>
    <x:row r="1573">
      <x:c r="A1573" s="71" t="str">
        <x:v>MRV-B12D1AB337</x:v>
      </x:c>
      <x:c r="B1573" s="71" t="str">
        <x:v>Planning</x:v>
      </x:c>
      <x:c r="C1573" s="71" t="str">
        <x:v>Planner recommendations</x:v>
      </x:c>
      <x:c r="D1573" s="71" t="str">
        <x:v>Shared planner output</x:v>
      </x:c>
      <x:c r="E1573" s="71" t="str">
        <x:v>renderReviewItem</x:v>
      </x:c>
      <x:c r="F1573" s="71" t="str">
        <x:v>Default</x:v>
      </x:c>
      <x:c r="G1573" s="71" t="str">
        <x:v>CTA / button</x:v>
      </x:c>
      <x:c r="H1573" s="71" t="str">
        <x:v>View details</x:v>
      </x:c>
      <x:c r="I1573" s="71" t="str">
        <x:v>View details</x:v>
      </x:c>
      <x:c r="J1573" s="73"/>
      <x:c r="K1573" s="74" t="str">
        <x:f>IF(J1573="",H1573,IF(J1573=I1573,I1573,J1573))</x:f>
        <x:v>View details</x:v>
      </x:c>
      <x:c r="L1573" s="74" t="str">
        <x:f>IF(J1573="","Keep current",IF(J1573=I1573,"Use suggestion","Custom"))</x:f>
        <x:v>Keep current</x:v>
      </x:c>
      <x:c r="M1573" s="71" t="str">
        <x:v>Pending review</x:v>
      </x:c>
      <x:c r="N1573" s="71" t="str">
        <x:v>Medium</x:v>
      </x:c>
      <x:c r="O1573" s="71" t="str">
        <x:v>components/journey-map-planner-workspace.tsx</x:v>
      </x:c>
      <x:c r="P1573" s="71" t="str">
        <x:v>renderReviewItem:1469</x:v>
      </x:c>
      <x:c r="Q1573" s="71" t="str">
        <x:v>EN</x:v>
      </x:c>
      <x:c r="R1573" s="71" t="str">
        <x:v>Already clear and direct; suggested wording intentionally keeps the current copy. Duplicate wording: appears 2 times.</x:v>
      </x:c>
      <x:c r="S1573" s="75" t="str">
        <x:v>Not applied — review required</x:v>
      </x:c>
    </x:row>
    <x:row r="1574">
      <x:c r="A1574" s="71" t="str">
        <x:v>MRV-8E529208DC</x:v>
      </x:c>
      <x:c r="B1574" s="71" t="str">
        <x:v>Planning</x:v>
      </x:c>
      <x:c r="C1574" s="71" t="str">
        <x:v>Planner recommendations</x:v>
      </x:c>
      <x:c r="D1574" s="71" t="str">
        <x:v>Shared planner output</x:v>
      </x:c>
      <x:c r="E1574" s="71" t="str">
        <x:v>renderReviewItem</x:v>
      </x:c>
      <x:c r="F1574" s="71" t="str">
        <x:v>Default</x:v>
      </x:c>
      <x:c r="G1574" s="71" t="str">
        <x:v>Body copy</x:v>
      </x:c>
      <x:c r="H1574" s="71" t="str">
        <x:v>{language === "es" ? "día" : "day"} {day}</x:v>
      </x:c>
      <x:c r="I1574" s="71" t="str">
        <x:v>{language === "es" ? "día" : "day"} {day}</x:v>
      </x:c>
      <x:c r="J1574" s="73"/>
      <x:c r="K1574" s="74" t="str">
        <x:f>IF(J1574="",H1574,IF(J1574=I1574,I1574,J1574))</x:f>
        <x:v>{language === "es" ? "día" : "day"} {day}</x:v>
      </x:c>
      <x:c r="L1574" s="74" t="str">
        <x:f>IF(J1574="","Keep current",IF(J1574=I1574,"Use suggestion","Custom"))</x:f>
        <x:v>Keep current</x:v>
      </x:c>
      <x:c r="M1574" s="71" t="str">
        <x:v>Pending review</x:v>
      </x:c>
      <x:c r="N1574" s="71" t="str">
        <x:v>Normal</x:v>
      </x:c>
      <x:c r="O1574" s="71" t="str">
        <x:v>components/journey-map-planner-workspace.tsx</x:v>
      </x:c>
      <x:c r="P1574" s="71" t="str">
        <x:v>renderReviewItem:1469</x:v>
      </x:c>
      <x:c r="Q1574" s="71" t="str">
        <x:v>EN (default / shared)</x:v>
      </x:c>
      <x:c r="R1574" s="71" t="str">
        <x:v>Already clear and direct; suggested wording intentionally keeps the current copy. Dynamic traveller or trip value is represented as a token; user-generated values are excluded.</x:v>
      </x:c>
      <x:c r="S1574" s="75" t="str">
        <x:v>Not applied — review required</x:v>
      </x:c>
    </x:row>
    <x:row r="1575">
      <x:c r="A1575" s="71" t="str">
        <x:v>MRV-5459C94269</x:v>
      </x:c>
      <x:c r="B1575" s="71" t="str">
        <x:v>Planning</x:v>
      </x:c>
      <x:c r="C1575" s="71" t="str">
        <x:v>Planner recommendations</x:v>
      </x:c>
      <x:c r="D1575" s="71" t="str">
        <x:v>Shared planner output</x:v>
      </x:c>
      <x:c r="E1575" s="71" t="str">
        <x:v>renderReviewItem</x:v>
      </x:c>
      <x:c r="F1575" s="71" t="str">
        <x:v>Default</x:v>
      </x:c>
      <x:c r="G1575" s="71" t="str">
        <x:v>Label</x:v>
      </x:c>
      <x:c r="H1575" s="71" t="str">
        <x:v>día</x:v>
      </x:c>
      <x:c r="I1575" s="71" t="str">
        <x:v>día</x:v>
      </x:c>
      <x:c r="J1575" s="73"/>
      <x:c r="K1575" s="74" t="str">
        <x:f>IF(J1575="",H1575,IF(J1575=I1575,I1575,J1575))</x:f>
        <x:v>día</x:v>
      </x:c>
      <x:c r="L1575" s="74" t="str">
        <x:f>IF(J1575="","Keep current",IF(J1575=I1575,"Use suggestion","Custom"))</x:f>
        <x:v>Keep current</x:v>
      </x:c>
      <x:c r="M1575" s="71" t="str">
        <x:v>Pending review</x:v>
      </x:c>
      <x:c r="N1575" s="71" t="str">
        <x:v>Normal</x:v>
      </x:c>
      <x:c r="O1575" s="71" t="str">
        <x:v>components/journey-map-planner-workspace.tsx</x:v>
      </x:c>
      <x:c r="P1575" s="71" t="str">
        <x:v>renderReviewItem:1469</x:v>
      </x:c>
      <x:c r="Q1575" s="71" t="str">
        <x:v>ES</x:v>
      </x:c>
      <x:c r="R1575" s="71" t="str">
        <x:v>Already clear and direct; suggested wording intentionally keeps the current copy. Duplicate wording: appears 2 times.</x:v>
      </x:c>
      <x:c r="S1575" s="75" t="str">
        <x:v>Not applied — review required</x:v>
      </x:c>
    </x:row>
    <x:row r="1576">
      <x:c r="A1576" s="71" t="str">
        <x:v>MRV-34936A7ACC</x:v>
      </x:c>
      <x:c r="B1576" s="71" t="str">
        <x:v>Planning</x:v>
      </x:c>
      <x:c r="C1576" s="71" t="str">
        <x:v>Planner recommendations</x:v>
      </x:c>
      <x:c r="D1576" s="71" t="str">
        <x:v>Shared planner output</x:v>
      </x:c>
      <x:c r="E1576" s="71" t="str">
        <x:v>JourneyMapPlannerWorkspace</x:v>
      </x:c>
      <x:c r="F1576" s="71" t="str">
        <x:v>Loading / in progress</x:v>
      </x:c>
      <x:c r="G1576" s="71" t="str">
        <x:v>Label</x:v>
      </x:c>
      <x:c r="H1576" s="71" t="str">
        <x:v>Loading your journey…</x:v>
      </x:c>
      <x:c r="I1576" s="71" t="str">
        <x:v>Loading your journey…</x:v>
      </x:c>
      <x:c r="J1576" s="73"/>
      <x:c r="K1576" s="74" t="str">
        <x:f>IF(J1576="",H1576,IF(J1576=I1576,I1576,J1576))</x:f>
        <x:v>Loading your journey…</x:v>
      </x:c>
      <x:c r="L1576" s="74" t="str">
        <x:f>IF(J1576="","Keep current",IF(J1576=I1576,"Use suggestion","Custom"))</x:f>
        <x:v>Keep current</x:v>
      </x:c>
      <x:c r="M1576" s="71" t="str">
        <x:v>Pending review</x:v>
      </x:c>
      <x:c r="N1576" s="71" t="str">
        <x:v>Normal</x:v>
      </x:c>
      <x:c r="O1576" s="71" t="str">
        <x:v>components/journey-map-planner-workspace.tsx</x:v>
      </x:c>
      <x:c r="P1576" s="71" t="str">
        <x:v>JourneyMapPlannerWorkspace:1484</x:v>
      </x:c>
      <x:c r="Q1576" s="71" t="str">
        <x:v>EN (default / shared)</x:v>
      </x:c>
      <x:c r="R1576" s="71" t="str">
        <x:v>Already clear and direct; suggested wording intentionally keeps the current copy. Duplicate wording: appears 2 times. Terminology watch: ‘trip’ and ‘journey’ both describe the same plan. Terminology watch: ‘stops’, ‘destinations’ and ‘places’ overlap.</x:v>
      </x:c>
      <x:c r="S1576" s="75" t="str">
        <x:v>Not applied — review required</x:v>
      </x:c>
    </x:row>
    <x:row r="1577">
      <x:c r="A1577" s="71" t="str">
        <x:v>MRV-7AC8F126C3</x:v>
      </x:c>
      <x:c r="B1577" s="71" t="str">
        <x:v>Planning</x:v>
      </x:c>
      <x:c r="C1577" s="71" t="str">
        <x:v>Planner recommendations</x:v>
      </x:c>
      <x:c r="D1577" s="71" t="str">
        <x:v>Shared planner output</x:v>
      </x:c>
      <x:c r="E1577" s="71" t="str">
        <x:v>JourneyMapPlannerWorkspace</x:v>
      </x:c>
      <x:c r="F1577" s="71" t="str">
        <x:v>Default</x:v>
      </x:c>
      <x:c r="G1577" s="71" t="str">
        <x:v>CTA / button</x:v>
      </x:c>
      <x:c r="H1577" s="71" t="str">
        <x:v>Sign in to open this trip</x:v>
      </x:c>
      <x:c r="I1577" s="71" t="str">
        <x:v>Sign in to open this trip</x:v>
      </x:c>
      <x:c r="J1577" s="73"/>
      <x:c r="K1577" s="74" t="str">
        <x:f>IF(J1577="",H1577,IF(J1577=I1577,I1577,J1577))</x:f>
        <x:v>Sign in to open this trip</x:v>
      </x:c>
      <x:c r="L1577" s="74" t="str">
        <x:f>IF(J1577="","Keep current",IF(J1577=I1577,"Use suggestion","Custom"))</x:f>
        <x:v>Keep current</x:v>
      </x:c>
      <x:c r="M1577" s="71" t="str">
        <x:v>Pending review</x:v>
      </x:c>
      <x:c r="N1577" s="71" t="str">
        <x:v>Medium</x:v>
      </x:c>
      <x:c r="O1577" s="71" t="str">
        <x:v>components/journey-map-planner-workspace.tsx</x:v>
      </x:c>
      <x:c r="P1577" s="71" t="str">
        <x:v>JourneyMapPlannerWorkspace:1496</x:v>
      </x:c>
      <x:c r="Q1577" s="71" t="str">
        <x:v>EN (default / shared)</x:v>
      </x:c>
      <x:c r="R1577" s="71" t="str">
        <x:v>Already clear and direct; suggested wording intentionally keeps the current copy. Terminology watch: ‘trip’ and ‘journey’ both describe the same plan. Terminology watch: ‘stops’, ‘destinations’ and ‘places’ overlap.</x:v>
      </x:c>
      <x:c r="S1577" s="75" t="str">
        <x:v>Not applied — review required</x:v>
      </x:c>
    </x:row>
    <x:row r="1578">
      <x:c r="A1578" s="71" t="str">
        <x:v>MRV-02B5AD6CF5</x:v>
      </x:c>
      <x:c r="B1578" s="71" t="str">
        <x:v>Planning</x:v>
      </x:c>
      <x:c r="C1578" s="71" t="str">
        <x:v>Planner recommendations</x:v>
      </x:c>
      <x:c r="D1578" s="71" t="str">
        <x:v>Shared planner output</x:v>
      </x:c>
      <x:c r="E1578" s="71" t="str">
        <x:v>JourneyMapPlannerWorkspace</x:v>
      </x:c>
      <x:c r="F1578" s="71" t="str">
        <x:v>Default</x:v>
      </x:c>
      <x:c r="G1578" s="71" t="str">
        <x:v>Body copy</x:v>
      </x:c>
      <x:c r="H1578" s="71" t="str">
        <x:v>This trip has no planned days yet</x:v>
      </x:c>
      <x:c r="I1578" s="71" t="str">
        <x:v>This trip has no planned days yet</x:v>
      </x:c>
      <x:c r="J1578" s="73"/>
      <x:c r="K1578" s="74" t="str">
        <x:f>IF(J1578="",H1578,IF(J1578=I1578,I1578,J1578))</x:f>
        <x:v>This trip has no planned days yet</x:v>
      </x:c>
      <x:c r="L1578" s="74" t="str">
        <x:f>IF(J1578="","Keep current",IF(J1578=I1578,"Use suggestion","Custom"))</x:f>
        <x:v>Keep current</x:v>
      </x:c>
      <x:c r="M1578" s="71" t="str">
        <x:v>Pending review</x:v>
      </x:c>
      <x:c r="N1578" s="71" t="str">
        <x:v>Normal</x:v>
      </x:c>
      <x:c r="O1578" s="71" t="str">
        <x:v>components/journey-map-planner-workspace.tsx</x:v>
      </x:c>
      <x:c r="P1578" s="71" t="str">
        <x:v>JourneyMapPlannerWorkspace:1496</x:v>
      </x:c>
      <x:c r="Q1578" s="71" t="str">
        <x:v>EN (default / shared)</x:v>
      </x:c>
      <x:c r="R1578" s="71" t="str">
        <x:v>Already clear and direct; suggested wording intentionally keeps the current copy. Terminology watch: ‘trip’ and ‘journey’ both describe the same plan. Terminology watch: ‘stops’, ‘destinations’ and ‘places’ overlap.</x:v>
      </x:c>
      <x:c r="S1578" s="75" t="str">
        <x:v>Not applied — review required</x:v>
      </x:c>
    </x:row>
    <x:row r="1579">
      <x:c r="A1579" s="71" t="str">
        <x:v>MRV-A780633349</x:v>
      </x:c>
      <x:c r="B1579" s="71" t="str">
        <x:v>Planning</x:v>
      </x:c>
      <x:c r="C1579" s="71" t="str">
        <x:v>Planner recommendations</x:v>
      </x:c>
      <x:c r="D1579" s="71" t="str">
        <x:v>Shared planner output</x:v>
      </x:c>
      <x:c r="E1579" s="71" t="str">
        <x:v>JourneyMapPlannerWorkspace</x:v>
      </x:c>
      <x:c r="F1579" s="71" t="str">
        <x:v>Default</x:v>
      </x:c>
      <x:c r="G1579" s="71" t="str">
        <x:v>Label</x:v>
      </x:c>
      <x:c r="H1579" s="71" t="str">
        <x:v>This trip is unavailable</x:v>
      </x:c>
      <x:c r="I1579" s="71" t="str">
        <x:v>This trip is unavailable</x:v>
      </x:c>
      <x:c r="J1579" s="73"/>
      <x:c r="K1579" s="74" t="str">
        <x:f>IF(J1579="",H1579,IF(J1579=I1579,I1579,J1579))</x:f>
        <x:v>This trip is unavailable</x:v>
      </x:c>
      <x:c r="L1579" s="74" t="str">
        <x:f>IF(J1579="","Keep current",IF(J1579=I1579,"Use suggestion","Custom"))</x:f>
        <x:v>Keep current</x:v>
      </x:c>
      <x:c r="M1579" s="71" t="str">
        <x:v>Pending review</x:v>
      </x:c>
      <x:c r="N1579" s="71" t="str">
        <x:v>Normal</x:v>
      </x:c>
      <x:c r="O1579" s="71" t="str">
        <x:v>components/journey-map-planner-workspace.tsx</x:v>
      </x:c>
      <x:c r="P1579" s="71" t="str">
        <x:v>JourneyMapPlannerWorkspace:1496</x:v>
      </x:c>
      <x:c r="Q1579" s="71" t="str">
        <x:v>EN (default / shared)</x:v>
      </x:c>
      <x:c r="R1579" s="71" t="str">
        <x:v>Already clear and direct; suggested wording intentionally keeps the current copy. Terminology watch: ‘trip’ and ‘journey’ both describe the same plan. Terminology watch: ‘stops’, ‘destinations’ and ‘places’ overlap.</x:v>
      </x:c>
      <x:c r="S1579" s="75" t="str">
        <x:v>Not applied — review required</x:v>
      </x:c>
    </x:row>
    <x:row r="1580">
      <x:c r="A1580" s="71" t="str">
        <x:v>MRV-16D4A06715</x:v>
      </x:c>
      <x:c r="B1580" s="71" t="str">
        <x:v>Planning</x:v>
      </x:c>
      <x:c r="C1580" s="71" t="str">
        <x:v>Planner recommendations</x:v>
      </x:c>
      <x:c r="D1580" s="71" t="str">
        <x:v>Shared planner output</x:v>
      </x:c>
      <x:c r="E1580" s="71" t="str">
        <x:v>JourneyMapPlannerWorkspace</x:v>
      </x:c>
      <x:c r="F1580" s="71" t="str">
        <x:v>Default</x:v>
      </x:c>
      <x:c r="G1580" s="71" t="str">
        <x:v>Body copy</x:v>
      </x:c>
      <x:c r="H1580" s="71" t="str">
        <x:v>The requested trip is not available on this device. Sign in to check the saved cloud copy.</x:v>
      </x:c>
      <x:c r="I1580" s="71" t="str">
        <x:v>The requested trip is not available on this device. Sign in to check the saved cloud copy.</x:v>
      </x:c>
      <x:c r="J1580" s="73"/>
      <x:c r="K1580" s="74" t="str">
        <x:f>IF(J1580="",H1580,IF(J1580=I1580,I1580,J1580))</x:f>
        <x:v>The requested trip is not available on this device. Sign in to check the saved cloud copy.</x:v>
      </x:c>
      <x:c r="L1580" s="74" t="str">
        <x:f>IF(J1580="","Keep current",IF(J1580=I1580,"Use suggestion","Custom"))</x:f>
        <x:v>Keep current</x:v>
      </x:c>
      <x:c r="M1580" s="71" t="str">
        <x:v>Pending review</x:v>
      </x:c>
      <x:c r="N1580" s="71" t="str">
        <x:v>Normal</x:v>
      </x:c>
      <x:c r="O1580" s="71" t="str">
        <x:v>components/journey-map-planner-workspace.tsx</x:v>
      </x:c>
      <x:c r="P1580" s="71" t="str">
        <x:v>JourneyMapPlannerWorkspace:1497</x:v>
      </x:c>
      <x:c r="Q1580" s="71" t="str">
        <x:v>EN (default / shared)</x:v>
      </x:c>
      <x:c r="R1580" s="71" t="str">
        <x:v>Already clear and direct; suggested wording intentionally keeps the current copy. Terminology watch: ‘trip’ and ‘journey’ both describe the same plan. Terminology watch: ‘stops’, ‘destinations’ and ‘places’ overlap.</x:v>
      </x:c>
      <x:c r="S1580" s="75" t="str">
        <x:v>Not applied — review required</x:v>
      </x:c>
    </x:row>
    <x:row r="1581">
      <x:c r="A1581" s="71" t="str">
        <x:v>MRV-C5D7762A16</x:v>
      </x:c>
      <x:c r="B1581" s="71" t="str">
        <x:v>Planning</x:v>
      </x:c>
      <x:c r="C1581" s="71" t="str">
        <x:v>Planner recommendations</x:v>
      </x:c>
      <x:c r="D1581" s="71" t="str">
        <x:v>Shared planner output</x:v>
      </x:c>
      <x:c r="E1581" s="71" t="str">
        <x:v>JourneyMapPlannerWorkspace</x:v>
      </x:c>
      <x:c r="F1581" s="71" t="str">
        <x:v>Default</x:v>
      </x:c>
      <x:c r="G1581" s="71" t="str">
        <x:v>CTA / button</x:v>
      </x:c>
      <x:c r="H1581" s="71" t="str">
        <x:v>Add or regenerate itinerary days before using the map workspace.</x:v>
      </x:c>
      <x:c r="I1581" s="71" t="str">
        <x:v>Add or regenerate itinerary days before using the map workspace.</x:v>
      </x:c>
      <x:c r="J1581" s="73"/>
      <x:c r="K1581" s="74" t="str">
        <x:f>IF(J1581="",H1581,IF(J1581=I1581,I1581,J1581))</x:f>
        <x:v>Add or regenerate itinerary days before using the map workspace.</x:v>
      </x:c>
      <x:c r="L1581" s="74" t="str">
        <x:f>IF(J1581="","Keep current",IF(J1581=I1581,"Use suggestion","Custom"))</x:f>
        <x:v>Keep current</x:v>
      </x:c>
      <x:c r="M1581" s="71" t="str">
        <x:v>Pending review</x:v>
      </x:c>
      <x:c r="N1581" s="71" t="str">
        <x:v>Medium</x:v>
      </x:c>
      <x:c r="O1581" s="71" t="str">
        <x:v>components/journey-map-planner-workspace.tsx</x:v>
      </x:c>
      <x:c r="P1581" s="71" t="str">
        <x:v>JourneyMapPlannerWorkspace:1497</x:v>
      </x:c>
      <x:c r="Q1581" s="71" t="str">
        <x:v>EN (default / shared)</x:v>
      </x:c>
      <x:c r="R1581" s="71" t="str">
        <x:v>Already clear and direct; suggested wording intentionally keeps the current copy.</x:v>
      </x:c>
      <x:c r="S1581" s="75" t="str">
        <x:v>Not applied — review required</x:v>
      </x:c>
    </x:row>
    <x:row r="1582">
      <x:c r="A1582" s="71" t="str">
        <x:v>MRV-E686FDE126</x:v>
      </x:c>
      <x:c r="B1582" s="71" t="str">
        <x:v>Planning</x:v>
      </x:c>
      <x:c r="C1582" s="71" t="str">
        <x:v>Planner recommendations</x:v>
      </x:c>
      <x:c r="D1582" s="71" t="str">
        <x:v>Shared planner output</x:v>
      </x:c>
      <x:c r="E1582" s="71" t="str">
        <x:v>JourneyMapPlannerWorkspace</x:v>
      </x:c>
      <x:c r="F1582" s="71" t="str">
        <x:v>Default</x:v>
      </x:c>
      <x:c r="G1582" s="71" t="str">
        <x:v>Body copy</x:v>
      </x:c>
      <x:c r="H1582" s="71" t="str">
        <x:v>It may have been removed, or you may not have access to it.</x:v>
      </x:c>
      <x:c r="I1582" s="71" t="str">
        <x:v>It may have been removed, or you may not have access to it.</x:v>
      </x:c>
      <x:c r="J1582" s="73"/>
      <x:c r="K1582" s="74" t="str">
        <x:f>IF(J1582="",H1582,IF(J1582=I1582,I1582,J1582))</x:f>
        <x:v>It may have been removed, or you may not have access to it.</x:v>
      </x:c>
      <x:c r="L1582" s="74" t="str">
        <x:f>IF(J1582="","Keep current",IF(J1582=I1582,"Use suggestion","Custom"))</x:f>
        <x:v>Keep current</x:v>
      </x:c>
      <x:c r="M1582" s="71" t="str">
        <x:v>Pending review</x:v>
      </x:c>
      <x:c r="N1582" s="71" t="str">
        <x:v>Normal</x:v>
      </x:c>
      <x:c r="O1582" s="71" t="str">
        <x:v>components/journey-map-planner-workspace.tsx</x:v>
      </x:c>
      <x:c r="P1582" s="71" t="str">
        <x:v>JourneyMapPlannerWorkspace:1497</x:v>
      </x:c>
      <x:c r="Q1582" s="71" t="str">
        <x:v>EN (default / shared)</x:v>
      </x:c>
      <x:c r="R1582" s="71" t="str">
        <x:v>Already clear and direct; suggested wording intentionally keeps the current copy.</x:v>
      </x:c>
      <x:c r="S1582" s="75" t="str">
        <x:v>Not applied — review required</x:v>
      </x:c>
    </x:row>
    <x:row r="1583">
      <x:c r="A1583" s="71" t="str">
        <x:v>MRV-1B6751E107</x:v>
      </x:c>
      <x:c r="B1583" s="71" t="str">
        <x:v>Planning</x:v>
      </x:c>
      <x:c r="C1583" s="71" t="str">
        <x:v>Planner recommendations</x:v>
      </x:c>
      <x:c r="D1583" s="71" t="str">
        <x:v>Shared planner output</x:v>
      </x:c>
      <x:c r="E1583" s="71" t="str">
        <x:v>JourneyMapPlannerWorkspace</x:v>
      </x:c>
      <x:c r="F1583" s="71" t="str">
        <x:v>Default</x:v>
      </x:c>
      <x:c r="G1583" s="71" t="str">
        <x:v>CTA / button</x:v>
      </x:c>
      <x:c r="H1583" s="71" t="str">
        <x:v>Sign in</x:v>
      </x:c>
      <x:c r="I1583" s="71" t="str">
        <x:v>Sign in</x:v>
      </x:c>
      <x:c r="J1583" s="73"/>
      <x:c r="K1583" s="74" t="str">
        <x:f>IF(J1583="",H1583,IF(J1583=I1583,I1583,J1583))</x:f>
        <x:v>Sign in</x:v>
      </x:c>
      <x:c r="L1583" s="74" t="str">
        <x:f>IF(J1583="","Keep current",IF(J1583=I1583,"Use suggestion","Custom"))</x:f>
        <x:v>Keep current</x:v>
      </x:c>
      <x:c r="M1583" s="71" t="str">
        <x:v>Pending review</x:v>
      </x:c>
      <x:c r="N1583" s="71" t="str">
        <x:v>Medium</x:v>
      </x:c>
      <x:c r="O1583" s="71" t="str">
        <x:v>components/journey-map-planner-workspace.tsx</x:v>
      </x:c>
      <x:c r="P1583" s="71" t="str">
        <x:v>JourneyMapPlannerWorkspace:1498</x:v>
      </x:c>
      <x:c r="Q1583" s="71" t="str">
        <x:v>EN (default / shared)</x:v>
      </x:c>
      <x:c r="R1583" s="71" t="str">
        <x:v>Already clear and direct; suggested wording intentionally keeps the current copy. Duplicate wording: appears 5 times.</x:v>
      </x:c>
      <x:c r="S1583" s="75" t="str">
        <x:v>Not applied — review required</x:v>
      </x:c>
    </x:row>
    <x:row r="1584">
      <x:c r="A1584" s="71" t="str">
        <x:v>MRV-E43A56FAEF</x:v>
      </x:c>
      <x:c r="B1584" s="71" t="str">
        <x:v>Planning</x:v>
      </x:c>
      <x:c r="C1584" s="71" t="str">
        <x:v>Planner recommendations</x:v>
      </x:c>
      <x:c r="D1584" s="71" t="str">
        <x:v>Shared planner output</x:v>
      </x:c>
      <x:c r="E1584" s="71" t="str">
        <x:v>JourneyMapPlannerWorkspace</x:v>
      </x:c>
      <x:c r="F1584" s="71" t="str">
        <x:v>Default</x:v>
      </x:c>
      <x:c r="G1584" s="71" t="str">
        <x:v>CTA / button</x:v>
      </x:c>
      <x:c r="H1584" s="71" t="str">
        <x:v>Edit itinerary</x:v>
      </x:c>
      <x:c r="I1584" s="71" t="str">
        <x:v>Edit itinerary</x:v>
      </x:c>
      <x:c r="J1584" s="73"/>
      <x:c r="K1584" s="74" t="str">
        <x:f>IF(J1584="",H1584,IF(J1584=I1584,I1584,J1584))</x:f>
        <x:v>Edit itinerary</x:v>
      </x:c>
      <x:c r="L1584" s="74" t="str">
        <x:f>IF(J1584="","Keep current",IF(J1584=I1584,"Use suggestion","Custom"))</x:f>
        <x:v>Keep current</x:v>
      </x:c>
      <x:c r="M1584" s="71" t="str">
        <x:v>Pending review</x:v>
      </x:c>
      <x:c r="N1584" s="71" t="str">
        <x:v>Medium</x:v>
      </x:c>
      <x:c r="O1584" s="71" t="str">
        <x:v>components/journey-map-planner-workspace.tsx</x:v>
      </x:c>
      <x:c r="P1584" s="71" t="str">
        <x:v>JourneyMapPlannerWorkspace:1498</x:v>
      </x:c>
      <x:c r="Q1584" s="71" t="str">
        <x:v>EN (default / shared)</x:v>
      </x:c>
      <x:c r="R1584" s="71" t="str">
        <x:v>Already clear and direct; suggested wording intentionally keeps the current copy.</x:v>
      </x:c>
      <x:c r="S1584" s="75" t="str">
        <x:v>Not applied — review required</x:v>
      </x:c>
    </x:row>
    <x:row r="1585">
      <x:c r="A1585" s="71" t="str">
        <x:v>MRV-586042AA0A</x:v>
      </x:c>
      <x:c r="B1585" s="71" t="str">
        <x:v>Planning</x:v>
      </x:c>
      <x:c r="C1585" s="71" t="str">
        <x:v>Planner recommendations</x:v>
      </x:c>
      <x:c r="D1585" s="71" t="str">
        <x:v>Shared planner output</x:v>
      </x:c>
      <x:c r="E1585" s="71" t="str">
        <x:v>JourneyMapPlannerWorkspace</x:v>
      </x:c>
      <x:c r="F1585" s="71" t="str">
        <x:v>Default</x:v>
      </x:c>
      <x:c r="G1585" s="71" t="str">
        <x:v>CTA / button</x:v>
      </x:c>
      <x:c r="H1585" s="71" t="str">
        <x:v>Back to trips</x:v>
      </x:c>
      <x:c r="I1585" s="71" t="str">
        <x:v>Back to trips</x:v>
      </x:c>
      <x:c r="J1585" s="73"/>
      <x:c r="K1585" s="74" t="str">
        <x:f>IF(J1585="",H1585,IF(J1585=I1585,I1585,J1585))</x:f>
        <x:v>Back to trips</x:v>
      </x:c>
      <x:c r="L1585" s="74" t="str">
        <x:f>IF(J1585="","Keep current",IF(J1585=I1585,"Use suggestion","Custom"))</x:f>
        <x:v>Keep current</x:v>
      </x:c>
      <x:c r="M1585" s="71" t="str">
        <x:v>Pending review</x:v>
      </x:c>
      <x:c r="N1585" s="71" t="str">
        <x:v>Medium</x:v>
      </x:c>
      <x:c r="O1585" s="71" t="str">
        <x:v>components/journey-map-planner-workspace.tsx</x:v>
      </x:c>
      <x:c r="P1585" s="71" t="str">
        <x:v>JourneyMapPlannerWorkspace:1498</x:v>
      </x:c>
      <x:c r="Q1585" s="71" t="str">
        <x:v>EN (default / shared)</x:v>
      </x:c>
      <x:c r="R1585" s="71" t="str">
        <x:v>Already clear and direct; suggested wording intentionally keeps the current copy. Terminology watch: ‘trip’ and ‘journey’ both describe the same plan. Terminology watch: ‘stops’, ‘destinations’ and ‘places’ overlap.</x:v>
      </x:c>
      <x:c r="S1585" s="75" t="str">
        <x:v>Not applied — review required</x:v>
      </x:c>
    </x:row>
    <x:row r="1586">
      <x:c r="A1586" s="71" t="str">
        <x:v>MRV-843E42E7E1</x:v>
      </x:c>
      <x:c r="B1586" s="71" t="str">
        <x:v>Planning</x:v>
      </x:c>
      <x:c r="C1586" s="71" t="str">
        <x:v>Planner recommendations</x:v>
      </x:c>
      <x:c r="D1586" s="71" t="str">
        <x:v>Shared planner output</x:v>
      </x:c>
      <x:c r="E1586" s="71" t="str">
        <x:v>JourneyMapPlannerWorkspace</x:v>
      </x:c>
      <x:c r="F1586" s="71" t="str">
        <x:v>Default</x:v>
      </x:c>
      <x:c r="G1586" s="71" t="str">
        <x:v>Label</x:v>
      </x:c>
      <x:c r="H1586" s="71" t="str">
        <x:v>Fullscreen map</x:v>
      </x:c>
      <x:c r="I1586" s="71" t="str">
        <x:v>Fullscreen map</x:v>
      </x:c>
      <x:c r="J1586" s="73"/>
      <x:c r="K1586" s="74" t="str">
        <x:f>IF(J1586="",H1586,IF(J1586=I1586,I1586,J1586))</x:f>
        <x:v>Fullscreen map</x:v>
      </x:c>
      <x:c r="L1586" s="74" t="str">
        <x:f>IF(J1586="","Keep current",IF(J1586=I1586,"Use suggestion","Custom"))</x:f>
        <x:v>Keep current</x:v>
      </x:c>
      <x:c r="M1586" s="71" t="str">
        <x:v>Pending review</x:v>
      </x:c>
      <x:c r="N1586" s="71" t="str">
        <x:v>Normal</x:v>
      </x:c>
      <x:c r="O1586" s="71" t="str">
        <x:v>components/journey-map-planner-workspace.tsx</x:v>
      </x:c>
      <x:c r="P1586" s="71" t="str">
        <x:v>JourneyMapPlannerWorkspace:1607</x:v>
      </x:c>
      <x:c r="Q1586" s="71" t="str">
        <x:v>EN (default / shared)</x:v>
      </x:c>
      <x:c r="R1586" s="71" t="str">
        <x:v>Already clear and direct; suggested wording intentionally keeps the current copy.</x:v>
      </x:c>
      <x:c r="S1586" s="75" t="str">
        <x:v>Not applied — review required</x:v>
      </x:c>
    </x:row>
    <x:row r="1587">
      <x:c r="A1587" s="71" t="str">
        <x:v>MRV-9E17B78AE5</x:v>
      </x:c>
      <x:c r="B1587" s="71" t="str">
        <x:v>Planning</x:v>
      </x:c>
      <x:c r="C1587" s="71" t="str">
        <x:v>Planner recommendations</x:v>
      </x:c>
      <x:c r="D1587" s="71" t="str">
        <x:v>Shared planner output</x:v>
      </x:c>
      <x:c r="E1587" s="71" t="str">
        <x:v>JourneyMapPlannerWorkspace</x:v>
      </x:c>
      <x:c r="F1587" s="71" t="str">
        <x:v>Default</x:v>
      </x:c>
      <x:c r="G1587" s="71" t="str">
        <x:v>Label</x:v>
      </x:c>
      <x:c r="H1587" s="71" t="str">
        <x:v>New map view</x:v>
      </x:c>
      <x:c r="I1587" s="71" t="str">
        <x:v>New map view</x:v>
      </x:c>
      <x:c r="J1587" s="73"/>
      <x:c r="K1587" s="74" t="str">
        <x:f>IF(J1587="",H1587,IF(J1587=I1587,I1587,J1587))</x:f>
        <x:v>New map view</x:v>
      </x:c>
      <x:c r="L1587" s="74" t="str">
        <x:f>IF(J1587="","Keep current",IF(J1587=I1587,"Use suggestion","Custom"))</x:f>
        <x:v>Keep current</x:v>
      </x:c>
      <x:c r="M1587" s="71" t="str">
        <x:v>Pending review</x:v>
      </x:c>
      <x:c r="N1587" s="71" t="str">
        <x:v>Normal</x:v>
      </x:c>
      <x:c r="O1587" s="71" t="str">
        <x:v>components/journey-map-planner-workspace.tsx</x:v>
      </x:c>
      <x:c r="P1587" s="71" t="str">
        <x:v>JourneyMapPlannerWorkspace:1610</x:v>
      </x:c>
      <x:c r="Q1587" s="71" t="str">
        <x:v>EN (default / shared)</x:v>
      </x:c>
      <x:c r="R1587" s="71" t="str">
        <x:v>Already clear and direct; suggested wording intentionally keeps the current copy.</x:v>
      </x:c>
      <x:c r="S1587" s="75" t="str">
        <x:v>Not applied — review required</x:v>
      </x:c>
    </x:row>
    <x:row r="1588">
      <x:c r="A1588" s="71" t="str">
        <x:v>MRV-DFD2057311</x:v>
      </x:c>
      <x:c r="B1588" s="71" t="str">
        <x:v>Planning</x:v>
      </x:c>
      <x:c r="C1588" s="71" t="str">
        <x:v>Planner recommendations</x:v>
      </x:c>
      <x:c r="D1588" s="71" t="str">
        <x:v>Shared planner output</x:v>
      </x:c>
      <x:c r="E1588" s="71" t="str">
        <x:v>JourneyMapPlannerWorkspace</x:v>
      </x:c>
      <x:c r="F1588" s="71" t="str">
        <x:v>Default</x:v>
      </x:c>
      <x:c r="G1588" s="71" t="str">
        <x:v>Label</x:v>
      </x:c>
      <x:c r="H1588" s="71" t="str">
        <x:v>Trip prep</x:v>
      </x:c>
      <x:c r="I1588" s="71" t="str">
        <x:v>Trip prep</x:v>
      </x:c>
      <x:c r="J1588" s="73"/>
      <x:c r="K1588" s="74" t="str">
        <x:f>IF(J1588="",H1588,IF(J1588=I1588,I1588,J1588))</x:f>
        <x:v>Trip prep</x:v>
      </x:c>
      <x:c r="L1588" s="74" t="str">
        <x:f>IF(J1588="","Keep current",IF(J1588=I1588,"Use suggestion","Custom"))</x:f>
        <x:v>Keep current</x:v>
      </x:c>
      <x:c r="M1588" s="71" t="str">
        <x:v>Pending review</x:v>
      </x:c>
      <x:c r="N1588" s="71" t="str">
        <x:v>Normal</x:v>
      </x:c>
      <x:c r="O1588" s="71" t="str">
        <x:v>components/journey-map-planner-workspace.tsx</x:v>
      </x:c>
      <x:c r="P1588" s="71" t="str">
        <x:v>JourneyMapPlannerWorkspace:1611</x:v>
      </x:c>
      <x:c r="Q1588" s="71" t="str">
        <x:v>EN (default / shared)</x:v>
      </x:c>
      <x:c r="R1588" s="71" t="str">
        <x:v>Already clear and direct; suggested wording intentionally keeps the current copy. Duplicate wording: appears 5 times. Terminology watch: ‘trip’ and ‘journey’ both describe the same plan. Terminology watch: ‘stops’, ‘destinations’ and ‘places’ overlap.</x:v>
      </x:c>
      <x:c r="S1588" s="75" t="str">
        <x:v>Not applied — review required</x:v>
      </x:c>
    </x:row>
    <x:row r="1589">
      <x:c r="A1589" s="71" t="str">
        <x:v>MRV-00B6C3E82E</x:v>
      </x:c>
      <x:c r="B1589" s="71" t="str">
        <x:v>Planning</x:v>
      </x:c>
      <x:c r="C1589" s="71" t="str">
        <x:v>Planner recommendations</x:v>
      </x:c>
      <x:c r="D1589" s="71" t="str">
        <x:v>Shared planner output</x:v>
      </x:c>
      <x:c r="E1589" s="71" t="str">
        <x:v>JourneyMapPlannerWorkspace</x:v>
      </x:c>
      <x:c r="F1589" s="71" t="str">
        <x:v>Default</x:v>
      </x:c>
      <x:c r="G1589" s="71" t="str">
        <x:v>Label</x:v>
      </x:c>
      <x:c r="H1589" s="71" t="str">
        <x:v>Volver</x:v>
      </x:c>
      <x:c r="I1589" s="71" t="str">
        <x:v>Volver</x:v>
      </x:c>
      <x:c r="J1589" s="73"/>
      <x:c r="K1589" s="74" t="str">
        <x:f>IF(J1589="",H1589,IF(J1589=I1589,I1589,J1589))</x:f>
        <x:v>Volver</x:v>
      </x:c>
      <x:c r="L1589" s="74" t="str">
        <x:f>IF(J1589="","Keep current",IF(J1589=I1589,"Use suggestion","Custom"))</x:f>
        <x:v>Keep current</x:v>
      </x:c>
      <x:c r="M1589" s="71" t="str">
        <x:v>Pending review</x:v>
      </x:c>
      <x:c r="N1589" s="71" t="str">
        <x:v>Normal</x:v>
      </x:c>
      <x:c r="O1589" s="71" t="str">
        <x:v>components/journey-map-planner-workspace.tsx</x:v>
      </x:c>
      <x:c r="P1589" s="71" t="str">
        <x:v>JourneyMapPlannerWorkspace:1617</x:v>
      </x:c>
      <x:c r="Q1589" s="71" t="str">
        <x:v>ES</x:v>
      </x:c>
      <x:c r="R1589" s="71" t="str">
        <x:v>Already clear and direct; suggested wording intentionally keeps the current copy. Duplicate wording: appears 2 times.</x:v>
      </x:c>
      <x:c r="S1589" s="75" t="str">
        <x:v>Not applied — review required</x:v>
      </x:c>
    </x:row>
    <x:row r="1590">
      <x:c r="A1590" s="71" t="str">
        <x:v>MRV-6D61F4BF64</x:v>
      </x:c>
      <x:c r="B1590" s="71" t="str">
        <x:v>Planning</x:v>
      </x:c>
      <x:c r="C1590" s="71" t="str">
        <x:v>Planner recommendations</x:v>
      </x:c>
      <x:c r="D1590" s="71" t="str">
        <x:v>Shared planner output</x:v>
      </x:c>
      <x:c r="E1590" s="71" t="str">
        <x:v>JourneyMapPlannerWorkspace</x:v>
      </x:c>
      <x:c r="F1590" s="71" t="str">
        <x:v>Default</x:v>
      </x:c>
      <x:c r="G1590" s="71" t="str">
        <x:v>CTA / button</x:v>
      </x:c>
      <x:c r="H1590" s="71" t="str">
        <x:v>Back</x:v>
      </x:c>
      <x:c r="I1590" s="71" t="str">
        <x:v>Back</x:v>
      </x:c>
      <x:c r="J1590" s="73"/>
      <x:c r="K1590" s="74" t="str">
        <x:f>IF(J1590="",H1590,IF(J1590=I1590,I1590,J1590))</x:f>
        <x:v>Back</x:v>
      </x:c>
      <x:c r="L1590" s="74" t="str">
        <x:f>IF(J1590="","Keep current",IF(J1590=I1590,"Use suggestion","Custom"))</x:f>
        <x:v>Keep current</x:v>
      </x:c>
      <x:c r="M1590" s="71" t="str">
        <x:v>Pending review</x:v>
      </x:c>
      <x:c r="N1590" s="71" t="str">
        <x:v>Medium</x:v>
      </x:c>
      <x:c r="O1590" s="71" t="str">
        <x:v>components/journey-map-planner-workspace.tsx</x:v>
      </x:c>
      <x:c r="P1590" s="71" t="str">
        <x:v>JourneyMapPlannerWorkspace:1617</x:v>
      </x:c>
      <x:c r="Q1590" s="71" t="str">
        <x:v>EN</x:v>
      </x:c>
      <x:c r="R1590" s="71" t="str">
        <x:v>Already clear and direct; suggested wording intentionally keeps the current copy. Duplicate wording: appears 2 times.</x:v>
      </x:c>
      <x:c r="S1590" s="75" t="str">
        <x:v>Not applied — review required</x:v>
      </x:c>
    </x:row>
    <x:row r="1591">
      <x:c r="A1591" s="71" t="str">
        <x:v>MRV-A95F2FFE8E</x:v>
      </x:c>
      <x:c r="B1591" s="71" t="str">
        <x:v>Planning</x:v>
      </x:c>
      <x:c r="C1591" s="71" t="str">
        <x:v>Planner recommendations</x:v>
      </x:c>
      <x:c r="D1591" s="71" t="str">
        <x:v>Shared planner output</x:v>
      </x:c>
      <x:c r="E1591" s="71" t="str">
        <x:v>JourneyMapPlannerWorkspace</x:v>
      </x:c>
      <x:c r="F1591" s="71" t="str">
        <x:v>Default</x:v>
      </x:c>
      <x:c r="G1591" s="71" t="str">
        <x:v>Label</x:v>
      </x:c>
      <x:c r="H1591" s="71" t="str">
        <x:v>Volver</x:v>
      </x:c>
      <x:c r="I1591" s="71" t="str">
        <x:v>Volver</x:v>
      </x:c>
      <x:c r="J1591" s="73"/>
      <x:c r="K1591" s="74" t="str">
        <x:f>IF(J1591="",H1591,IF(J1591=I1591,I1591,J1591))</x:f>
        <x:v>Volver</x:v>
      </x:c>
      <x:c r="L1591" s="74" t="str">
        <x:f>IF(J1591="","Keep current",IF(J1591=I1591,"Use suggestion","Custom"))</x:f>
        <x:v>Keep current</x:v>
      </x:c>
      <x:c r="M1591" s="71" t="str">
        <x:v>Pending review</x:v>
      </x:c>
      <x:c r="N1591" s="71" t="str">
        <x:v>Normal</x:v>
      </x:c>
      <x:c r="O1591" s="71" t="str">
        <x:v>components/journey-map-planner-workspace.tsx</x:v>
      </x:c>
      <x:c r="P1591" s="71" t="str">
        <x:v>JourneyMapPlannerWorkspace:1622</x:v>
      </x:c>
      <x:c r="Q1591" s="71" t="str">
        <x:v>ES</x:v>
      </x:c>
      <x:c r="R1591" s="71" t="str">
        <x:v>Already clear and direct; suggested wording intentionally keeps the current copy. Duplicate wording: appears 2 times.</x:v>
      </x:c>
      <x:c r="S1591" s="75" t="str">
        <x:v>Not applied — review required</x:v>
      </x:c>
    </x:row>
    <x:row r="1592">
      <x:c r="A1592" s="71" t="str">
        <x:v>MRV-D98A3A6F0A</x:v>
      </x:c>
      <x:c r="B1592" s="71" t="str">
        <x:v>Planning</x:v>
      </x:c>
      <x:c r="C1592" s="71" t="str">
        <x:v>Planner recommendations</x:v>
      </x:c>
      <x:c r="D1592" s="71" t="str">
        <x:v>Shared planner output</x:v>
      </x:c>
      <x:c r="E1592" s="71" t="str">
        <x:v>JourneyMapPlannerWorkspace</x:v>
      </x:c>
      <x:c r="F1592" s="71" t="str">
        <x:v>Default</x:v>
      </x:c>
      <x:c r="G1592" s="71" t="str">
        <x:v>CTA / button</x:v>
      </x:c>
      <x:c r="H1592" s="71" t="str">
        <x:v>Back</x:v>
      </x:c>
      <x:c r="I1592" s="71" t="str">
        <x:v>Back</x:v>
      </x:c>
      <x:c r="J1592" s="73"/>
      <x:c r="K1592" s="74" t="str">
        <x:f>IF(J1592="",H1592,IF(J1592=I1592,I1592,J1592))</x:f>
        <x:v>Back</x:v>
      </x:c>
      <x:c r="L1592" s="74" t="str">
        <x:f>IF(J1592="","Keep current",IF(J1592=I1592,"Use suggestion","Custom"))</x:f>
        <x:v>Keep current</x:v>
      </x:c>
      <x:c r="M1592" s="71" t="str">
        <x:v>Pending review</x:v>
      </x:c>
      <x:c r="N1592" s="71" t="str">
        <x:v>Medium</x:v>
      </x:c>
      <x:c r="O1592" s="71" t="str">
        <x:v>components/journey-map-planner-workspace.tsx</x:v>
      </x:c>
      <x:c r="P1592" s="71" t="str">
        <x:v>JourneyMapPlannerWorkspace:1622</x:v>
      </x:c>
      <x:c r="Q1592" s="71" t="str">
        <x:v>EN</x:v>
      </x:c>
      <x:c r="R1592" s="71" t="str">
        <x:v>Already clear and direct; suggested wording intentionally keeps the current copy. Duplicate wording: appears 2 times.</x:v>
      </x:c>
      <x:c r="S1592" s="75" t="str">
        <x:v>Not applied — review required</x:v>
      </x:c>
    </x:row>
    <x:row r="1593">
      <x:c r="A1593" s="71" t="str">
        <x:v>MRV-2C44AEED62</x:v>
      </x:c>
      <x:c r="B1593" s="71" t="str">
        <x:v>Planning</x:v>
      </x:c>
      <x:c r="C1593" s="71" t="str">
        <x:v>Planner recommendations</x:v>
      </x:c>
      <x:c r="D1593" s="71" t="str">
        <x:v>Shared planner output</x:v>
      </x:c>
      <x:c r="E1593" s="71" t="str">
        <x:v>JourneyMapPlannerWorkspace</x:v>
      </x:c>
      <x:c r="F1593" s="71" t="str">
        <x:v>Default</x:v>
      </x:c>
      <x:c r="G1593" s="71" t="str">
        <x:v>Label</x:v>
      </x:c>
      <x:c r="H1593" s="71" t="str">
        <x:v>Try the new map view</x:v>
      </x:c>
      <x:c r="I1593" s="71" t="str">
        <x:v>Try the new map view</x:v>
      </x:c>
      <x:c r="J1593" s="73"/>
      <x:c r="K1593" s="74" t="str">
        <x:f>IF(J1593="",H1593,IF(J1593=I1593,I1593,J1593))</x:f>
        <x:v>Try the new map view</x:v>
      </x:c>
      <x:c r="L1593" s="74" t="str">
        <x:f>IF(J1593="","Keep current",IF(J1593=I1593,"Use suggestion","Custom"))</x:f>
        <x:v>Keep current</x:v>
      </x:c>
      <x:c r="M1593" s="71" t="str">
        <x:v>Pending review</x:v>
      </x:c>
      <x:c r="N1593" s="71" t="str">
        <x:v>Normal</x:v>
      </x:c>
      <x:c r="O1593" s="71" t="str">
        <x:v>components/journey-map-planner-workspace.tsx</x:v>
      </x:c>
      <x:c r="P1593" s="71" t="str">
        <x:v>JourneyMapPlannerWorkspace:1623</x:v>
      </x:c>
      <x:c r="Q1593" s="71" t="str">
        <x:v>EN (default / shared)</x:v>
      </x:c>
      <x:c r="R1593" s="71" t="str">
        <x:v>Already clear and direct; suggested wording intentionally keeps the current copy.</x:v>
      </x:c>
      <x:c r="S1593" s="75" t="str">
        <x:v>Not applied — review required</x:v>
      </x:c>
    </x:row>
    <x:row r="1594">
      <x:c r="A1594" s="71" t="str">
        <x:v>MRV-568EB702B7</x:v>
      </x:c>
      <x:c r="B1594" s="71" t="str">
        <x:v>Planning</x:v>
      </x:c>
      <x:c r="C1594" s="71" t="str">
        <x:v>Planner recommendations</x:v>
      </x:c>
      <x:c r="D1594" s="71" t="str">
        <x:v>Shared planner output</x:v>
      </x:c>
      <x:c r="E1594" s="71" t="str">
        <x:v>JourneyMapPlannerWorkspace</x:v>
      </x:c>
      <x:c r="F1594" s="71" t="str">
        <x:v>Default</x:v>
      </x:c>
      <x:c r="G1594" s="71" t="str">
        <x:v>Label</x:v>
      </x:c>
      <x:c r="H1594" s="71" t="str">
        <x:v>Trip prep</x:v>
      </x:c>
      <x:c r="I1594" s="71" t="str">
        <x:v>Trip prep</x:v>
      </x:c>
      <x:c r="J1594" s="73"/>
      <x:c r="K1594" s="74" t="str">
        <x:f>IF(J1594="",H1594,IF(J1594=I1594,I1594,J1594))</x:f>
        <x:v>Trip prep</x:v>
      </x:c>
      <x:c r="L1594" s="74" t="str">
        <x:f>IF(J1594="","Keep current",IF(J1594=I1594,"Use suggestion","Custom"))</x:f>
        <x:v>Keep current</x:v>
      </x:c>
      <x:c r="M1594" s="71" t="str">
        <x:v>Pending review</x:v>
      </x:c>
      <x:c r="N1594" s="71" t="str">
        <x:v>Normal</x:v>
      </x:c>
      <x:c r="O1594" s="71" t="str">
        <x:v>components/journey-map-planner-workspace.tsx</x:v>
      </x:c>
      <x:c r="P1594" s="71" t="str">
        <x:v>JourneyMapPlannerWorkspace:1624</x:v>
      </x:c>
      <x:c r="Q1594" s="71" t="str">
        <x:v>EN (default / shared)</x:v>
      </x:c>
      <x:c r="R1594" s="71" t="str">
        <x:v>Already clear and direct; suggested wording intentionally keeps the current copy. Duplicate wording: appears 5 times. Terminology watch: ‘trip’ and ‘journey’ both describe the same plan. Terminology watch: ‘stops’, ‘destinations’ and ‘places’ overlap.</x:v>
      </x:c>
      <x:c r="S1594" s="75" t="str">
        <x:v>Not applied — review required</x:v>
      </x:c>
    </x:row>
    <x:row r="1595">
      <x:c r="A1595" s="71" t="str">
        <x:v>MRV-3B2864DDB5</x:v>
      </x:c>
      <x:c r="B1595" s="71" t="str">
        <x:v>Planning</x:v>
      </x:c>
      <x:c r="C1595" s="71" t="str">
        <x:v>Planner recommendations</x:v>
      </x:c>
      <x:c r="D1595" s="71" t="str">
        <x:v>Shared planner output</x:v>
      </x:c>
      <x:c r="E1595" s="71" t="str">
        <x:v>JourneyMapPlannerWorkspace</x:v>
      </x:c>
      <x:c r="F1595" s="71" t="str">
        <x:v>Accessibility / input support</x:v>
      </x:c>
      <x:c r="G1595" s="71" t="str">
        <x:v>Accessibility label</x:v>
      </x:c>
      <x:c r="H1595" s="71" t="str">
        <x:v>Morrovia account navigation</x:v>
      </x:c>
      <x:c r="I1595" s="71" t="str">
        <x:v>Morrovia account navigation</x:v>
      </x:c>
      <x:c r="J1595" s="73"/>
      <x:c r="K1595" s="74" t="str">
        <x:f>IF(J1595="",H1595,IF(J1595=I1595,I1595,J1595))</x:f>
        <x:v>Morrovia account navigation</x:v>
      </x:c>
      <x:c r="L1595" s="74" t="str">
        <x:f>IF(J1595="","Keep current",IF(J1595=I1595,"Use suggestion","Custom"))</x:f>
        <x:v>Keep current</x:v>
      </x:c>
      <x:c r="M1595" s="71" t="str">
        <x:v>Pending review</x:v>
      </x:c>
      <x:c r="N1595" s="71" t="str">
        <x:v>Medium</x:v>
      </x:c>
      <x:c r="O1595" s="71" t="str">
        <x:v>components/journey-map-planner-workspace.tsx</x:v>
      </x:c>
      <x:c r="P1595" s="71" t="str">
        <x:v>JourneyMapPlannerWorkspace:1629</x:v>
      </x:c>
      <x:c r="Q1595" s="71" t="str">
        <x:v>EN (default / shared)</x:v>
      </x:c>
      <x:c r="R1595" s="71" t="str">
        <x:v>Already clear and direct; suggested wording intentionally keeps the current copy.</x:v>
      </x:c>
      <x:c r="S1595" s="75" t="str">
        <x:v>Not applied — review required</x:v>
      </x:c>
    </x:row>
    <x:row r="1596">
      <x:c r="A1596" s="71" t="str">
        <x:v>MRV-5E5431433E</x:v>
      </x:c>
      <x:c r="B1596" s="71" t="str">
        <x:v>Planning</x:v>
      </x:c>
      <x:c r="C1596" s="71" t="str">
        <x:v>Planner recommendations</x:v>
      </x:c>
      <x:c r="D1596" s="71" t="str">
        <x:v>Shared planner output</x:v>
      </x:c>
      <x:c r="E1596" s="71" t="str">
        <x:v>JourneyMapPlannerWorkspace</x:v>
      </x:c>
      <x:c r="F1596" s="71" t="str">
        <x:v>Default</x:v>
      </x:c>
      <x:c r="G1596" s="71" t="str">
        <x:v>Label</x:v>
      </x:c>
      <x:c r="H1596" s="71" t="str">
        <x:v>Viaje</x:v>
      </x:c>
      <x:c r="I1596" s="71" t="str">
        <x:v>Viaje</x:v>
      </x:c>
      <x:c r="J1596" s="73"/>
      <x:c r="K1596" s="74" t="str">
        <x:f>IF(J1596="",H1596,IF(J1596=I1596,I1596,J1596))</x:f>
        <x:v>Viaje</x:v>
      </x:c>
      <x:c r="L1596" s="74" t="str">
        <x:f>IF(J1596="","Keep current",IF(J1596=I1596,"Use suggestion","Custom"))</x:f>
        <x:v>Keep current</x:v>
      </x:c>
      <x:c r="M1596" s="71" t="str">
        <x:v>Pending review</x:v>
      </x:c>
      <x:c r="N1596" s="71" t="str">
        <x:v>Normal</x:v>
      </x:c>
      <x:c r="O1596" s="71" t="str">
        <x:v>components/journey-map-planner-workspace.tsx</x:v>
      </x:c>
      <x:c r="P1596" s="71" t="str">
        <x:v>JourneyMapPlannerWorkspace:1630</x:v>
      </x:c>
      <x:c r="Q1596" s="71" t="str">
        <x:v>ES</x:v>
      </x:c>
      <x:c r="R1596" s="71" t="str">
        <x:v>Already clear and direct; suggested wording intentionally keeps the current copy.</x:v>
      </x:c>
      <x:c r="S1596" s="75" t="str">
        <x:v>Not applied — review required</x:v>
      </x:c>
    </x:row>
    <x:row r="1597">
      <x:c r="A1597" s="71" t="str">
        <x:v>MRV-B393BA079D</x:v>
      </x:c>
      <x:c r="B1597" s="71" t="str">
        <x:v>Planning</x:v>
      </x:c>
      <x:c r="C1597" s="71" t="str">
        <x:v>Planner recommendations</x:v>
      </x:c>
      <x:c r="D1597" s="71" t="str">
        <x:v>Shared planner output</x:v>
      </x:c>
      <x:c r="E1597" s="71" t="str">
        <x:v>JourneyMapPlannerWorkspace</x:v>
      </x:c>
      <x:c r="F1597" s="71" t="str">
        <x:v>Default</x:v>
      </x:c>
      <x:c r="G1597" s="71" t="str">
        <x:v>Label</x:v>
      </x:c>
      <x:c r="H1597" s="71" t="str">
        <x:v>Journey</x:v>
      </x:c>
      <x:c r="I1597" s="71" t="str">
        <x:v>Journey</x:v>
      </x:c>
      <x:c r="J1597" s="73"/>
      <x:c r="K1597" s="74" t="str">
        <x:f>IF(J1597="",H1597,IF(J1597=I1597,I1597,J1597))</x:f>
        <x:v>Journey</x:v>
      </x:c>
      <x:c r="L1597" s="74" t="str">
        <x:f>IF(J1597="","Keep current",IF(J1597=I1597,"Use suggestion","Custom"))</x:f>
        <x:v>Keep current</x:v>
      </x:c>
      <x:c r="M1597" s="71" t="str">
        <x:v>Pending review</x:v>
      </x:c>
      <x:c r="N1597" s="71" t="str">
        <x:v>Normal</x:v>
      </x:c>
      <x:c r="O1597" s="71" t="str">
        <x:v>components/journey-map-planner-workspace.tsx</x:v>
      </x:c>
      <x:c r="P1597" s="71" t="str">
        <x:v>JourneyMapPlannerWorkspace:1630</x:v>
      </x:c>
      <x:c r="Q1597" s="71" t="str">
        <x:v>EN</x:v>
      </x:c>
      <x:c r="R1597" s="71" t="str">
        <x:v>Already clear and direct; suggested wording intentionally keeps the current copy. Terminology watch: ‘trip’ and ‘journey’ both describe the same plan. Terminology watch: ‘stops’, ‘destinations’ and ‘places’ overlap.</x:v>
      </x:c>
      <x:c r="S1597" s="75" t="str">
        <x:v>Not applied — review required</x:v>
      </x:c>
    </x:row>
    <x:row r="1598">
      <x:c r="A1598" s="71" t="str">
        <x:v>MRV-9A192CC04E</x:v>
      </x:c>
      <x:c r="B1598" s="71" t="str">
        <x:v>Planning</x:v>
      </x:c>
      <x:c r="C1598" s="71" t="str">
        <x:v>Planner recommendations</x:v>
      </x:c>
      <x:c r="D1598" s="71" t="str">
        <x:v>Shared planner output</x:v>
      </x:c>
      <x:c r="E1598" s="71" t="str">
        <x:v>JourneyMapPlannerWorkspace</x:v>
      </x:c>
      <x:c r="F1598" s="71" t="str">
        <x:v>Accessibility / input support</x:v>
      </x:c>
      <x:c r="G1598" s="71" t="str">
        <x:v>Accessibility label</x:v>
      </x:c>
      <x:c r="H1598" s="71" t="str">
        <x:v>Trip itinerary</x:v>
      </x:c>
      <x:c r="I1598" s="71" t="str">
        <x:v>Trip itinerary</x:v>
      </x:c>
      <x:c r="J1598" s="73"/>
      <x:c r="K1598" s="74" t="str">
        <x:f>IF(J1598="",H1598,IF(J1598=I1598,I1598,J1598))</x:f>
        <x:v>Trip itinerary</x:v>
      </x:c>
      <x:c r="L1598" s="74" t="str">
        <x:f>IF(J1598="","Keep current",IF(J1598=I1598,"Use suggestion","Custom"))</x:f>
        <x:v>Keep current</x:v>
      </x:c>
      <x:c r="M1598" s="71" t="str">
        <x:v>Pending review</x:v>
      </x:c>
      <x:c r="N1598" s="71" t="str">
        <x:v>Medium</x:v>
      </x:c>
      <x:c r="O1598" s="71" t="str">
        <x:v>components/journey-map-planner-workspace.tsx</x:v>
      </x:c>
      <x:c r="P1598" s="71" t="str">
        <x:v>JourneyMapPlannerWorkspace:1637</x:v>
      </x:c>
      <x:c r="Q1598" s="71" t="str">
        <x:v>EN (default / shared)</x:v>
      </x:c>
      <x:c r="R1598" s="71" t="str">
        <x:v>Already clear and direct; suggested wording intentionally keeps the current copy. Duplicate wording: appears 2 times. Terminology watch: ‘trip’ and ‘journey’ both describe the same plan. Terminology watch: ‘stops’, ‘destinations’ and ‘places’ overlap.</x:v>
      </x:c>
      <x:c r="S1598" s="75" t="str">
        <x:v>Not applied — review required</x:v>
      </x:c>
    </x:row>
    <x:row r="1599">
      <x:c r="A1599" s="71" t="str">
        <x:v>MRV-BEAAFC0684</x:v>
      </x:c>
      <x:c r="B1599" s="71" t="str">
        <x:v>Planning</x:v>
      </x:c>
      <x:c r="C1599" s="71" t="str">
        <x:v>Planner recommendations</x:v>
      </x:c>
      <x:c r="D1599" s="71" t="str">
        <x:v>Shared planner output</x:v>
      </x:c>
      <x:c r="E1599" s="71" t="str">
        <x:v>JourneyMapPlannerWorkspace</x:v>
      </x:c>
      <x:c r="F1599" s="71" t="str">
        <x:v>Default</x:v>
      </x:c>
      <x:c r="G1599" s="71" t="str">
        <x:v>Label</x:v>
      </x:c>
      <x:c r="H1599" s="71" t="str">
        <x:v>Cerrar</x:v>
      </x:c>
      <x:c r="I1599" s="71" t="str">
        <x:v>Cerrar</x:v>
      </x:c>
      <x:c r="J1599" s="73"/>
      <x:c r="K1599" s="74" t="str">
        <x:f>IF(J1599="",H1599,IF(J1599=I1599,I1599,J1599))</x:f>
        <x:v>Cerrar</x:v>
      </x:c>
      <x:c r="L1599" s="74" t="str">
        <x:f>IF(J1599="","Keep current",IF(J1599=I1599,"Use suggestion","Custom"))</x:f>
        <x:v>Keep current</x:v>
      </x:c>
      <x:c r="M1599" s="71" t="str">
        <x:v>Pending review</x:v>
      </x:c>
      <x:c r="N1599" s="71" t="str">
        <x:v>Normal</x:v>
      </x:c>
      <x:c r="O1599" s="71" t="str">
        <x:v>components/journey-map-planner-workspace.tsx</x:v>
      </x:c>
      <x:c r="P1599" s="71" t="str">
        <x:v>JourneyMapPlannerWorkspace:1684</x:v>
      </x:c>
      <x:c r="Q1599" s="71" t="str">
        <x:v>ES</x:v>
      </x:c>
      <x:c r="R1599" s="71" t="str">
        <x:v>Already clear and direct; suggested wording intentionally keeps the current copy. Duplicate wording: appears 3 times.</x:v>
      </x:c>
      <x:c r="S1599" s="75" t="str">
        <x:v>Not applied — review required</x:v>
      </x:c>
    </x:row>
    <x:row r="1600">
      <x:c r="A1600" s="71" t="str">
        <x:v>MRV-35BED11D0A</x:v>
      </x:c>
      <x:c r="B1600" s="71" t="str">
        <x:v>Planning</x:v>
      </x:c>
      <x:c r="C1600" s="71" t="str">
        <x:v>Planner recommendations</x:v>
      </x:c>
      <x:c r="D1600" s="71" t="str">
        <x:v>Shared planner output</x:v>
      </x:c>
      <x:c r="E1600" s="71" t="str">
        <x:v>JourneyMapPlannerWorkspace</x:v>
      </x:c>
      <x:c r="F1600" s="71" t="str">
        <x:v>Default</x:v>
      </x:c>
      <x:c r="G1600" s="71" t="str">
        <x:v>CTA / button</x:v>
      </x:c>
      <x:c r="H1600" s="71" t="str">
        <x:v>Close</x:v>
      </x:c>
      <x:c r="I1600" s="71" t="str">
        <x:v>Close</x:v>
      </x:c>
      <x:c r="J1600" s="73"/>
      <x:c r="K1600" s="74" t="str">
        <x:f>IF(J1600="",H1600,IF(J1600=I1600,I1600,J1600))</x:f>
        <x:v>Close</x:v>
      </x:c>
      <x:c r="L1600" s="74" t="str">
        <x:f>IF(J1600="","Keep current",IF(J1600=I1600,"Use suggestion","Custom"))</x:f>
        <x:v>Keep current</x:v>
      </x:c>
      <x:c r="M1600" s="71" t="str">
        <x:v>Pending review</x:v>
      </x:c>
      <x:c r="N1600" s="71" t="str">
        <x:v>Medium</x:v>
      </x:c>
      <x:c r="O1600" s="71" t="str">
        <x:v>components/journey-map-planner-workspace.tsx</x:v>
      </x:c>
      <x:c r="P1600" s="71" t="str">
        <x:v>JourneyMapPlannerWorkspace:1684</x:v>
      </x:c>
      <x:c r="Q1600" s="71" t="str">
        <x:v>EN</x:v>
      </x:c>
      <x:c r="R1600" s="71" t="str">
        <x:v>Already clear and direct; suggested wording intentionally keeps the current copy.</x:v>
      </x:c>
      <x:c r="S1600" s="75" t="str">
        <x:v>Not applied — review required</x:v>
      </x:c>
    </x:row>
    <x:row r="1601">
      <x:c r="A1601" s="71" t="str">
        <x:v>MRV-3594D840AC</x:v>
      </x:c>
      <x:c r="B1601" s="71" t="str">
        <x:v>Planning</x:v>
      </x:c>
      <x:c r="C1601" s="71" t="str">
        <x:v>Planner recommendations</x:v>
      </x:c>
      <x:c r="D1601" s="71" t="str">
        <x:v>Shared planner output</x:v>
      </x:c>
      <x:c r="E1601" s="71" t="str">
        <x:v>JourneyMapPlannerWorkspace</x:v>
      </x:c>
      <x:c r="F1601" s="71" t="str">
        <x:v>Default</x:v>
      </x:c>
      <x:c r="G1601" s="71" t="str">
        <x:v>Label</x:v>
      </x:c>
      <x:c r="H1601" s="71" t="str">
        <x:v>Detalles</x:v>
      </x:c>
      <x:c r="I1601" s="71" t="str">
        <x:v>Detalles</x:v>
      </x:c>
      <x:c r="J1601" s="73"/>
      <x:c r="K1601" s="74" t="str">
        <x:f>IF(J1601="",H1601,IF(J1601=I1601,I1601,J1601))</x:f>
        <x:v>Detalles</x:v>
      </x:c>
      <x:c r="L1601" s="74" t="str">
        <x:f>IF(J1601="","Keep current",IF(J1601=I1601,"Use suggestion","Custom"))</x:f>
        <x:v>Keep current</x:v>
      </x:c>
      <x:c r="M1601" s="71" t="str">
        <x:v>Pending review</x:v>
      </x:c>
      <x:c r="N1601" s="71" t="str">
        <x:v>Normal</x:v>
      </x:c>
      <x:c r="O1601" s="71" t="str">
        <x:v>components/journey-map-planner-workspace.tsx</x:v>
      </x:c>
      <x:c r="P1601" s="71" t="str">
        <x:v>JourneyMapPlannerWorkspace:1684</x:v>
      </x:c>
      <x:c r="Q1601" s="71" t="str">
        <x:v>ES</x:v>
      </x:c>
      <x:c r="R1601" s="71" t="str">
        <x:v>Already clear and direct; suggested wording intentionally keeps the current copy.</x:v>
      </x:c>
      <x:c r="S1601" s="75" t="str">
        <x:v>Not applied — review required</x:v>
      </x:c>
    </x:row>
    <x:row r="1602">
      <x:c r="A1602" s="71" t="str">
        <x:v>MRV-E2C82AC537</x:v>
      </x:c>
      <x:c r="B1602" s="71" t="str">
        <x:v>Planning</x:v>
      </x:c>
      <x:c r="C1602" s="71" t="str">
        <x:v>Planner recommendations</x:v>
      </x:c>
      <x:c r="D1602" s="71" t="str">
        <x:v>Shared planner output</x:v>
      </x:c>
      <x:c r="E1602" s="71" t="str">
        <x:v>JourneyMapPlannerWorkspace</x:v>
      </x:c>
      <x:c r="F1602" s="71" t="str">
        <x:v>Default</x:v>
      </x:c>
      <x:c r="G1602" s="71" t="str">
        <x:v>Label</x:v>
      </x:c>
      <x:c r="H1602" s="71" t="str">
        <x:v>Details</x:v>
      </x:c>
      <x:c r="I1602" s="71" t="str">
        <x:v>Details</x:v>
      </x:c>
      <x:c r="J1602" s="73"/>
      <x:c r="K1602" s="74" t="str">
        <x:f>IF(J1602="",H1602,IF(J1602=I1602,I1602,J1602))</x:f>
        <x:v>Details</x:v>
      </x:c>
      <x:c r="L1602" s="74" t="str">
        <x:f>IF(J1602="","Keep current",IF(J1602=I1602,"Use suggestion","Custom"))</x:f>
        <x:v>Keep current</x:v>
      </x:c>
      <x:c r="M1602" s="71" t="str">
        <x:v>Pending review</x:v>
      </x:c>
      <x:c r="N1602" s="71" t="str">
        <x:v>Normal</x:v>
      </x:c>
      <x:c r="O1602" s="71" t="str">
        <x:v>components/journey-map-planner-workspace.tsx</x:v>
      </x:c>
      <x:c r="P1602" s="71" t="str">
        <x:v>JourneyMapPlannerWorkspace:1684</x:v>
      </x:c>
      <x:c r="Q1602" s="71" t="str">
        <x:v>EN</x:v>
      </x:c>
      <x:c r="R1602" s="71" t="str">
        <x:v>Already clear and direct; suggested wording intentionally keeps the current copy.</x:v>
      </x:c>
      <x:c r="S1602" s="75" t="str">
        <x:v>Not applied — review required</x:v>
      </x:c>
    </x:row>
    <x:row r="1603">
      <x:c r="A1603" s="71" t="str">
        <x:v>MRV-709EFEBF44</x:v>
      </x:c>
      <x:c r="B1603" s="71" t="str">
        <x:v>Planning</x:v>
      </x:c>
      <x:c r="C1603" s="71" t="str">
        <x:v>Planner recommendations</x:v>
      </x:c>
      <x:c r="D1603" s="71" t="str">
        <x:v>Shared planner output</x:v>
      </x:c>
      <x:c r="E1603" s="71" t="str">
        <x:v>JourneyMapPlannerWorkspace</x:v>
      </x:c>
      <x:c r="F1603" s="71" t="str">
        <x:v>Accessibility / input support</x:v>
      </x:c>
      <x:c r="G1603" s="71" t="str">
        <x:v>Accessibility label</x:v>
      </x:c>
      <x:c r="H1603" s="71" t="str">
        <x:v>{selected.city} stay details</x:v>
      </x:c>
      <x:c r="I1603" s="71" t="str">
        <x:v>{selected.city} stay details</x:v>
      </x:c>
      <x:c r="J1603" s="73"/>
      <x:c r="K1603" s="74" t="str">
        <x:f>IF(J1603="",H1603,IF(J1603=I1603,I1603,J1603))</x:f>
        <x:v>{selected.city} stay details</x:v>
      </x:c>
      <x:c r="L1603" s="74" t="str">
        <x:f>IF(J1603="","Keep current",IF(J1603=I1603,"Use suggestion","Custom"))</x:f>
        <x:v>Keep current</x:v>
      </x:c>
      <x:c r="M1603" s="71" t="str">
        <x:v>Pending review</x:v>
      </x:c>
      <x:c r="N1603" s="71" t="str">
        <x:v>Medium</x:v>
      </x:c>
      <x:c r="O1603" s="71" t="str">
        <x:v>components/journey-map-planner-workspace.tsx</x:v>
      </x:c>
      <x:c r="P1603" s="71" t="str">
        <x:v>JourneyMapPlannerWorkspace:1686</x:v>
      </x:c>
      <x:c r="Q1603" s="71" t="str">
        <x:v>EN (default / shared)</x:v>
      </x:c>
      <x:c r="R1603" s="71" t="str">
        <x:v>Already clear and direct; suggested wording intentionally keeps the current copy. Dynamic traveller or trip value is represented as a token; user-generated values are excluded.</x:v>
      </x:c>
      <x:c r="S1603" s="75" t="str">
        <x:v>Not applied — review required</x:v>
      </x:c>
    </x:row>
    <x:row r="1604">
      <x:c r="A1604" s="71" t="str">
        <x:v>MRV-0A6976519A</x:v>
      </x:c>
      <x:c r="B1604" s="71" t="str">
        <x:v>Planning</x:v>
      </x:c>
      <x:c r="C1604" s="71" t="str">
        <x:v>Planner recommendations</x:v>
      </x:c>
      <x:c r="D1604" s="71" t="str">
        <x:v>Shared planner output</x:v>
      </x:c>
      <x:c r="E1604" s="71" t="str">
        <x:v>JourneyMapPlannerWorkspace</x:v>
      </x:c>
      <x:c r="F1604" s="71" t="str">
        <x:v>Default</x:v>
      </x:c>
      <x:c r="G1604" s="71" t="str">
        <x:v>Label</x:v>
      </x:c>
      <x:c r="H1604" s="71" t="str">
        <x:v>Arrival</x:v>
      </x:c>
      <x:c r="I1604" s="71" t="str">
        <x:v>Arrival</x:v>
      </x:c>
      <x:c r="J1604" s="73"/>
      <x:c r="K1604" s="74" t="str">
        <x:f>IF(J1604="",H1604,IF(J1604=I1604,I1604,J1604))</x:f>
        <x:v>Arrival</x:v>
      </x:c>
      <x:c r="L1604" s="74" t="str">
        <x:f>IF(J1604="","Keep current",IF(J1604=I1604,"Use suggestion","Custom"))</x:f>
        <x:v>Keep current</x:v>
      </x:c>
      <x:c r="M1604" s="71" t="str">
        <x:v>Pending review</x:v>
      </x:c>
      <x:c r="N1604" s="71" t="str">
        <x:v>Normal</x:v>
      </x:c>
      <x:c r="O1604" s="71" t="str">
        <x:v>components/journey-map-planner-workspace.tsx</x:v>
      </x:c>
      <x:c r="P1604" s="71" t="str">
        <x:v>JourneyMapPlannerWorkspace:1687</x:v>
      </x:c>
      <x:c r="Q1604" s="71" t="str">
        <x:v>EN (default / shared)</x:v>
      </x:c>
      <x:c r="R1604" s="71" t="str">
        <x:v>Already clear and direct; suggested wording intentionally keeps the current copy. Duplicate wording: appears 2 times.</x:v>
      </x:c>
      <x:c r="S1604" s="75" t="str">
        <x:v>Not applied — review required</x:v>
      </x:c>
    </x:row>
    <x:row r="1605">
      <x:c r="A1605" s="71" t="str">
        <x:v>MRV-91CFA8D32C</x:v>
      </x:c>
      <x:c r="B1605" s="71" t="str">
        <x:v>Planning</x:v>
      </x:c>
      <x:c r="C1605" s="71" t="str">
        <x:v>Planner recommendations</x:v>
      </x:c>
      <x:c r="D1605" s="71" t="str">
        <x:v>Shared planner output</x:v>
      </x:c>
      <x:c r="E1605" s="71" t="str">
        <x:v>JourneyMapPlannerWorkspace</x:v>
      </x:c>
      <x:c r="F1605" s="71" t="str">
        <x:v>Default</x:v>
      </x:c>
      <x:c r="G1605" s="71" t="str">
        <x:v>Label</x:v>
      </x:c>
      <x:c r="H1605" s="71" t="str">
        <x:v>To confirm</x:v>
      </x:c>
      <x:c r="I1605" s="71" t="str">
        <x:v>To confirm</x:v>
      </x:c>
      <x:c r="J1605" s="73"/>
      <x:c r="K1605" s="74" t="str">
        <x:f>IF(J1605="",H1605,IF(J1605=I1605,I1605,J1605))</x:f>
        <x:v>To confirm</x:v>
      </x:c>
      <x:c r="L1605" s="74" t="str">
        <x:f>IF(J1605="","Keep current",IF(J1605=I1605,"Use suggestion","Custom"))</x:f>
        <x:v>Keep current</x:v>
      </x:c>
      <x:c r="M1605" s="71" t="str">
        <x:v>Pending review</x:v>
      </x:c>
      <x:c r="N1605" s="71" t="str">
        <x:v>Normal</x:v>
      </x:c>
      <x:c r="O1605" s="71" t="str">
        <x:v>components/journey-map-planner-workspace.tsx</x:v>
      </x:c>
      <x:c r="P1605" s="71" t="str">
        <x:v>JourneyMapPlannerWorkspace:1687</x:v>
      </x:c>
      <x:c r="Q1605" s="71" t="str">
        <x:v>EN (default / shared)</x:v>
      </x:c>
      <x:c r="R1605" s="71" t="str">
        <x:v>Already clear and direct; suggested wording intentionally keeps the current copy. Duplicate wording: appears 4 times.</x:v>
      </x:c>
      <x:c r="S1605" s="75" t="str">
        <x:v>Not applied — review required</x:v>
      </x:c>
    </x:row>
    <x:row r="1606">
      <x:c r="A1606" s="71" t="str">
        <x:v>MRV-0DD0FB6908</x:v>
      </x:c>
      <x:c r="B1606" s="71" t="str">
        <x:v>Planning</x:v>
      </x:c>
      <x:c r="C1606" s="71" t="str">
        <x:v>Planner recommendations</x:v>
      </x:c>
      <x:c r="D1606" s="71" t="str">
        <x:v>Shared planner output</x:v>
      </x:c>
      <x:c r="E1606" s="71" t="str">
        <x:v>JourneyMapPlannerWorkspace</x:v>
      </x:c>
      <x:c r="F1606" s="71" t="str">
        <x:v>Default</x:v>
      </x:c>
      <x:c r="G1606" s="71" t="str">
        <x:v>Label</x:v>
      </x:c>
      <x:c r="H1606" s="71" t="str">
        <x:v>Nights</x:v>
      </x:c>
      <x:c r="I1606" s="71" t="str">
        <x:v>Nights</x:v>
      </x:c>
      <x:c r="J1606" s="73"/>
      <x:c r="K1606" s="74" t="str">
        <x:f>IF(J1606="",H1606,IF(J1606=I1606,I1606,J1606))</x:f>
        <x:v>Nights</x:v>
      </x:c>
      <x:c r="L1606" s="74" t="str">
        <x:f>IF(J1606="","Keep current",IF(J1606=I1606,"Use suggestion","Custom"))</x:f>
        <x:v>Keep current</x:v>
      </x:c>
      <x:c r="M1606" s="71" t="str">
        <x:v>Pending review</x:v>
      </x:c>
      <x:c r="N1606" s="71" t="str">
        <x:v>Normal</x:v>
      </x:c>
      <x:c r="O1606" s="71" t="str">
        <x:v>components/journey-map-planner-workspace.tsx</x:v>
      </x:c>
      <x:c r="P1606" s="71" t="str">
        <x:v>JourneyMapPlannerWorkspace:1688</x:v>
      </x:c>
      <x:c r="Q1606" s="71" t="str">
        <x:v>EN (default / shared)</x:v>
      </x:c>
      <x:c r="R1606" s="71" t="str">
        <x:v>Already clear and direct; suggested wording intentionally keeps the current copy.</x:v>
      </x:c>
      <x:c r="S1606" s="75" t="str">
        <x:v>Not applied — review required</x:v>
      </x:c>
    </x:row>
    <x:row r="1607">
      <x:c r="A1607" s="71" t="str">
        <x:v>MRV-62E6F0A8E4</x:v>
      </x:c>
      <x:c r="B1607" s="71" t="str">
        <x:v>Planning</x:v>
      </x:c>
      <x:c r="C1607" s="71" t="str">
        <x:v>Planner recommendations</x:v>
      </x:c>
      <x:c r="D1607" s="71" t="str">
        <x:v>Shared planner output</x:v>
      </x:c>
      <x:c r="E1607" s="71" t="str">
        <x:v>JourneyMapPlannerWorkspace</x:v>
      </x:c>
      <x:c r="F1607" s="71" t="str">
        <x:v>Default</x:v>
      </x:c>
      <x:c r="G1607" s="71" t="str">
        <x:v>Label</x:v>
      </x:c>
      <x:c r="H1607" s="71" t="str">
        <x:v>To confirm</x:v>
      </x:c>
      <x:c r="I1607" s="71" t="str">
        <x:v>To confirm</x:v>
      </x:c>
      <x:c r="J1607" s="73"/>
      <x:c r="K1607" s="74" t="str">
        <x:f>IF(J1607="",H1607,IF(J1607=I1607,I1607,J1607))</x:f>
        <x:v>To confirm</x:v>
      </x:c>
      <x:c r="L1607" s="74" t="str">
        <x:f>IF(J1607="","Keep current",IF(J1607=I1607,"Use suggestion","Custom"))</x:f>
        <x:v>Keep current</x:v>
      </x:c>
      <x:c r="M1607" s="71" t="str">
        <x:v>Pending review</x:v>
      </x:c>
      <x:c r="N1607" s="71" t="str">
        <x:v>Normal</x:v>
      </x:c>
      <x:c r="O1607" s="71" t="str">
        <x:v>components/journey-map-planner-workspace.tsx</x:v>
      </x:c>
      <x:c r="P1607" s="71" t="str">
        <x:v>JourneyMapPlannerWorkspace:1688</x:v>
      </x:c>
      <x:c r="Q1607" s="71" t="str">
        <x:v>EN (default / shared)</x:v>
      </x:c>
      <x:c r="R1607" s="71" t="str">
        <x:v>Already clear and direct; suggested wording intentionally keeps the current copy. Duplicate wording: appears 4 times.</x:v>
      </x:c>
      <x:c r="S1607" s="75" t="str">
        <x:v>Not applied — review required</x:v>
      </x:c>
    </x:row>
    <x:row r="1608">
      <x:c r="A1608" s="71" t="str">
        <x:v>MRV-2F6F13AD86</x:v>
      </x:c>
      <x:c r="B1608" s="71" t="str">
        <x:v>Planning</x:v>
      </x:c>
      <x:c r="C1608" s="71" t="str">
        <x:v>Planner recommendations</x:v>
      </x:c>
      <x:c r="D1608" s="71" t="str">
        <x:v>Shared planner output</x:v>
      </x:c>
      <x:c r="E1608" s="71" t="str">
        <x:v>JourneyMapPlannerWorkspace</x:v>
      </x:c>
      <x:c r="F1608" s="71" t="str">
        <x:v>Default</x:v>
      </x:c>
      <x:c r="G1608" s="71" t="str">
        <x:v>CTA / button</x:v>
      </x:c>
      <x:c r="H1608" s="71" t="str">
        <x:v>Check out</x:v>
      </x:c>
      <x:c r="I1608" s="71" t="str">
        <x:v>Check out</x:v>
      </x:c>
      <x:c r="J1608" s="73"/>
      <x:c r="K1608" s="74" t="str">
        <x:f>IF(J1608="",H1608,IF(J1608=I1608,I1608,J1608))</x:f>
        <x:v>Check out</x:v>
      </x:c>
      <x:c r="L1608" s="74" t="str">
        <x:f>IF(J1608="","Keep current",IF(J1608=I1608,"Use suggestion","Custom"))</x:f>
        <x:v>Keep current</x:v>
      </x:c>
      <x:c r="M1608" s="71" t="str">
        <x:v>Pending review</x:v>
      </x:c>
      <x:c r="N1608" s="71" t="str">
        <x:v>Medium</x:v>
      </x:c>
      <x:c r="O1608" s="71" t="str">
        <x:v>components/journey-map-planner-workspace.tsx</x:v>
      </x:c>
      <x:c r="P1608" s="71" t="str">
        <x:v>JourneyMapPlannerWorkspace:1689</x:v>
      </x:c>
      <x:c r="Q1608" s="71" t="str">
        <x:v>EN (default / shared)</x:v>
      </x:c>
      <x:c r="R1608" s="71" t="str">
        <x:v>Already clear and direct; suggested wording intentionally keeps the current copy.</x:v>
      </x:c>
      <x:c r="S1608" s="75" t="str">
        <x:v>Not applied — review required</x:v>
      </x:c>
    </x:row>
    <x:row r="1609">
      <x:c r="A1609" s="71" t="str">
        <x:v>MRV-46DE36D86C</x:v>
      </x:c>
      <x:c r="B1609" s="71" t="str">
        <x:v>Planning</x:v>
      </x:c>
      <x:c r="C1609" s="71" t="str">
        <x:v>Planner recommendations</x:v>
      </x:c>
      <x:c r="D1609" s="71" t="str">
        <x:v>Shared planner output</x:v>
      </x:c>
      <x:c r="E1609" s="71" t="str">
        <x:v>JourneyMapPlannerWorkspace</x:v>
      </x:c>
      <x:c r="F1609" s="71" t="str">
        <x:v>Default</x:v>
      </x:c>
      <x:c r="G1609" s="71" t="str">
        <x:v>Label</x:v>
      </x:c>
      <x:c r="H1609" s="71" t="str">
        <x:v>To confirm</x:v>
      </x:c>
      <x:c r="I1609" s="71" t="str">
        <x:v>To confirm</x:v>
      </x:c>
      <x:c r="J1609" s="73"/>
      <x:c r="K1609" s="74" t="str">
        <x:f>IF(J1609="",H1609,IF(J1609=I1609,I1609,J1609))</x:f>
        <x:v>To confirm</x:v>
      </x:c>
      <x:c r="L1609" s="74" t="str">
        <x:f>IF(J1609="","Keep current",IF(J1609=I1609,"Use suggestion","Custom"))</x:f>
        <x:v>Keep current</x:v>
      </x:c>
      <x:c r="M1609" s="71" t="str">
        <x:v>Pending review</x:v>
      </x:c>
      <x:c r="N1609" s="71" t="str">
        <x:v>Normal</x:v>
      </x:c>
      <x:c r="O1609" s="71" t="str">
        <x:v>components/journey-map-planner-workspace.tsx</x:v>
      </x:c>
      <x:c r="P1609" s="71" t="str">
        <x:v>JourneyMapPlannerWorkspace:1689</x:v>
      </x:c>
      <x:c r="Q1609" s="71" t="str">
        <x:v>EN (default / shared)</x:v>
      </x:c>
      <x:c r="R1609" s="71" t="str">
        <x:v>Already clear and direct; suggested wording intentionally keeps the current copy. Duplicate wording: appears 4 times.</x:v>
      </x:c>
      <x:c r="S1609" s="75" t="str">
        <x:v>Not applied — review required</x:v>
      </x:c>
    </x:row>
    <x:row r="1610">
      <x:c r="A1610" s="71" t="str">
        <x:v>MRV-5EB5E2377B</x:v>
      </x:c>
      <x:c r="B1610" s="71" t="str">
        <x:v>Planning</x:v>
      </x:c>
      <x:c r="C1610" s="71" t="str">
        <x:v>Planner recommendations</x:v>
      </x:c>
      <x:c r="D1610" s="71" t="str">
        <x:v>Shared planner output</x:v>
      </x:c>
      <x:c r="E1610" s="71" t="str">
        <x:v>JourneyMapPlannerWorkspace</x:v>
      </x:c>
      <x:c r="F1610" s="71" t="str">
        <x:v>Default</x:v>
      </x:c>
      <x:c r="G1610" s="71" t="str">
        <x:v>Body copy</x:v>
      </x:c>
      <x:c r="H1610" s="71" t="str">
        <x:v>{selectedDay.travel.from} → {selectedDay.city}</x:v>
      </x:c>
      <x:c r="I1610" s="71" t="str">
        <x:v>{selectedDay.travel.from} → {selectedDay.city}</x:v>
      </x:c>
      <x:c r="J1610" s="73"/>
      <x:c r="K1610" s="74" t="str">
        <x:f>IF(J1610="",H1610,IF(J1610=I1610,I1610,J1610))</x:f>
        <x:v>{selectedDay.travel.from} → {selectedDay.city}</x:v>
      </x:c>
      <x:c r="L1610" s="74" t="str">
        <x:f>IF(J1610="","Keep current",IF(J1610=I1610,"Use suggestion","Custom"))</x:f>
        <x:v>Keep current</x:v>
      </x:c>
      <x:c r="M1610" s="71" t="str">
        <x:v>Pending review</x:v>
      </x:c>
      <x:c r="N1610" s="71" t="str">
        <x:v>Normal</x:v>
      </x:c>
      <x:c r="O1610" s="71" t="str">
        <x:v>components/journey-map-planner-workspace.tsx</x:v>
      </x:c>
      <x:c r="P1610" s="71" t="str">
        <x:v>JourneyMapPlannerWorkspace:1691</x:v>
      </x:c>
      <x:c r="Q1610" s="71" t="str">
        <x:v>EN (default / shared)</x:v>
      </x:c>
      <x:c r="R1610" s="71" t="str">
        <x:v>Already clear and direct; suggested wording intentionally keeps the current copy. Dynamic traveller or trip value is represented as a token; user-generated values are excluded.</x:v>
      </x:c>
      <x:c r="S1610" s="75" t="str">
        <x:v>Not applied — review required</x:v>
      </x:c>
    </x:row>
    <x:row r="1611">
      <x:c r="A1611" s="71" t="str">
        <x:v>MRV-9799BBE2C9</x:v>
      </x:c>
      <x:c r="B1611" s="71" t="str">
        <x:v>Planning</x:v>
      </x:c>
      <x:c r="C1611" s="71" t="str">
        <x:v>Planner recommendations</x:v>
      </x:c>
      <x:c r="D1611" s="71" t="str">
        <x:v>Shared planner output</x:v>
      </x:c>
      <x:c r="E1611" s="71" t="str">
        <x:v>JourneyMapPlannerWorkspace</x:v>
      </x:c>
      <x:c r="F1611" s="71" t="str">
        <x:v>Default</x:v>
      </x:c>
      <x:c r="G1611" s="71" t="str">
        <x:v>CTA / button</x:v>
      </x:c>
      <x:c r="H1611" s="71" t="str">
        <x:v>Plan around {customPlace.title}</x:v>
      </x:c>
      <x:c r="I1611" s="71" t="str">
        <x:v>Plan around {customPlace.title}</x:v>
      </x:c>
      <x:c r="J1611" s="73"/>
      <x:c r="K1611" s="74" t="str">
        <x:f>IF(J1611="",H1611,IF(J1611=I1611,I1611,J1611))</x:f>
        <x:v>Plan around {customPlace.title}</x:v>
      </x:c>
      <x:c r="L1611" s="74" t="str">
        <x:f>IF(J1611="","Keep current",IF(J1611=I1611,"Use suggestion","Custom"))</x:f>
        <x:v>Keep current</x:v>
      </x:c>
      <x:c r="M1611" s="71" t="str">
        <x:v>Pending review</x:v>
      </x:c>
      <x:c r="N1611" s="71" t="str">
        <x:v>Medium</x:v>
      </x:c>
      <x:c r="O1611" s="71" t="str">
        <x:v>components/journey-map-planner-workspace.tsx</x:v>
      </x:c>
      <x:c r="P1611" s="71" t="str">
        <x:v>JourneyMapPlannerWorkspace:1699</x:v>
      </x:c>
      <x:c r="Q1611" s="71" t="str">
        <x:v>EN (default / shared)</x:v>
      </x:c>
      <x:c r="R1611" s="71" t="str">
        <x:v>Already clear and direct; suggested wording intentionally keeps the current copy. Dynamic traveller or trip value is represented as a token; user-generated values are excluded.</x:v>
      </x:c>
      <x:c r="S1611" s="75" t="str">
        <x:v>Not applied — review required</x:v>
      </x:c>
    </x:row>
    <x:row r="1612">
      <x:c r="A1612" s="71" t="str">
        <x:v>MRV-92ACAF5333</x:v>
      </x:c>
      <x:c r="B1612" s="71" t="str">
        <x:v>Planning</x:v>
      </x:c>
      <x:c r="C1612" s="71" t="str">
        <x:v>Planner recommendations</x:v>
      </x:c>
      <x:c r="D1612" s="71" t="str">
        <x:v>Shared planner output</x:v>
      </x:c>
      <x:c r="E1612" s="71" t="str">
        <x:v>JourneyMapPlannerWorkspace</x:v>
      </x:c>
      <x:c r="F1612" s="71" t="str">
        <x:v>Default</x:v>
      </x:c>
      <x:c r="G1612" s="71" t="str">
        <x:v>Body copy</x:v>
      </x:c>
      <x:c r="H1612" s="71" t="str">
        <x:v>Know {selected.city}</x:v>
      </x:c>
      <x:c r="I1612" s="71" t="str">
        <x:v>Know {selected.city}</x:v>
      </x:c>
      <x:c r="J1612" s="73"/>
      <x:c r="K1612" s="74" t="str">
        <x:f>IF(J1612="",H1612,IF(J1612=I1612,I1612,J1612))</x:f>
        <x:v>Know {selected.city}</x:v>
      </x:c>
      <x:c r="L1612" s="74" t="str">
        <x:f>IF(J1612="","Keep current",IF(J1612=I1612,"Use suggestion","Custom"))</x:f>
        <x:v>Keep current</x:v>
      </x:c>
      <x:c r="M1612" s="71" t="str">
        <x:v>Pending review</x:v>
      </x:c>
      <x:c r="N1612" s="71" t="str">
        <x:v>Normal</x:v>
      </x:c>
      <x:c r="O1612" s="71" t="str">
        <x:v>components/journey-map-planner-workspace.tsx</x:v>
      </x:c>
      <x:c r="P1612" s="71" t="str">
        <x:v>JourneyMapPlannerWorkspace:1699</x:v>
      </x:c>
      <x:c r="Q1612" s="71" t="str">
        <x:v>EN (default / shared)</x:v>
      </x:c>
      <x:c r="R1612" s="71" t="str">
        <x:v>Already clear and direct; suggested wording intentionally keeps the current copy. Dynamic traveller or trip value is represented as a token; user-generated values are excluded.</x:v>
      </x:c>
      <x:c r="S1612" s="75" t="str">
        <x:v>Not applied — review required</x:v>
      </x:c>
    </x:row>
    <x:row r="1613">
      <x:c r="A1613" s="71" t="str">
        <x:v>MRV-607162EA15</x:v>
      </x:c>
      <x:c r="B1613" s="71" t="str">
        <x:v>Planning</x:v>
      </x:c>
      <x:c r="C1613" s="71" t="str">
        <x:v>Planner recommendations</x:v>
      </x:c>
      <x:c r="D1613" s="71" t="str">
        <x:v>Shared planner output</x:v>
      </x:c>
      <x:c r="E1613" s="71" t="str">
        <x:v>JourneyMapPlannerWorkspace</x:v>
      </x:c>
      <x:c r="F1613" s="71" t="str">
        <x:v>Default</x:v>
      </x:c>
      <x:c r="G1613" s="71" t="str">
        <x:v>Label</x:v>
      </x:c>
      <x:c r="H1613" s="71" t="str">
        <x:v>Quick guide</x:v>
      </x:c>
      <x:c r="I1613" s="71" t="str">
        <x:v>Quick guide</x:v>
      </x:c>
      <x:c r="J1613" s="73"/>
      <x:c r="K1613" s="74" t="str">
        <x:f>IF(J1613="",H1613,IF(J1613=I1613,I1613,J1613))</x:f>
        <x:v>Quick guide</x:v>
      </x:c>
      <x:c r="L1613" s="74" t="str">
        <x:f>IF(J1613="","Keep current",IF(J1613=I1613,"Use suggestion","Custom"))</x:f>
        <x:v>Keep current</x:v>
      </x:c>
      <x:c r="M1613" s="71" t="str">
        <x:v>Pending review</x:v>
      </x:c>
      <x:c r="N1613" s="71" t="str">
        <x:v>Normal</x:v>
      </x:c>
      <x:c r="O1613" s="71" t="str">
        <x:v>components/journey-map-planner-workspace.tsx</x:v>
      </x:c>
      <x:c r="P1613" s="71" t="str">
        <x:v>JourneyMapPlannerWorkspace:1699</x:v>
      </x:c>
      <x:c r="Q1613" s="71" t="str">
        <x:v>EN (default / shared)</x:v>
      </x:c>
      <x:c r="R1613" s="71" t="str">
        <x:v>Already clear and direct; suggested wording intentionally keeps the current copy.</x:v>
      </x:c>
      <x:c r="S1613" s="75" t="str">
        <x:v>Not applied — review required</x:v>
      </x:c>
    </x:row>
    <x:row r="1614">
      <x:c r="A1614" s="71" t="str">
        <x:v>MRV-26A6FF1797</x:v>
      </x:c>
      <x:c r="B1614" s="71" t="str">
        <x:v>Planning</x:v>
      </x:c>
      <x:c r="C1614" s="71" t="str">
        <x:v>Planner recommendations</x:v>
      </x:c>
      <x:c r="D1614" s="71" t="str">
        <x:v>Shared planner output</x:v>
      </x:c>
      <x:c r="E1614" s="71" t="str">
        <x:v>JourneyMapPlannerWorkspace</x:v>
      </x:c>
      <x:c r="F1614" s="71" t="str">
        <x:v>Default</x:v>
      </x:c>
      <x:c r="G1614" s="71" t="str">
        <x:v>Label</x:v>
      </x:c>
      <x:c r="H1614" s="71" t="str">
        <x:v>Estado del viaje</x:v>
      </x:c>
      <x:c r="I1614" s="71" t="str">
        <x:v>Estado del viaje</x:v>
      </x:c>
      <x:c r="J1614" s="73"/>
      <x:c r="K1614" s="74" t="str">
        <x:f>IF(J1614="",H1614,IF(J1614=I1614,I1614,J1614))</x:f>
        <x:v>Estado del viaje</x:v>
      </x:c>
      <x:c r="L1614" s="74" t="str">
        <x:f>IF(J1614="","Keep current",IF(J1614=I1614,"Use suggestion","Custom"))</x:f>
        <x:v>Keep current</x:v>
      </x:c>
      <x:c r="M1614" s="71" t="str">
        <x:v>Pending review</x:v>
      </x:c>
      <x:c r="N1614" s="71" t="str">
        <x:v>Normal</x:v>
      </x:c>
      <x:c r="O1614" s="71" t="str">
        <x:v>components/journey-map-planner-workspace.tsx</x:v>
      </x:c>
      <x:c r="P1614" s="71" t="str">
        <x:v>JourneyMapPlannerWorkspace:1712</x:v>
      </x:c>
      <x:c r="Q1614" s="71" t="str">
        <x:v>ES</x:v>
      </x:c>
      <x:c r="R1614" s="71" t="str">
        <x:v>Already clear and direct; suggested wording intentionally keeps the current copy. Duplicate wording: appears 2 times.</x:v>
      </x:c>
      <x:c r="S1614" s="75" t="str">
        <x:v>Not applied — review required</x:v>
      </x:c>
    </x:row>
    <x:row r="1615">
      <x:c r="A1615" s="71" t="str">
        <x:v>MRV-BA3ED1E285</x:v>
      </x:c>
      <x:c r="B1615" s="71" t="str">
        <x:v>Planning</x:v>
      </x:c>
      <x:c r="C1615" s="71" t="str">
        <x:v>Planner recommendations</x:v>
      </x:c>
      <x:c r="D1615" s="71" t="str">
        <x:v>Shared planner output</x:v>
      </x:c>
      <x:c r="E1615" s="71" t="str">
        <x:v>JourneyMapPlannerWorkspace</x:v>
      </x:c>
      <x:c r="F1615" s="71" t="str">
        <x:v>Default</x:v>
      </x:c>
      <x:c r="G1615" s="71" t="str">
        <x:v>Label</x:v>
      </x:c>
      <x:c r="H1615" s="71" t="str">
        <x:v>Trip status</x:v>
      </x:c>
      <x:c r="I1615" s="71" t="str">
        <x:v>Trip status</x:v>
      </x:c>
      <x:c r="J1615" s="73"/>
      <x:c r="K1615" s="74" t="str">
        <x:f>IF(J1615="",H1615,IF(J1615=I1615,I1615,J1615))</x:f>
        <x:v>Trip status</x:v>
      </x:c>
      <x:c r="L1615" s="74" t="str">
        <x:f>IF(J1615="","Keep current",IF(J1615=I1615,"Use suggestion","Custom"))</x:f>
        <x:v>Keep current</x:v>
      </x:c>
      <x:c r="M1615" s="71" t="str">
        <x:v>Pending review</x:v>
      </x:c>
      <x:c r="N1615" s="71" t="str">
        <x:v>Normal</x:v>
      </x:c>
      <x:c r="O1615" s="71" t="str">
        <x:v>components/journey-map-planner-workspace.tsx</x:v>
      </x:c>
      <x:c r="P1615" s="71" t="str">
        <x:v>JourneyMapPlannerWorkspace:1712</x:v>
      </x:c>
      <x:c r="Q1615" s="71" t="str">
        <x:v>EN</x:v>
      </x:c>
      <x:c r="R1615" s="71" t="str">
        <x:v>Already clear and direct; suggested wording intentionally keeps the current copy. Duplicate wording: appears 2 times. Terminology watch: ‘trip’ and ‘journey’ both describe the same plan. Terminology watch: ‘stops’, ‘destinations’ and ‘places’ overlap.</x:v>
      </x:c>
      <x:c r="S1615" s="75" t="str">
        <x:v>Not applied — review required</x:v>
      </x:c>
    </x:row>
    <x:row r="1616">
      <x:c r="A1616" s="71" t="str">
        <x:v>MRV-79F9494D4F</x:v>
      </x:c>
      <x:c r="B1616" s="71" t="str">
        <x:v>Planning</x:v>
      </x:c>
      <x:c r="C1616" s="71" t="str">
        <x:v>Planner recommendations</x:v>
      </x:c>
      <x:c r="D1616" s="71" t="str">
        <x:v>Shared planner output</x:v>
      </x:c>
      <x:c r="E1616" s="71" t="str">
        <x:v>JourneyMapPlannerWorkspace</x:v>
      </x:c>
      <x:c r="F1616" s="71" t="str">
        <x:v>Accessibility / input support</x:v>
      </x:c>
      <x:c r="G1616" s="71" t="str">
        <x:v>Accessibility label</x:v>
      </x:c>
      <x:c r="H1616" s="71" t="str">
        <x:v>Back to trip health summary</x:v>
      </x:c>
      <x:c r="I1616" s="71" t="str">
        <x:v>Back to trip health summary</x:v>
      </x:c>
      <x:c r="J1616" s="73"/>
      <x:c r="K1616" s="74" t="str">
        <x:f>IF(J1616="",H1616,IF(J1616=I1616,I1616,J1616))</x:f>
        <x:v>Back to trip health summary</x:v>
      </x:c>
      <x:c r="L1616" s="74" t="str">
        <x:f>IF(J1616="","Keep current",IF(J1616=I1616,"Use suggestion","Custom"))</x:f>
        <x:v>Keep current</x:v>
      </x:c>
      <x:c r="M1616" s="71" t="str">
        <x:v>Pending review</x:v>
      </x:c>
      <x:c r="N1616" s="71" t="str">
        <x:v>Medium</x:v>
      </x:c>
      <x:c r="O1616" s="71" t="str">
        <x:v>components/journey-map-planner-workspace.tsx</x:v>
      </x:c>
      <x:c r="P1616" s="71" t="str">
        <x:v>JourneyMapPlannerWorkspace:1715</x:v>
      </x:c>
      <x:c r="Q1616" s="71" t="str">
        <x:v>EN (default / shared)</x:v>
      </x:c>
      <x:c r="R1616" s="71" t="str">
        <x:v>Already clear and direct; suggested wording intentionally keeps the current copy. Terminology watch: ‘trip’ and ‘journey’ both describe the same plan. Terminology watch: ‘stops’, ‘destinations’ and ‘places’ overlap.</x:v>
      </x:c>
      <x:c r="S1616" s="75" t="str">
        <x:v>Not applied — review required</x:v>
      </x:c>
    </x:row>
    <x:row r="1617">
      <x:c r="A1617" s="71" t="str">
        <x:v>MRV-2CCCA13FD6</x:v>
      </x:c>
      <x:c r="B1617" s="71" t="str">
        <x:v>Planning</x:v>
      </x:c>
      <x:c r="C1617" s="71" t="str">
        <x:v>Planner recommendations</x:v>
      </x:c>
      <x:c r="D1617" s="71" t="str">
        <x:v>Shared planner output</x:v>
      </x:c>
      <x:c r="E1617" s="71" t="str">
        <x:v>JourneyMapPlannerWorkspace</x:v>
      </x:c>
      <x:c r="F1617" s="71" t="str">
        <x:v>Default</x:v>
      </x:c>
      <x:c r="G1617" s="71" t="str">
        <x:v>Label</x:v>
      </x:c>
      <x:c r="H1617" s="71" t="str">
        <x:v>Summary</x:v>
      </x:c>
      <x:c r="I1617" s="71" t="str">
        <x:v>Summary</x:v>
      </x:c>
      <x:c r="J1617" s="73"/>
      <x:c r="K1617" s="74" t="str">
        <x:f>IF(J1617="",H1617,IF(J1617=I1617,I1617,J1617))</x:f>
        <x:v>Summary</x:v>
      </x:c>
      <x:c r="L1617" s="74" t="str">
        <x:f>IF(J1617="","Keep current",IF(J1617=I1617,"Use suggestion","Custom"))</x:f>
        <x:v>Keep current</x:v>
      </x:c>
      <x:c r="M1617" s="71" t="str">
        <x:v>Pending review</x:v>
      </x:c>
      <x:c r="N1617" s="71" t="str">
        <x:v>Normal</x:v>
      </x:c>
      <x:c r="O1617" s="71" t="str">
        <x:v>components/journey-map-planner-workspace.tsx</x:v>
      </x:c>
      <x:c r="P1617" s="71" t="str">
        <x:v>JourneyMapPlannerWorkspace:1715</x:v>
      </x:c>
      <x:c r="Q1617" s="71" t="str">
        <x:v>EN (default / shared)</x:v>
      </x:c>
      <x:c r="R1617" s="71" t="str">
        <x:v>Already clear and direct; suggested wording intentionally keeps the current copy.</x:v>
      </x:c>
      <x:c r="S1617" s="75" t="str">
        <x:v>Not applied — review required</x:v>
      </x:c>
    </x:row>
    <x:row r="1618">
      <x:c r="A1618" s="71" t="str">
        <x:v>MRV-CE7FD61696</x:v>
      </x:c>
      <x:c r="B1618" s="71" t="str">
        <x:v>Planning</x:v>
      </x:c>
      <x:c r="C1618" s="71" t="str">
        <x:v>Planner recommendations</x:v>
      </x:c>
      <x:c r="D1618" s="71" t="str">
        <x:v>Shared planner output</x:v>
      </x:c>
      <x:c r="E1618" s="71" t="str">
        <x:v>JourneyMapPlannerWorkspace</x:v>
      </x:c>
      <x:c r="F1618" s="71" t="str">
        <x:v>Accessibility / input support</x:v>
      </x:c>
      <x:c r="G1618" s="71" t="str">
        <x:v>Accessibility label</x:v>
      </x:c>
      <x:c r="H1618" s="71" t="str">
        <x:v>Close trip health details</x:v>
      </x:c>
      <x:c r="I1618" s="71" t="str">
        <x:v>Close trip health details</x:v>
      </x:c>
      <x:c r="J1618" s="73"/>
      <x:c r="K1618" s="74" t="str">
        <x:f>IF(J1618="",H1618,IF(J1618=I1618,I1618,J1618))</x:f>
        <x:v>Close trip health details</x:v>
      </x:c>
      <x:c r="L1618" s="74" t="str">
        <x:f>IF(J1618="","Keep current",IF(J1618=I1618,"Use suggestion","Custom"))</x:f>
        <x:v>Keep current</x:v>
      </x:c>
      <x:c r="M1618" s="71" t="str">
        <x:v>Pending review</x:v>
      </x:c>
      <x:c r="N1618" s="71" t="str">
        <x:v>Medium</x:v>
      </x:c>
      <x:c r="O1618" s="71" t="str">
        <x:v>components/journey-map-planner-workspace.tsx</x:v>
      </x:c>
      <x:c r="P1618" s="71" t="str">
        <x:v>JourneyMapPlannerWorkspace:1715</x:v>
      </x:c>
      <x:c r="Q1618" s="71" t="str">
        <x:v>EN (default / shared)</x:v>
      </x:c>
      <x:c r="R1618" s="71" t="str">
        <x:v>Already clear and direct; suggested wording intentionally keeps the current copy. Terminology watch: ‘trip’ and ‘journey’ both describe the same plan. Terminology watch: ‘stops’, ‘destinations’ and ‘places’ overlap.</x:v>
      </x:c>
      <x:c r="S1618" s="75" t="str">
        <x:v>Not applied — review required</x:v>
      </x:c>
    </x:row>
    <x:row r="1619">
      <x:c r="A1619" s="71" t="str">
        <x:v>MRV-11C3505636</x:v>
      </x:c>
      <x:c r="B1619" s="71" t="str">
        <x:v>Planning</x:v>
      </x:c>
      <x:c r="C1619" s="71" t="str">
        <x:v>Planner recommendations</x:v>
      </x:c>
      <x:c r="D1619" s="71" t="str">
        <x:v>Shared planner output</x:v>
      </x:c>
      <x:c r="E1619" s="71" t="str">
        <x:v>JourneyMapPlannerWorkspace</x:v>
      </x:c>
      <x:c r="F1619" s="71" t="str">
        <x:v>Default</x:v>
      </x:c>
      <x:c r="G1619" s="71" t="str">
        <x:v>Label</x:v>
      </x:c>
      <x:c r="H1619" s="71" t="str">
        <x:v>Every stay is sorted</x:v>
      </x:c>
      <x:c r="I1619" s="71" t="str">
        <x:v>Every stay is sorted</x:v>
      </x:c>
      <x:c r="J1619" s="73"/>
      <x:c r="K1619" s="74" t="str">
        <x:f>IF(J1619="",H1619,IF(J1619=I1619,I1619,J1619))</x:f>
        <x:v>Every stay is sorted</x:v>
      </x:c>
      <x:c r="L1619" s="74" t="str">
        <x:f>IF(J1619="","Keep current",IF(J1619=I1619,"Use suggestion","Custom"))</x:f>
        <x:v>Keep current</x:v>
      </x:c>
      <x:c r="M1619" s="71" t="str">
        <x:v>Pending review</x:v>
      </x:c>
      <x:c r="N1619" s="71" t="str">
        <x:v>Normal</x:v>
      </x:c>
      <x:c r="O1619" s="71" t="str">
        <x:v>components/journey-map-planner-workspace.tsx</x:v>
      </x:c>
      <x:c r="P1619" s="71" t="str">
        <x:v>JourneyMapPlannerWorkspace:1716</x:v>
      </x:c>
      <x:c r="Q1619" s="71" t="str">
        <x:v>EN (default / shared)</x:v>
      </x:c>
      <x:c r="R1619" s="71" t="str">
        <x:v>Already clear and direct; suggested wording intentionally keeps the current copy.</x:v>
      </x:c>
      <x:c r="S1619" s="75" t="str">
        <x:v>Not applied — review required</x:v>
      </x:c>
    </x:row>
    <x:row r="1620">
      <x:c r="A1620" s="71" t="str">
        <x:v>MRV-3D22B39BA6</x:v>
      </x:c>
      <x:c r="B1620" s="71" t="str">
        <x:v>Planning</x:v>
      </x:c>
      <x:c r="C1620" s="71" t="str">
        <x:v>Planner recommendations</x:v>
      </x:c>
      <x:c r="D1620" s="71" t="str">
        <x:v>Shared planner output</x:v>
      </x:c>
      <x:c r="E1620" s="71" t="str">
        <x:v>JourneyMapPlannerWorkspace</x:v>
      </x:c>
      <x:c r="F1620" s="71" t="str">
        <x:v>Default</x:v>
      </x:c>
      <x:c r="G1620" s="71" t="str">
        <x:v>Body copy</x:v>
      </x:c>
      <x:c r="H1620" s="71" t="str">
        <x:v>{unsortedAccommodationStops.length} {unsortedAccommodationStops.length === 1 ? "stay needs" : "stays need"} attention</x:v>
      </x:c>
      <x:c r="I1620" s="71" t="str">
        <x:v>{unsortedAccommodationStops.length} {unsortedAccommodationStops.length === 1 ? "stay needs" : "stays need"} attention</x:v>
      </x:c>
      <x:c r="J1620" s="73"/>
      <x:c r="K1620" s="74" t="str">
        <x:f>IF(J1620="",H1620,IF(J1620=I1620,I1620,J1620))</x:f>
        <x:v>{unsortedAccommodationStops.length} {unsortedAccommodationStops.length === 1 ? "stay needs" : "stays need"} attention</x:v>
      </x:c>
      <x:c r="L1620" s="74" t="str">
        <x:f>IF(J1620="","Keep current",IF(J1620=I1620,"Use suggestion","Custom"))</x:f>
        <x:v>Keep current</x:v>
      </x:c>
      <x:c r="M1620" s="71" t="str">
        <x:v>Pending review</x:v>
      </x:c>
      <x:c r="N1620" s="71" t="str">
        <x:v>Normal</x:v>
      </x:c>
      <x:c r="O1620" s="71" t="str">
        <x:v>components/journey-map-planner-workspace.tsx</x:v>
      </x:c>
      <x:c r="P1620" s="71" t="str">
        <x:v>JourneyMapPlannerWorkspace:1716</x:v>
      </x:c>
      <x:c r="Q1620" s="71" t="str">
        <x:v>EN (default / shared)</x:v>
      </x:c>
      <x:c r="R1620" s="71" t="str">
        <x:v>Already clear and direct; suggested wording intentionally keeps the current copy. Dynamic traveller or trip value is represented as a token; user-generated values are excluded.</x:v>
      </x:c>
      <x:c r="S1620" s="75" t="str">
        <x:v>Not applied — review required</x:v>
      </x:c>
    </x:row>
    <x:row r="1621">
      <x:c r="A1621" s="71" t="str">
        <x:v>MRV-3ACAD92687</x:v>
      </x:c>
      <x:c r="B1621" s="71" t="str">
        <x:v>Planning</x:v>
      </x:c>
      <x:c r="C1621" s="71" t="str">
        <x:v>Planner recommendations</x:v>
      </x:c>
      <x:c r="D1621" s="71" t="str">
        <x:v>Shared planner output</x:v>
      </x:c>
      <x:c r="E1621" s="71" t="str">
        <x:v>JourneyMapPlannerWorkspace</x:v>
      </x:c>
      <x:c r="F1621" s="71" t="str">
        <x:v>Default</x:v>
      </x:c>
      <x:c r="G1621" s="71" t="str">
        <x:v>Label</x:v>
      </x:c>
      <x:c r="H1621" s="71" t="str">
        <x:v>stay needs</x:v>
      </x:c>
      <x:c r="I1621" s="71" t="str">
        <x:v>stay needs</x:v>
      </x:c>
      <x:c r="J1621" s="73"/>
      <x:c r="K1621" s="74" t="str">
        <x:f>IF(J1621="",H1621,IF(J1621=I1621,I1621,J1621))</x:f>
        <x:v>stay needs</x:v>
      </x:c>
      <x:c r="L1621" s="74" t="str">
        <x:f>IF(J1621="","Keep current",IF(J1621=I1621,"Use suggestion","Custom"))</x:f>
        <x:v>Keep current</x:v>
      </x:c>
      <x:c r="M1621" s="71" t="str">
        <x:v>Pending review</x:v>
      </x:c>
      <x:c r="N1621" s="71" t="str">
        <x:v>Normal</x:v>
      </x:c>
      <x:c r="O1621" s="71" t="str">
        <x:v>components/journey-map-planner-workspace.tsx</x:v>
      </x:c>
      <x:c r="P1621" s="71" t="str">
        <x:v>JourneyMapPlannerWorkspace:1716</x:v>
      </x:c>
      <x:c r="Q1621" s="71" t="str">
        <x:v>EN (default / shared)</x:v>
      </x:c>
      <x:c r="R1621" s="71" t="str">
        <x:v>Already clear and direct; suggested wording intentionally keeps the current copy.</x:v>
      </x:c>
      <x:c r="S1621" s="75" t="str">
        <x:v>Not applied — review required</x:v>
      </x:c>
    </x:row>
    <x:row r="1622">
      <x:c r="A1622" s="71" t="str">
        <x:v>MRV-E10019B7C6</x:v>
      </x:c>
      <x:c r="B1622" s="71" t="str">
        <x:v>Planning</x:v>
      </x:c>
      <x:c r="C1622" s="71" t="str">
        <x:v>Planner recommendations</x:v>
      </x:c>
      <x:c r="D1622" s="71" t="str">
        <x:v>Shared planner output</x:v>
      </x:c>
      <x:c r="E1622" s="71" t="str">
        <x:v>JourneyMapPlannerWorkspace</x:v>
      </x:c>
      <x:c r="F1622" s="71" t="str">
        <x:v>Default</x:v>
      </x:c>
      <x:c r="G1622" s="71" t="str">
        <x:v>Label</x:v>
      </x:c>
      <x:c r="H1622" s="71" t="str">
        <x:v>stays need</x:v>
      </x:c>
      <x:c r="I1622" s="71" t="str">
        <x:v>stays need</x:v>
      </x:c>
      <x:c r="J1622" s="73"/>
      <x:c r="K1622" s="74" t="str">
        <x:f>IF(J1622="",H1622,IF(J1622=I1622,I1622,J1622))</x:f>
        <x:v>stays need</x:v>
      </x:c>
      <x:c r="L1622" s="74" t="str">
        <x:f>IF(J1622="","Keep current",IF(J1622=I1622,"Use suggestion","Custom"))</x:f>
        <x:v>Keep current</x:v>
      </x:c>
      <x:c r="M1622" s="71" t="str">
        <x:v>Pending review</x:v>
      </x:c>
      <x:c r="N1622" s="71" t="str">
        <x:v>Normal</x:v>
      </x:c>
      <x:c r="O1622" s="71" t="str">
        <x:v>components/journey-map-planner-workspace.tsx</x:v>
      </x:c>
      <x:c r="P1622" s="71" t="str">
        <x:v>JourneyMapPlannerWorkspace:1716</x:v>
      </x:c>
      <x:c r="Q1622" s="71" t="str">
        <x:v>EN (default / shared)</x:v>
      </x:c>
      <x:c r="R1622" s="71" t="str">
        <x:v>Already clear and direct; suggested wording intentionally keeps the current copy.</x:v>
      </x:c>
      <x:c r="S1622" s="75" t="str">
        <x:v>Not applied — review required</x:v>
      </x:c>
    </x:row>
    <x:row r="1623">
      <x:c r="A1623" s="71" t="str">
        <x:v>MRV-8D86753B26</x:v>
      </x:c>
      <x:c r="B1623" s="71" t="str">
        <x:v>Planning</x:v>
      </x:c>
      <x:c r="C1623" s="71" t="str">
        <x:v>Planner recommendations</x:v>
      </x:c>
      <x:c r="D1623" s="71" t="str">
        <x:v>Shared planner output</x:v>
      </x:c>
      <x:c r="E1623" s="71" t="str">
        <x:v>JourneyMapPlannerWorkspace</x:v>
      </x:c>
      <x:c r="F1623" s="71" t="str">
        <x:v>Default</x:v>
      </x:c>
      <x:c r="G1623" s="71" t="str">
        <x:v>Body copy</x:v>
      </x:c>
      <x:c r="H1623" s="71" t="str">
        <x:v>Accommodation is recorded for each overnight stop.</x:v>
      </x:c>
      <x:c r="I1623" s="71" t="str">
        <x:v>Accommodation is recorded for each overnight stop.</x:v>
      </x:c>
      <x:c r="J1623" s="73"/>
      <x:c r="K1623" s="74" t="str">
        <x:f>IF(J1623="",H1623,IF(J1623=I1623,I1623,J1623))</x:f>
        <x:v>Accommodation is recorded for each overnight stop.</x:v>
      </x:c>
      <x:c r="L1623" s="74" t="str">
        <x:f>IF(J1623="","Keep current",IF(J1623=I1623,"Use suggestion","Custom"))</x:f>
        <x:v>Keep current</x:v>
      </x:c>
      <x:c r="M1623" s="71" t="str">
        <x:v>Pending review</x:v>
      </x:c>
      <x:c r="N1623" s="71" t="str">
        <x:v>Normal</x:v>
      </x:c>
      <x:c r="O1623" s="71" t="str">
        <x:v>components/journey-map-planner-workspace.tsx</x:v>
      </x:c>
      <x:c r="P1623" s="71" t="str">
        <x:v>JourneyMapPlannerWorkspace:1716</x:v>
      </x:c>
      <x:c r="Q1623" s="71" t="str">
        <x:v>EN (default / shared)</x:v>
      </x:c>
      <x:c r="R1623" s="71" t="str">
        <x:v>Already clear and direct; suggested wording intentionally keeps the current copy. Terminology watch: ‘trip’ and ‘journey’ both describe the same plan. Terminology watch: ‘stops’, ‘destinations’ and ‘places’ overlap.</x:v>
      </x:c>
      <x:c r="S1623" s="75" t="str">
        <x:v>Not applied — review required</x:v>
      </x:c>
    </x:row>
    <x:row r="1624">
      <x:c r="A1624" s="71" t="str">
        <x:v>MRV-F886602F48</x:v>
      </x:c>
      <x:c r="B1624" s="71" t="str">
        <x:v>Planning</x:v>
      </x:c>
      <x:c r="C1624" s="71" t="str">
        <x:v>Planner recommendations</x:v>
      </x:c>
      <x:c r="D1624" s="71" t="str">
        <x:v>Shared planner output</x:v>
      </x:c>
      <x:c r="E1624" s="71" t="str">
        <x:v>JourneyMapPlannerWorkspace</x:v>
      </x:c>
      <x:c r="F1624" s="71" t="str">
        <x:v>Default</x:v>
      </x:c>
      <x:c r="G1624" s="71" t="str">
        <x:v>Body copy</x:v>
      </x:c>
      <x:c r="H1624" s="71" t="str">
        <x:v>Choose a stay or confirm availability before the rest of the trip is booked.</x:v>
      </x:c>
      <x:c r="I1624" s="71" t="str">
        <x:v>Choose a stay or confirm availability before the rest of the trip is booked.</x:v>
      </x:c>
      <x:c r="J1624" s="73"/>
      <x:c r="K1624" s="74" t="str">
        <x:f>IF(J1624="",H1624,IF(J1624=I1624,I1624,J1624))</x:f>
        <x:v>Choose a stay or confirm availability before the rest of the trip is booked.</x:v>
      </x:c>
      <x:c r="L1624" s="74" t="str">
        <x:f>IF(J1624="","Keep current",IF(J1624=I1624,"Use suggestion","Custom"))</x:f>
        <x:v>Keep current</x:v>
      </x:c>
      <x:c r="M1624" s="71" t="str">
        <x:v>Pending review</x:v>
      </x:c>
      <x:c r="N1624" s="71" t="str">
        <x:v>Normal</x:v>
      </x:c>
      <x:c r="O1624" s="71" t="str">
        <x:v>components/journey-map-planner-workspace.tsx</x:v>
      </x:c>
      <x:c r="P1624" s="71" t="str">
        <x:v>JourneyMapPlannerWorkspace:1716</x:v>
      </x:c>
      <x:c r="Q1624" s="71" t="str">
        <x:v>EN (default / shared)</x:v>
      </x:c>
      <x:c r="R1624" s="71" t="str">
        <x:v>Already clear and direct; suggested wording intentionally keeps the current copy. Terminology watch: ‘trip’ and ‘journey’ both describe the same plan. Terminology watch: ‘stops’, ‘destinations’ and ‘places’ overlap.</x:v>
      </x:c>
      <x:c r="S1624" s="75" t="str">
        <x:v>Not applied — review required</x:v>
      </x:c>
    </x:row>
    <x:row r="1625">
      <x:c r="A1625" s="71" t="str">
        <x:v>MRV-C9ADBD2FEA</x:v>
      </x:c>
      <x:c r="B1625" s="71" t="str">
        <x:v>Planning</x:v>
      </x:c>
      <x:c r="C1625" s="71" t="str">
        <x:v>Planner recommendations</x:v>
      </x:c>
      <x:c r="D1625" s="71" t="str">
        <x:v>Shared planner output</x:v>
      </x:c>
      <x:c r="E1625" s="71" t="str">
        <x:v>JourneyMapPlannerWorkspace</x:v>
      </x:c>
      <x:c r="F1625" s="71" t="str">
        <x:v>Default</x:v>
      </x:c>
      <x:c r="G1625" s="71" t="str">
        <x:v>Label</x:v>
      </x:c>
      <x:c r="H1625" s="71" t="str">
        <x:v>TRAVEL TIME</x:v>
      </x:c>
      <x:c r="I1625" s="71" t="str">
        <x:v>TRAVEL TIME</x:v>
      </x:c>
      <x:c r="J1625" s="73"/>
      <x:c r="K1625" s="74" t="str">
        <x:f>IF(J1625="",H1625,IF(J1625=I1625,I1625,J1625))</x:f>
        <x:v>TRAVEL TIME</x:v>
      </x:c>
      <x:c r="L1625" s="74" t="str">
        <x:f>IF(J1625="","Keep current",IF(J1625=I1625,"Use suggestion","Custom"))</x:f>
        <x:v>Keep current</x:v>
      </x:c>
      <x:c r="M1625" s="71" t="str">
        <x:v>Pending review</x:v>
      </x:c>
      <x:c r="N1625" s="71" t="str">
        <x:v>Normal</x:v>
      </x:c>
      <x:c r="O1625" s="71" t="str">
        <x:v>components/journey-map-planner-workspace.tsx</x:v>
      </x:c>
      <x:c r="P1625" s="71" t="str">
        <x:v>JourneyMapPlannerWorkspace:1717</x:v>
      </x:c>
      <x:c r="Q1625" s="71" t="str">
        <x:v>EN (default / shared)</x:v>
      </x:c>
      <x:c r="R1625" s="71" t="str">
        <x:v>Already clear and direct; suggested wording intentionally keeps the current copy. Duplicate wording: appears 2 times.</x:v>
      </x:c>
      <x:c r="S1625" s="75" t="str">
        <x:v>Not applied — review required</x:v>
      </x:c>
    </x:row>
    <x:row r="1626">
      <x:c r="A1626" s="71" t="str">
        <x:v>MRV-45E581128C</x:v>
      </x:c>
      <x:c r="B1626" s="71" t="str">
        <x:v>Planning</x:v>
      </x:c>
      <x:c r="C1626" s="71" t="str">
        <x:v>Planner recommendations</x:v>
      </x:c>
      <x:c r="D1626" s="71" t="str">
        <x:v>Shared planner output</x:v>
      </x:c>
      <x:c r="E1626" s="71" t="str">
        <x:v>JourneyMapPlannerWorkspace</x:v>
      </x:c>
      <x:c r="F1626" s="71" t="str">
        <x:v>Default</x:v>
      </x:c>
      <x:c r="G1626" s="71" t="str">
        <x:v>Body copy</x:v>
      </x:c>
      <x:c r="H1626" s="71" t="str">
        <x:v>{transportIssues.length || 1} transfer {transportIssues.length === 1 ? "decision" : "decisions"} to review</x:v>
      </x:c>
      <x:c r="I1626" s="71" t="str">
        <x:v>{transportIssues.length || 1} transfer {transportIssues.length === 1 ? "decision" : "decisions"} to review</x:v>
      </x:c>
      <x:c r="J1626" s="73"/>
      <x:c r="K1626" s="74" t="str">
        <x:f>IF(J1626="",H1626,IF(J1626=I1626,I1626,J1626))</x:f>
        <x:v>{transportIssues.length || 1} transfer {transportIssues.length === 1 ? "decision" : "decisions"} to review</x:v>
      </x:c>
      <x:c r="L1626" s="74" t="str">
        <x:f>IF(J1626="","Keep current",IF(J1626=I1626,"Use suggestion","Custom"))</x:f>
        <x:v>Keep current</x:v>
      </x:c>
      <x:c r="M1626" s="71" t="str">
        <x:v>Pending review</x:v>
      </x:c>
      <x:c r="N1626" s="71" t="str">
        <x:v>Normal</x:v>
      </x:c>
      <x:c r="O1626" s="71" t="str">
        <x:v>components/journey-map-planner-workspace.tsx</x:v>
      </x:c>
      <x:c r="P1626" s="71" t="str">
        <x:v>JourneyMapPlannerWorkspace:1717</x:v>
      </x:c>
      <x:c r="Q1626" s="71" t="str">
        <x:v>EN (default / shared)</x:v>
      </x:c>
      <x:c r="R1626" s="71" t="str">
        <x:v>Already clear and direct; suggested wording intentionally keeps the current copy. Dynamic traveller or trip value is represented as a token; user-generated values are excluded.</x:v>
      </x:c>
      <x:c r="S1626" s="75" t="str">
        <x:v>Not applied — review required</x:v>
      </x:c>
    </x:row>
    <x:row r="1627">
      <x:c r="A1627" s="71" t="str">
        <x:v>MRV-B9A8DD50E9</x:v>
      </x:c>
      <x:c r="B1627" s="71" t="str">
        <x:v>Planning</x:v>
      </x:c>
      <x:c r="C1627" s="71" t="str">
        <x:v>Planner recommendations</x:v>
      </x:c>
      <x:c r="D1627" s="71" t="str">
        <x:v>Shared planner output</x:v>
      </x:c>
      <x:c r="E1627" s="71" t="str">
        <x:v>JourneyMapPlannerWorkspace</x:v>
      </x:c>
      <x:c r="F1627" s="71" t="str">
        <x:v>Default</x:v>
      </x:c>
      <x:c r="G1627" s="71" t="str">
        <x:v>Label</x:v>
      </x:c>
      <x:c r="H1627" s="71" t="str">
        <x:v>Travel time is well paced</x:v>
      </x:c>
      <x:c r="I1627" s="71" t="str">
        <x:v>Travel time is well paced</x:v>
      </x:c>
      <x:c r="J1627" s="73"/>
      <x:c r="K1627" s="74" t="str">
        <x:f>IF(J1627="",H1627,IF(J1627=I1627,I1627,J1627))</x:f>
        <x:v>Travel time is well paced</x:v>
      </x:c>
      <x:c r="L1627" s="74" t="str">
        <x:f>IF(J1627="","Keep current",IF(J1627=I1627,"Use suggestion","Custom"))</x:f>
        <x:v>Keep current</x:v>
      </x:c>
      <x:c r="M1627" s="71" t="str">
        <x:v>Pending review</x:v>
      </x:c>
      <x:c r="N1627" s="71" t="str">
        <x:v>Normal</x:v>
      </x:c>
      <x:c r="O1627" s="71" t="str">
        <x:v>components/journey-map-planner-workspace.tsx</x:v>
      </x:c>
      <x:c r="P1627" s="71" t="str">
        <x:v>JourneyMapPlannerWorkspace:1717</x:v>
      </x:c>
      <x:c r="Q1627" s="71" t="str">
        <x:v>EN (default / shared)</x:v>
      </x:c>
      <x:c r="R1627" s="71" t="str">
        <x:v>Already clear and direct; suggested wording intentionally keeps the current copy.</x:v>
      </x:c>
      <x:c r="S1627" s="75" t="str">
        <x:v>Not applied — review required</x:v>
      </x:c>
    </x:row>
    <x:row r="1628">
      <x:c r="A1628" s="71" t="str">
        <x:v>MRV-91AFA4E2A6</x:v>
      </x:c>
      <x:c r="B1628" s="71" t="str">
        <x:v>Planning</x:v>
      </x:c>
      <x:c r="C1628" s="71" t="str">
        <x:v>Planner recommendations</x:v>
      </x:c>
      <x:c r="D1628" s="71" t="str">
        <x:v>Shared planner output</x:v>
      </x:c>
      <x:c r="E1628" s="71" t="str">
        <x:v>JourneyMapPlannerWorkspace</x:v>
      </x:c>
      <x:c r="F1628" s="71" t="str">
        <x:v>Default</x:v>
      </x:c>
      <x:c r="G1628" s="71" t="str">
        <x:v>Body copy</x:v>
      </x:c>
      <x:c r="H1628" s="71" t="str">
        <x:v>Confirm the unresolved legs before booking so the route still protects useful time at each stop.</x:v>
      </x:c>
      <x:c r="I1628" s="71" t="str">
        <x:v>Confirm the unresolved legs before booking so the route still protects useful time at each stop.</x:v>
      </x:c>
      <x:c r="J1628" s="73"/>
      <x:c r="K1628" s="74" t="str">
        <x:f>IF(J1628="",H1628,IF(J1628=I1628,I1628,J1628))</x:f>
        <x:v>Confirm the unresolved legs before booking so the route still protects useful time at each stop.</x:v>
      </x:c>
      <x:c r="L1628" s="74" t="str">
        <x:f>IF(J1628="","Keep current",IF(J1628=I1628,"Use suggestion","Custom"))</x:f>
        <x:v>Keep current</x:v>
      </x:c>
      <x:c r="M1628" s="71" t="str">
        <x:v>Pending review</x:v>
      </x:c>
      <x:c r="N1628" s="71" t="str">
        <x:v>Normal</x:v>
      </x:c>
      <x:c r="O1628" s="71" t="str">
        <x:v>components/journey-map-planner-workspace.tsx</x:v>
      </x:c>
      <x:c r="P1628" s="71" t="str">
        <x:v>JourneyMapPlannerWorkspace:1717</x:v>
      </x:c>
      <x:c r="Q1628" s="71" t="str">
        <x:v>EN (default / shared)</x:v>
      </x:c>
      <x:c r="R1628" s="71" t="str">
        <x:v>Already clear and direct; suggested wording intentionally keeps the current copy. Terminology watch: ‘trip’ and ‘journey’ both describe the same plan. Terminology watch: ‘stops’, ‘destinations’ and ‘places’ overlap.</x:v>
      </x:c>
      <x:c r="S1628" s="75" t="str">
        <x:v>Not applied — review required</x:v>
      </x:c>
    </x:row>
    <x:row r="1629">
      <x:c r="A1629" s="71" t="str">
        <x:v>MRV-5CC9B5C69A</x:v>
      </x:c>
      <x:c r="B1629" s="71" t="str">
        <x:v>Planning</x:v>
      </x:c>
      <x:c r="C1629" s="71" t="str">
        <x:v>Planner recommendations</x:v>
      </x:c>
      <x:c r="D1629" s="71" t="str">
        <x:v>Shared planner output</x:v>
      </x:c>
      <x:c r="E1629" s="71" t="str">
        <x:v>JourneyMapPlannerWorkspace</x:v>
      </x:c>
      <x:c r="F1629" s="71" t="str">
        <x:v>Default</x:v>
      </x:c>
      <x:c r="G1629" s="71" t="str">
        <x:v>Body copy</x:v>
      </x:c>
      <x:c r="H1629" s="71" t="str">
        <x:v>No unresolved transport decision is currently affecting this trip.</x:v>
      </x:c>
      <x:c r="I1629" s="71" t="str">
        <x:v>No unresolved transport decision is affecting this trip.</x:v>
      </x:c>
      <x:c r="J1629" s="73"/>
      <x:c r="K1629" s="74" t="str">
        <x:f>IF(J1629="",H1629,IF(J1629=I1629,I1629,J1629))</x:f>
        <x:v>No unresolved transport decision is currently affecting this trip.</x:v>
      </x:c>
      <x:c r="L1629" s="74" t="str">
        <x:f>IF(J1629="","Keep current",IF(J1629=I1629,"Use suggestion","Custom"))</x:f>
        <x:v>Keep current</x:v>
      </x:c>
      <x:c r="M1629" s="71" t="str">
        <x:v>Pending review</x:v>
      </x:c>
      <x:c r="N1629" s="71" t="str">
        <x:v>Normal</x:v>
      </x:c>
      <x:c r="O1629" s="71" t="str">
        <x:v>components/journey-map-planner-workspace.tsx</x:v>
      </x:c>
      <x:c r="P1629" s="71" t="str">
        <x:v>JourneyMapPlannerWorkspace:1717</x:v>
      </x:c>
      <x:c r="Q1629" s="71" t="str">
        <x:v>EN (default / shared)</x:v>
      </x:c>
      <x:c r="R1629" s="71" t="str">
        <x:v>Simplified for a warmer, more direct action or recovery message. Terminology watch: ‘trip’ and ‘journey’ both describe the same plan. Terminology watch: ‘stops’, ‘destinations’ and ‘places’ overlap.</x:v>
      </x:c>
      <x:c r="S1629" s="75" t="str">
        <x:v>Not applied — review required</x:v>
      </x:c>
    </x:row>
    <x:row r="1630">
      <x:c r="A1630" s="71" t="str">
        <x:v>MRV-3A764D8DB1</x:v>
      </x:c>
      <x:c r="B1630" s="71" t="str">
        <x:v>Planning</x:v>
      </x:c>
      <x:c r="C1630" s="71" t="str">
        <x:v>Planner recommendations</x:v>
      </x:c>
      <x:c r="D1630" s="71" t="str">
        <x:v>Shared planner output</x:v>
      </x:c>
      <x:c r="E1630" s="71" t="str">
        <x:v>JourneyMapPlannerWorkspace</x:v>
      </x:c>
      <x:c r="F1630" s="71" t="str">
        <x:v>Default</x:v>
      </x:c>
      <x:c r="G1630" s="71" t="str">
        <x:v>Label</x:v>
      </x:c>
      <x:c r="H1630" s="71" t="str">
        <x:v>THINGS TO DO</x:v>
      </x:c>
      <x:c r="I1630" s="71" t="str">
        <x:v>THINGS TO DO</x:v>
      </x:c>
      <x:c r="J1630" s="73"/>
      <x:c r="K1630" s="74" t="str">
        <x:f>IF(J1630="",H1630,IF(J1630=I1630,I1630,J1630))</x:f>
        <x:v>THINGS TO DO</x:v>
      </x:c>
      <x:c r="L1630" s="74" t="str">
        <x:f>IF(J1630="","Keep current",IF(J1630=I1630,"Use suggestion","Custom"))</x:f>
        <x:v>Keep current</x:v>
      </x:c>
      <x:c r="M1630" s="71" t="str">
        <x:v>Pending review</x:v>
      </x:c>
      <x:c r="N1630" s="71" t="str">
        <x:v>Normal</x:v>
      </x:c>
      <x:c r="O1630" s="71" t="str">
        <x:v>components/journey-map-planner-workspace.tsx</x:v>
      </x:c>
      <x:c r="P1630" s="71" t="str">
        <x:v>JourneyMapPlannerWorkspace:1718</x:v>
      </x:c>
      <x:c r="Q1630" s="71" t="str">
        <x:v>EN (default / shared)</x:v>
      </x:c>
      <x:c r="R1630" s="71" t="str">
        <x:v>Already clear and direct; suggested wording intentionally keeps the current copy. Duplicate wording: appears 2 times.</x:v>
      </x:c>
      <x:c r="S1630" s="75" t="str">
        <x:v>Not applied — review required</x:v>
      </x:c>
    </x:row>
    <x:row r="1631">
      <x:c r="A1631" s="71" t="str">
        <x:v>MRV-B984BEF5AE</x:v>
      </x:c>
      <x:c r="B1631" s="71" t="str">
        <x:v>Planning</x:v>
      </x:c>
      <x:c r="C1631" s="71" t="str">
        <x:v>Planner recommendations</x:v>
      </x:c>
      <x:c r="D1631" s="71" t="str">
        <x:v>Shared planner output</x:v>
      </x:c>
      <x:c r="E1631" s="71" t="str">
        <x:v>JourneyMapPlannerWorkspace</x:v>
      </x:c>
      <x:c r="F1631" s="71" t="str">
        <x:v>Default</x:v>
      </x:c>
      <x:c r="G1631" s="71" t="str">
        <x:v>Body copy</x:v>
      </x:c>
      <x:c r="H1631" s="71" t="str">
        <x:v>{activityCount} {activityCount === 1 ? "activity" : "activities"} planned</x:v>
      </x:c>
      <x:c r="I1631" s="71" t="str">
        <x:v>{activityCount} {activityCount === 1 ? "activity" : "activities"} planned</x:v>
      </x:c>
      <x:c r="J1631" s="73"/>
      <x:c r="K1631" s="74" t="str">
        <x:f>IF(J1631="",H1631,IF(J1631=I1631,I1631,J1631))</x:f>
        <x:v>{activityCount} {activityCount === 1 ? "activity" : "activities"} planned</x:v>
      </x:c>
      <x:c r="L1631" s="74" t="str">
        <x:f>IF(J1631="","Keep current",IF(J1631=I1631,"Use suggestion","Custom"))</x:f>
        <x:v>Keep current</x:v>
      </x:c>
      <x:c r="M1631" s="71" t="str">
        <x:v>Pending review</x:v>
      </x:c>
      <x:c r="N1631" s="71" t="str">
        <x:v>Normal</x:v>
      </x:c>
      <x:c r="O1631" s="71" t="str">
        <x:v>components/journey-map-planner-workspace.tsx</x:v>
      </x:c>
      <x:c r="P1631" s="71" t="str">
        <x:v>JourneyMapPlannerWorkspace:1718</x:v>
      </x:c>
      <x:c r="Q1631" s="71" t="str">
        <x:v>EN (default / shared)</x:v>
      </x:c>
      <x:c r="R1631" s="71" t="str">
        <x:v>Already clear and direct; suggested wording intentionally keeps the current copy. Dynamic traveller or trip value is represented as a token; user-generated values are excluded.</x:v>
      </x:c>
      <x:c r="S1631" s="75" t="str">
        <x:v>Not applied — review required</x:v>
      </x:c>
    </x:row>
    <x:row r="1632">
      <x:c r="A1632" s="71" t="str">
        <x:v>MRV-03E99234DF</x:v>
      </x:c>
      <x:c r="B1632" s="71" t="str">
        <x:v>Planning</x:v>
      </x:c>
      <x:c r="C1632" s="71" t="str">
        <x:v>Planner recommendations</x:v>
      </x:c>
      <x:c r="D1632" s="71" t="str">
        <x:v>Shared planner output</x:v>
      </x:c>
      <x:c r="E1632" s="71" t="str">
        <x:v>JourneyMapPlannerWorkspace</x:v>
      </x:c>
      <x:c r="F1632" s="71" t="str">
        <x:v>Default</x:v>
      </x:c>
      <x:c r="G1632" s="71" t="str">
        <x:v>Body copy</x:v>
      </x:c>
      <x:c r="H1632" s="71" t="str">
        <x:v>This trip still needs day detail</x:v>
      </x:c>
      <x:c r="I1632" s="71" t="str">
        <x:v>This trip still needs day detail</x:v>
      </x:c>
      <x:c r="J1632" s="73"/>
      <x:c r="K1632" s="74" t="str">
        <x:f>IF(J1632="",H1632,IF(J1632=I1632,I1632,J1632))</x:f>
        <x:v>This trip still needs day detail</x:v>
      </x:c>
      <x:c r="L1632" s="74" t="str">
        <x:f>IF(J1632="","Keep current",IF(J1632=I1632,"Use suggestion","Custom"))</x:f>
        <x:v>Keep current</x:v>
      </x:c>
      <x:c r="M1632" s="71" t="str">
        <x:v>Pending review</x:v>
      </x:c>
      <x:c r="N1632" s="71" t="str">
        <x:v>Normal</x:v>
      </x:c>
      <x:c r="O1632" s="71" t="str">
        <x:v>components/journey-map-planner-workspace.tsx</x:v>
      </x:c>
      <x:c r="P1632" s="71" t="str">
        <x:v>JourneyMapPlannerWorkspace:1718</x:v>
      </x:c>
      <x:c r="Q1632" s="71" t="str">
        <x:v>EN (default / shared)</x:v>
      </x:c>
      <x:c r="R1632" s="71" t="str">
        <x:v>Already clear and direct; suggested wording intentionally keeps the current copy. Terminology watch: ‘trip’ and ‘journey’ both describe the same plan. Terminology watch: ‘stops’, ‘destinations’ and ‘places’ overlap.</x:v>
      </x:c>
      <x:c r="S1632" s="75" t="str">
        <x:v>Not applied — review required</x:v>
      </x:c>
    </x:row>
    <x:row r="1633">
      <x:c r="A1633" s="71" t="str">
        <x:v>MRV-55DC53B674</x:v>
      </x:c>
      <x:c r="B1633" s="71" t="str">
        <x:v>Planning</x:v>
      </x:c>
      <x:c r="C1633" s="71" t="str">
        <x:v>Planner recommendations</x:v>
      </x:c>
      <x:c r="D1633" s="71" t="str">
        <x:v>Shared planner output</x:v>
      </x:c>
      <x:c r="E1633" s="71" t="str">
        <x:v>JourneyMapPlannerWorkspace</x:v>
      </x:c>
      <x:c r="F1633" s="71" t="str">
        <x:v>Default</x:v>
      </x:c>
      <x:c r="G1633" s="71" t="str">
        <x:v>Body copy</x:v>
      </x:c>
      <x:c r="H1633" s="71" t="str">
        <x:v>Your selected places are attached to the day plan. Keep enough room around transfers and arrival days.</x:v>
      </x:c>
      <x:c r="I1633" s="71" t="str">
        <x:v>Your selected places are attached to the day plan. Keep enough room around transfers and arrival days.</x:v>
      </x:c>
      <x:c r="J1633" s="73"/>
      <x:c r="K1633" s="74" t="str">
        <x:f>IF(J1633="",H1633,IF(J1633=I1633,I1633,J1633))</x:f>
        <x:v>Your selected places are attached to the day plan. Keep enough room around transfers and arrival days.</x:v>
      </x:c>
      <x:c r="L1633" s="74" t="str">
        <x:f>IF(J1633="","Keep current",IF(J1633=I1633,"Use suggestion","Custom"))</x:f>
        <x:v>Keep current</x:v>
      </x:c>
      <x:c r="M1633" s="71" t="str">
        <x:v>Pending review</x:v>
      </x:c>
      <x:c r="N1633" s="71" t="str">
        <x:v>Normal</x:v>
      </x:c>
      <x:c r="O1633" s="71" t="str">
        <x:v>components/journey-map-planner-workspace.tsx</x:v>
      </x:c>
      <x:c r="P1633" s="71" t="str">
        <x:v>JourneyMapPlannerWorkspace:1718</x:v>
      </x:c>
      <x:c r="Q1633" s="71" t="str">
        <x:v>EN (default / shared)</x:v>
      </x:c>
      <x:c r="R1633" s="71" t="str">
        <x:v>Already clear and direct; suggested wording intentionally keeps the current copy. Terminology watch: ‘trip’ and ‘journey’ both describe the same plan. Terminology watch: ‘stops’, ‘destinations’ and ‘places’ overlap.</x:v>
      </x:c>
      <x:c r="S1633" s="75" t="str">
        <x:v>Not applied — review required</x:v>
      </x:c>
    </x:row>
    <x:row r="1634">
      <x:c r="A1634" s="71" t="str">
        <x:v>MRV-58E38CBE74</x:v>
      </x:c>
      <x:c r="B1634" s="71" t="str">
        <x:v>Planning</x:v>
      </x:c>
      <x:c r="C1634" s="71" t="str">
        <x:v>Planner recommendations</x:v>
      </x:c>
      <x:c r="D1634" s="71" t="str">
        <x:v>Shared planner output</x:v>
      </x:c>
      <x:c r="E1634" s="71" t="str">
        <x:v>JourneyMapPlannerWorkspace</x:v>
      </x:c>
      <x:c r="F1634" s="71" t="str">
        <x:v>Default</x:v>
      </x:c>
      <x:c r="G1634" s="71" t="str">
        <x:v>CTA / button</x:v>
      </x:c>
      <x:c r="H1634" s="71" t="str">
        <x:v>Start with the selected destination and add one useful anchor to the current day.</x:v>
      </x:c>
      <x:c r="I1634" s="71" t="str">
        <x:v>Start with the selected destination and add one useful anchor to the current day.</x:v>
      </x:c>
      <x:c r="J1634" s="73"/>
      <x:c r="K1634" s="74" t="str">
        <x:f>IF(J1634="",H1634,IF(J1634=I1634,I1634,J1634))</x:f>
        <x:v>Start with the selected destination and add one useful anchor to the current day.</x:v>
      </x:c>
      <x:c r="L1634" s="74" t="str">
        <x:f>IF(J1634="","Keep current",IF(J1634=I1634,"Use suggestion","Custom"))</x:f>
        <x:v>Keep current</x:v>
      </x:c>
      <x:c r="M1634" s="71" t="str">
        <x:v>Pending review</x:v>
      </x:c>
      <x:c r="N1634" s="71" t="str">
        <x:v>Medium</x:v>
      </x:c>
      <x:c r="O1634" s="71" t="str">
        <x:v>components/journey-map-planner-workspace.tsx</x:v>
      </x:c>
      <x:c r="P1634" s="71" t="str">
        <x:v>JourneyMapPlannerWorkspace:1718</x:v>
      </x:c>
      <x:c r="Q1634" s="71" t="str">
        <x:v>EN (default / shared)</x:v>
      </x:c>
      <x:c r="R1634" s="71" t="str">
        <x:v>Already clear and direct; suggested wording intentionally keeps the current copy. Terminology watch: ‘trip’ and ‘journey’ both describe the same plan. Terminology watch: ‘stops’, ‘destinations’ and ‘places’ overlap.</x:v>
      </x:c>
      <x:c r="S1634" s="75" t="str">
        <x:v>Not applied — review required</x:v>
      </x:c>
    </x:row>
    <x:row r="1635">
      <x:c r="A1635" s="71" t="str">
        <x:v>MRV-B0814F7B97</x:v>
      </x:c>
      <x:c r="B1635" s="71" t="str">
        <x:v>Planning</x:v>
      </x:c>
      <x:c r="C1635" s="71" t="str">
        <x:v>Planner recommendations</x:v>
      </x:c>
      <x:c r="D1635" s="71" t="str">
        <x:v>Shared planner output</x:v>
      </x:c>
      <x:c r="E1635" s="71" t="str">
        <x:v>JourneyMapPlannerWorkspace</x:v>
      </x:c>
      <x:c r="F1635" s="71" t="str">
        <x:v>Default</x:v>
      </x:c>
      <x:c r="G1635" s="71" t="str">
        <x:v>Label</x:v>
      </x:c>
      <x:c r="H1635" s="71" t="str">
        <x:v>Budget preference saved</x:v>
      </x:c>
      <x:c r="I1635" s="71" t="str">
        <x:v>Budget preference saved</x:v>
      </x:c>
      <x:c r="J1635" s="73"/>
      <x:c r="K1635" s="74" t="str">
        <x:f>IF(J1635="",H1635,IF(J1635=I1635,I1635,J1635))</x:f>
        <x:v>Budget preference saved</x:v>
      </x:c>
      <x:c r="L1635" s="74" t="str">
        <x:f>IF(J1635="","Keep current",IF(J1635=I1635,"Use suggestion","Custom"))</x:f>
        <x:v>Keep current</x:v>
      </x:c>
      <x:c r="M1635" s="71" t="str">
        <x:v>Pending review</x:v>
      </x:c>
      <x:c r="N1635" s="71" t="str">
        <x:v>Normal</x:v>
      </x:c>
      <x:c r="O1635" s="71" t="str">
        <x:v>components/journey-map-planner-workspace.tsx</x:v>
      </x:c>
      <x:c r="P1635" s="71" t="str">
        <x:v>JourneyMapPlannerWorkspace:1719</x:v>
      </x:c>
      <x:c r="Q1635" s="71" t="str">
        <x:v>EN (default / shared)</x:v>
      </x:c>
      <x:c r="R1635" s="71" t="str">
        <x:v>Already clear and direct; suggested wording intentionally keeps the current copy.</x:v>
      </x:c>
      <x:c r="S1635" s="75" t="str">
        <x:v>Not applied — review required</x:v>
      </x:c>
    </x:row>
    <x:row r="1636">
      <x:c r="A1636" s="71" t="str">
        <x:v>MRV-DF1B38D18E</x:v>
      </x:c>
      <x:c r="B1636" s="71" t="str">
        <x:v>Planning</x:v>
      </x:c>
      <x:c r="C1636" s="71" t="str">
        <x:v>Planner recommendations</x:v>
      </x:c>
      <x:c r="D1636" s="71" t="str">
        <x:v>Shared planner output</x:v>
      </x:c>
      <x:c r="E1636" s="71" t="str">
        <x:v>JourneyMapPlannerWorkspace</x:v>
      </x:c>
      <x:c r="F1636" s="71" t="str">
        <x:v>Default</x:v>
      </x:c>
      <x:c r="G1636" s="71" t="str">
        <x:v>Label</x:v>
      </x:c>
      <x:c r="H1636" s="71" t="str">
        <x:v>Set a budget preference</x:v>
      </x:c>
      <x:c r="I1636" s="71" t="str">
        <x:v>Set a budget preference</x:v>
      </x:c>
      <x:c r="J1636" s="73"/>
      <x:c r="K1636" s="74" t="str">
        <x:f>IF(J1636="",H1636,IF(J1636=I1636,I1636,J1636))</x:f>
        <x:v>Set a budget preference</x:v>
      </x:c>
      <x:c r="L1636" s="74" t="str">
        <x:f>IF(J1636="","Keep current",IF(J1636=I1636,"Use suggestion","Custom"))</x:f>
        <x:v>Keep current</x:v>
      </x:c>
      <x:c r="M1636" s="71" t="str">
        <x:v>Pending review</x:v>
      </x:c>
      <x:c r="N1636" s="71" t="str">
        <x:v>Normal</x:v>
      </x:c>
      <x:c r="O1636" s="71" t="str">
        <x:v>components/journey-map-planner-workspace.tsx</x:v>
      </x:c>
      <x:c r="P1636" s="71" t="str">
        <x:v>JourneyMapPlannerWorkspace:1719</x:v>
      </x:c>
      <x:c r="Q1636" s="71" t="str">
        <x:v>EN (default / shared)</x:v>
      </x:c>
      <x:c r="R1636" s="71" t="str">
        <x:v>Already clear and direct; suggested wording intentionally keeps the current copy.</x:v>
      </x:c>
      <x:c r="S1636" s="75" t="str">
        <x:v>Not applied — review required</x:v>
      </x:c>
    </x:row>
    <x:row r="1637">
      <x:c r="A1637" s="71" t="str">
        <x:v>MRV-17D03E1437</x:v>
      </x:c>
      <x:c r="B1637" s="71" t="str">
        <x:v>Planning</x:v>
      </x:c>
      <x:c r="C1637" s="71" t="str">
        <x:v>Planner recommendations</x:v>
      </x:c>
      <x:c r="D1637" s="71" t="str">
        <x:v>Shared planner output</x:v>
      </x:c>
      <x:c r="E1637" s="71" t="str">
        <x:v>JourneyMapPlannerWorkspace</x:v>
      </x:c>
      <x:c r="F1637" s="71" t="str">
        <x:v>Default</x:v>
      </x:c>
      <x:c r="G1637" s="71" t="str">
        <x:v>Body copy</x:v>
      </x:c>
      <x:c r="H1637" s="71" t="str">
        <x:v>Morrovia is using your {customTrip.brief.budgetBand === "value" ? "good value" : customTrip.brief.budgetBand === "mid" ? "mid-range" : "no ceiling"} preference when shaping recommendations.</x:v>
      </x:c>
      <x:c r="I1637" s="71" t="str">
        <x:v>Morrovia is using your {customTrip.brief.budgetBand === "value" ? "good value" : customTrip.brief.budgetBand === "mid" ? "mid-range" : "no ceiling"} preference when shaping recommendations.</x:v>
      </x:c>
      <x:c r="J1637" s="73"/>
      <x:c r="K1637" s="74" t="str">
        <x:f>IF(J1637="",H1637,IF(J1637=I1637,I1637,J1637))</x:f>
        <x:v>Morrovia is using your {customTrip.brief.budgetBand === "value" ? "good value" : customTrip.brief.budgetBand === "mid" ? "mid-range" : "no ceiling"} preference when shaping recommendations.</x:v>
      </x:c>
      <x:c r="L1637" s="74" t="str">
        <x:f>IF(J1637="","Keep current",IF(J1637=I1637,"Use suggestion","Custom"))</x:f>
        <x:v>Keep current</x:v>
      </x:c>
      <x:c r="M1637" s="71" t="str">
        <x:v>Pending review</x:v>
      </x:c>
      <x:c r="N1637" s="71" t="str">
        <x:v>Normal</x:v>
      </x:c>
      <x:c r="O1637" s="71" t="str">
        <x:v>components/journey-map-planner-workspace.tsx</x:v>
      </x:c>
      <x:c r="P1637" s="71" t="str">
        <x:v>JourneyMapPlannerWorkspace:1719</x:v>
      </x:c>
      <x:c r="Q1637" s="71" t="str">
        <x:v>EN (default / shared)</x:v>
      </x:c>
      <x:c r="R1637" s="71" t="str">
        <x:v>Already clear and direct; suggested wording intentionally keeps the current copy. Dynamic traveller or trip value is represented as a token; user-generated values are excluded.</x:v>
      </x:c>
      <x:c r="S1637" s="75" t="str">
        <x:v>Not applied — review required</x:v>
      </x:c>
    </x:row>
    <x:row r="1638">
      <x:c r="A1638" s="71" t="str">
        <x:v>MRV-0234515EFE</x:v>
      </x:c>
      <x:c r="B1638" s="71" t="str">
        <x:v>Planning</x:v>
      </x:c>
      <x:c r="C1638" s="71" t="str">
        <x:v>Planner recommendations</x:v>
      </x:c>
      <x:c r="D1638" s="71" t="str">
        <x:v>Shared planner output</x:v>
      </x:c>
      <x:c r="E1638" s="71" t="str">
        <x:v>JourneyMapPlannerWorkspace</x:v>
      </x:c>
      <x:c r="F1638" s="71" t="str">
        <x:v>Default</x:v>
      </x:c>
      <x:c r="G1638" s="71" t="str">
        <x:v>CTA / button</x:v>
      </x:c>
      <x:c r="H1638" s="71" t="str">
        <x:v>good value</x:v>
      </x:c>
      <x:c r="I1638" s="71" t="str">
        <x:v>good value</x:v>
      </x:c>
      <x:c r="J1638" s="73"/>
      <x:c r="K1638" s="74" t="str">
        <x:f>IF(J1638="",H1638,IF(J1638=I1638,I1638,J1638))</x:f>
        <x:v>good value</x:v>
      </x:c>
      <x:c r="L1638" s="74" t="str">
        <x:f>IF(J1638="","Keep current",IF(J1638=I1638,"Use suggestion","Custom"))</x:f>
        <x:v>Keep current</x:v>
      </x:c>
      <x:c r="M1638" s="71" t="str">
        <x:v>Pending review</x:v>
      </x:c>
      <x:c r="N1638" s="71" t="str">
        <x:v>Medium</x:v>
      </x:c>
      <x:c r="O1638" s="71" t="str">
        <x:v>components/journey-map-planner-workspace.tsx</x:v>
      </x:c>
      <x:c r="P1638" s="71" t="str">
        <x:v>JourneyMapPlannerWorkspace:1719</x:v>
      </x:c>
      <x:c r="Q1638" s="71" t="str">
        <x:v>EN (default / shared)</x:v>
      </x:c>
      <x:c r="R1638" s="71" t="str">
        <x:v>Already clear and direct; suggested wording intentionally keeps the current copy. Duplicate wording: appears 2 times.</x:v>
      </x:c>
      <x:c r="S1638" s="75" t="str">
        <x:v>Not applied — review required</x:v>
      </x:c>
    </x:row>
    <x:row r="1639">
      <x:c r="A1639" s="71" t="str">
        <x:v>MRV-B770E1487B</x:v>
      </x:c>
      <x:c r="B1639" s="71" t="str">
        <x:v>Planning</x:v>
      </x:c>
      <x:c r="C1639" s="71" t="str">
        <x:v>Planner recommendations</x:v>
      </x:c>
      <x:c r="D1639" s="71" t="str">
        <x:v>Shared planner output</x:v>
      </x:c>
      <x:c r="E1639" s="71" t="str">
        <x:v>JourneyMapPlannerWorkspace</x:v>
      </x:c>
      <x:c r="F1639" s="71" t="str">
        <x:v>Default</x:v>
      </x:c>
      <x:c r="G1639" s="71" t="str">
        <x:v>Label</x:v>
      </x:c>
      <x:c r="H1639" s="71" t="str">
        <x:v>no ceiling</x:v>
      </x:c>
      <x:c r="I1639" s="71" t="str">
        <x:v>no ceiling</x:v>
      </x:c>
      <x:c r="J1639" s="73"/>
      <x:c r="K1639" s="74" t="str">
        <x:f>IF(J1639="",H1639,IF(J1639=I1639,I1639,J1639))</x:f>
        <x:v>no ceiling</x:v>
      </x:c>
      <x:c r="L1639" s="74" t="str">
        <x:f>IF(J1639="","Keep current",IF(J1639=I1639,"Use suggestion","Custom"))</x:f>
        <x:v>Keep current</x:v>
      </x:c>
      <x:c r="M1639" s="71" t="str">
        <x:v>Pending review</x:v>
      </x:c>
      <x:c r="N1639" s="71" t="str">
        <x:v>Normal</x:v>
      </x:c>
      <x:c r="O1639" s="71" t="str">
        <x:v>components/journey-map-planner-workspace.tsx</x:v>
      </x:c>
      <x:c r="P1639" s="71" t="str">
        <x:v>JourneyMapPlannerWorkspace:1719</x:v>
      </x:c>
      <x:c r="Q1639" s="71" t="str">
        <x:v>EN (default / shared)</x:v>
      </x:c>
      <x:c r="R1639" s="71" t="str">
        <x:v>Already clear and direct; suggested wording intentionally keeps the current copy.</x:v>
      </x:c>
      <x:c r="S1639" s="75" t="str">
        <x:v>Not applied — review required</x:v>
      </x:c>
    </x:row>
    <x:row r="1640">
      <x:c r="A1640" s="71" t="str">
        <x:v>MRV-ACB733CA12</x:v>
      </x:c>
      <x:c r="B1640" s="71" t="str">
        <x:v>Planning</x:v>
      </x:c>
      <x:c r="C1640" s="71" t="str">
        <x:v>Planner recommendations</x:v>
      </x:c>
      <x:c r="D1640" s="71" t="str">
        <x:v>Shared planner output</x:v>
      </x:c>
      <x:c r="E1640" s="71" t="str">
        <x:v>JourneyMapPlannerWorkspace</x:v>
      </x:c>
      <x:c r="F1640" s="71" t="str">
        <x:v>Default</x:v>
      </x:c>
      <x:c r="G1640" s="71" t="str">
        <x:v>Body copy</x:v>
      </x:c>
      <x:c r="H1640" s="71" t="str">
        <x:v>A budget preference helps Morrovia prioritise suitable stays and places without inventing live prices.</x:v>
      </x:c>
      <x:c r="I1640" s="71" t="str">
        <x:v>A budget preference helps Morrovia prioritise suitable stays and places without inventing live prices.</x:v>
      </x:c>
      <x:c r="J1640" s="73"/>
      <x:c r="K1640" s="74" t="str">
        <x:f>IF(J1640="",H1640,IF(J1640=I1640,I1640,J1640))</x:f>
        <x:v>A budget preference helps Morrovia prioritise suitable stays and places without inventing live prices.</x:v>
      </x:c>
      <x:c r="L1640" s="74" t="str">
        <x:f>IF(J1640="","Keep current",IF(J1640=I1640,"Use suggestion","Custom"))</x:f>
        <x:v>Keep current</x:v>
      </x:c>
      <x:c r="M1640" s="71" t="str">
        <x:v>Pending review</x:v>
      </x:c>
      <x:c r="N1640" s="71" t="str">
        <x:v>Normal</x:v>
      </x:c>
      <x:c r="O1640" s="71" t="str">
        <x:v>components/journey-map-planner-workspace.tsx</x:v>
      </x:c>
      <x:c r="P1640" s="71" t="str">
        <x:v>JourneyMapPlannerWorkspace:1719</x:v>
      </x:c>
      <x:c r="Q1640" s="71" t="str">
        <x:v>EN (default / shared)</x:v>
      </x:c>
      <x:c r="R1640" s="71" t="str">
        <x:v>Already clear and direct; suggested wording intentionally keeps the current copy. Terminology watch: ‘trip’ and ‘journey’ both describe the same plan. Terminology watch: ‘stops’, ‘destinations’ and ‘places’ overlap.</x:v>
      </x:c>
      <x:c r="S1640" s="75" t="str">
        <x:v>Not applied — review required</x:v>
      </x:c>
    </x:row>
    <x:row r="1641">
      <x:c r="A1641" s="71" t="str">
        <x:v>MRV-F583A43B92</x:v>
      </x:c>
      <x:c r="B1641" s="71" t="str">
        <x:v>Planning</x:v>
      </x:c>
      <x:c r="C1641" s="71" t="str">
        <x:v>Planner recommendations</x:v>
      </x:c>
      <x:c r="D1641" s="71" t="str">
        <x:v>Shared planner output</x:v>
      </x:c>
      <x:c r="E1641" s="71" t="str">
        <x:v>JourneyMapPlannerWorkspace</x:v>
      </x:c>
      <x:c r="F1641" s="71" t="str">
        <x:v>Default</x:v>
      </x:c>
      <x:c r="G1641" s="71" t="str">
        <x:v>Label</x:v>
      </x:c>
      <x:c r="H1641" s="71" t="str">
        <x:v>En orden</x:v>
      </x:c>
      <x:c r="I1641" s="71" t="str">
        <x:v>En orden</x:v>
      </x:c>
      <x:c r="J1641" s="73"/>
      <x:c r="K1641" s="74" t="str">
        <x:f>IF(J1641="",H1641,IF(J1641=I1641,I1641,J1641))</x:f>
        <x:v>En orden</x:v>
      </x:c>
      <x:c r="L1641" s="74" t="str">
        <x:f>IF(J1641="","Keep current",IF(J1641=I1641,"Use suggestion","Custom"))</x:f>
        <x:v>Keep current</x:v>
      </x:c>
      <x:c r="M1641" s="71" t="str">
        <x:v>Pending review</x:v>
      </x:c>
      <x:c r="N1641" s="71" t="str">
        <x:v>Normal</x:v>
      </x:c>
      <x:c r="O1641" s="71" t="str">
        <x:v>components/journey-map-planner-workspace.tsx</x:v>
      </x:c>
      <x:c r="P1641" s="71" t="str">
        <x:v>JourneyMapPlannerWorkspace:1720</x:v>
      </x:c>
      <x:c r="Q1641" s="71" t="str">
        <x:v>ES</x:v>
      </x:c>
      <x:c r="R1641" s="71" t="str">
        <x:v>Already clear and direct; suggested wording intentionally keeps the current copy.</x:v>
      </x:c>
      <x:c r="S1641" s="75" t="str">
        <x:v>Not applied — review required</x:v>
      </x:c>
    </x:row>
    <x:row r="1642">
      <x:c r="A1642" s="71" t="str">
        <x:v>MRV-F446BAB855</x:v>
      </x:c>
      <x:c r="B1642" s="71" t="str">
        <x:v>Planning</x:v>
      </x:c>
      <x:c r="C1642" s="71" t="str">
        <x:v>Planner recommendations</x:v>
      </x:c>
      <x:c r="D1642" s="71" t="str">
        <x:v>Shared planner output</x:v>
      </x:c>
      <x:c r="E1642" s="71" t="str">
        <x:v>JourneyMapPlannerWorkspace</x:v>
      </x:c>
      <x:c r="F1642" s="71" t="str">
        <x:v>Default</x:v>
      </x:c>
      <x:c r="G1642" s="71" t="str">
        <x:v>Label</x:v>
      </x:c>
      <x:c r="H1642" s="71" t="str">
        <x:v>On track</x:v>
      </x:c>
      <x:c r="I1642" s="71" t="str">
        <x:v>On track</x:v>
      </x:c>
      <x:c r="J1642" s="73"/>
      <x:c r="K1642" s="74" t="str">
        <x:f>IF(J1642="",H1642,IF(J1642=I1642,I1642,J1642))</x:f>
        <x:v>On track</x:v>
      </x:c>
      <x:c r="L1642" s="74" t="str">
        <x:f>IF(J1642="","Keep current",IF(J1642=I1642,"Use suggestion","Custom"))</x:f>
        <x:v>Keep current</x:v>
      </x:c>
      <x:c r="M1642" s="71" t="str">
        <x:v>Pending review</x:v>
      </x:c>
      <x:c r="N1642" s="71" t="str">
        <x:v>Normal</x:v>
      </x:c>
      <x:c r="O1642" s="71" t="str">
        <x:v>components/journey-map-planner-workspace.tsx</x:v>
      </x:c>
      <x:c r="P1642" s="71" t="str">
        <x:v>JourneyMapPlannerWorkspace:1720</x:v>
      </x:c>
      <x:c r="Q1642" s="71" t="str">
        <x:v>EN</x:v>
      </x:c>
      <x:c r="R1642" s="71" t="str">
        <x:v>Already clear and direct; suggested wording intentionally keeps the current copy.</x:v>
      </x:c>
      <x:c r="S1642" s="75" t="str">
        <x:v>Not applied — review required</x:v>
      </x:c>
    </x:row>
    <x:row r="1643">
      <x:c r="A1643" s="71" t="str">
        <x:v>MRV-5692F5445B</x:v>
      </x:c>
      <x:c r="B1643" s="71" t="str">
        <x:v>Planning</x:v>
      </x:c>
      <x:c r="C1643" s="71" t="str">
        <x:v>Planner recommendations</x:v>
      </x:c>
      <x:c r="D1643" s="71" t="str">
        <x:v>Shared planner output</x:v>
      </x:c>
      <x:c r="E1643" s="71" t="str">
        <x:v>JourneyMapPlannerWorkspace</x:v>
      </x:c>
      <x:c r="F1643" s="71" t="str">
        <x:v>Default</x:v>
      </x:c>
      <x:c r="G1643" s="71" t="str">
        <x:v>Body copy</x:v>
      </x:c>
      <x:c r="H1643" s="71" t="str">
        <x:v>{health?.openIssueCount ?? 0} {language === "es" ? "revisiones" : "to review"}</x:v>
      </x:c>
      <x:c r="I1643" s="71" t="str">
        <x:v>{health?.openIssueCount ?? 0} {language === "es" ? "revisiones" : "to review"}</x:v>
      </x:c>
      <x:c r="J1643" s="73"/>
      <x:c r="K1643" s="74" t="str">
        <x:f>IF(J1643="",H1643,IF(J1643=I1643,I1643,J1643))</x:f>
        <x:v>{health?.openIssueCount ?? 0} {language === "es" ? "revisiones" : "to review"}</x:v>
      </x:c>
      <x:c r="L1643" s="74" t="str">
        <x:f>IF(J1643="","Keep current",IF(J1643=I1643,"Use suggestion","Custom"))</x:f>
        <x:v>Keep current</x:v>
      </x:c>
      <x:c r="M1643" s="71" t="str">
        <x:v>Pending review</x:v>
      </x:c>
      <x:c r="N1643" s="71" t="str">
        <x:v>Normal</x:v>
      </x:c>
      <x:c r="O1643" s="71" t="str">
        <x:v>components/journey-map-planner-workspace.tsx</x:v>
      </x:c>
      <x:c r="P1643" s="71" t="str">
        <x:v>JourneyMapPlannerWorkspace:1720</x:v>
      </x:c>
      <x:c r="Q1643" s="71" t="str">
        <x:v>EN (default / shared)</x:v>
      </x:c>
      <x:c r="R1643" s="71" t="str">
        <x:v>Already clear and direct; suggested wording intentionally keeps the current copy. Duplicate wording: appears 2 times. Dynamic traveller or trip value is represented as a token; user-generated values are excluded.</x:v>
      </x:c>
      <x:c r="S1643" s="75" t="str">
        <x:v>Not applied — review required</x:v>
      </x:c>
    </x:row>
    <x:row r="1644">
      <x:c r="A1644" s="71" t="str">
        <x:v>MRV-5B55A1CED9</x:v>
      </x:c>
      <x:c r="B1644" s="71" t="str">
        <x:v>Planning</x:v>
      </x:c>
      <x:c r="C1644" s="71" t="str">
        <x:v>Planner recommendations</x:v>
      </x:c>
      <x:c r="D1644" s="71" t="str">
        <x:v>Shared planner output</x:v>
      </x:c>
      <x:c r="E1644" s="71" t="str">
        <x:v>JourneyMapPlannerWorkspace</x:v>
      </x:c>
      <x:c r="F1644" s="71" t="str">
        <x:v>Default</x:v>
      </x:c>
      <x:c r="G1644" s="71" t="str">
        <x:v>Label</x:v>
      </x:c>
      <x:c r="H1644" s="71" t="str">
        <x:v>to review</x:v>
      </x:c>
      <x:c r="I1644" s="71" t="str">
        <x:v>to review</x:v>
      </x:c>
      <x:c r="J1644" s="73"/>
      <x:c r="K1644" s="74" t="str">
        <x:f>IF(J1644="",H1644,IF(J1644=I1644,I1644,J1644))</x:f>
        <x:v>to review</x:v>
      </x:c>
      <x:c r="L1644" s="74" t="str">
        <x:f>IF(J1644="","Keep current",IF(J1644=I1644,"Use suggestion","Custom"))</x:f>
        <x:v>Keep current</x:v>
      </x:c>
      <x:c r="M1644" s="71" t="str">
        <x:v>Pending review</x:v>
      </x:c>
      <x:c r="N1644" s="71" t="str">
        <x:v>Normal</x:v>
      </x:c>
      <x:c r="O1644" s="71" t="str">
        <x:v>components/journey-map-planner-workspace.tsx</x:v>
      </x:c>
      <x:c r="P1644" s="71" t="str">
        <x:v>JourneyMapPlannerWorkspace:1720</x:v>
      </x:c>
      <x:c r="Q1644" s="71" t="str">
        <x:v>EN</x:v>
      </x:c>
      <x:c r="R1644" s="71" t="str">
        <x:v>Already clear and direct; suggested wording intentionally keeps the current copy. Duplicate wording: appears 2 times.</x:v>
      </x:c>
      <x:c r="S1644" s="75" t="str">
        <x:v>Not applied — review required</x:v>
      </x:c>
    </x:row>
    <x:row r="1645">
      <x:c r="A1645" s="71" t="str">
        <x:v>MRV-ECFA8460B4</x:v>
      </x:c>
      <x:c r="B1645" s="71" t="str">
        <x:v>Planning</x:v>
      </x:c>
      <x:c r="C1645" s="71" t="str">
        <x:v>Planner recommendations</x:v>
      </x:c>
      <x:c r="D1645" s="71" t="str">
        <x:v>Shared planner output</x:v>
      </x:c>
      <x:c r="E1645" s="71" t="str">
        <x:v>JourneyMapPlannerWorkspace</x:v>
      </x:c>
      <x:c r="F1645" s="71" t="str">
        <x:v>Default</x:v>
      </x:c>
      <x:c r="G1645" s="71" t="str">
        <x:v>Label</x:v>
      </x:c>
      <x:c r="H1645" s="71" t="str">
        <x:v>Tu viaje se ve bien</x:v>
      </x:c>
      <x:c r="I1645" s="71" t="str">
        <x:v>Tu viaje se ve bien</x:v>
      </x:c>
      <x:c r="J1645" s="73"/>
      <x:c r="K1645" s="74" t="str">
        <x:f>IF(J1645="",H1645,IF(J1645=I1645,I1645,J1645))</x:f>
        <x:v>Tu viaje se ve bien</x:v>
      </x:c>
      <x:c r="L1645" s="74" t="str">
        <x:f>IF(J1645="","Keep current",IF(J1645=I1645,"Use suggestion","Custom"))</x:f>
        <x:v>Keep current</x:v>
      </x:c>
      <x:c r="M1645" s="71" t="str">
        <x:v>Pending review</x:v>
      </x:c>
      <x:c r="N1645" s="71" t="str">
        <x:v>Normal</x:v>
      </x:c>
      <x:c r="O1645" s="71" t="str">
        <x:v>components/journey-map-planner-workspace.tsx</x:v>
      </x:c>
      <x:c r="P1645" s="71" t="str">
        <x:v>JourneyMapPlannerWorkspace:1720</x:v>
      </x:c>
      <x:c r="Q1645" s="71" t="str">
        <x:v>ES</x:v>
      </x:c>
      <x:c r="R1645" s="71" t="str">
        <x:v>Already clear and direct; suggested wording intentionally keeps the current copy.</x:v>
      </x:c>
      <x:c r="S1645" s="75" t="str">
        <x:v>Not applied — review required</x:v>
      </x:c>
    </x:row>
    <x:row r="1646">
      <x:c r="A1646" s="71" t="str">
        <x:v>MRV-B91DAA8186</x:v>
      </x:c>
      <x:c r="B1646" s="71" t="str">
        <x:v>Planning</x:v>
      </x:c>
      <x:c r="C1646" s="71" t="str">
        <x:v>Planner recommendations</x:v>
      </x:c>
      <x:c r="D1646" s="71" t="str">
        <x:v>Shared planner output</x:v>
      </x:c>
      <x:c r="E1646" s="71" t="str">
        <x:v>JourneyMapPlannerWorkspace</x:v>
      </x:c>
      <x:c r="F1646" s="71" t="str">
        <x:v>Default</x:v>
      </x:c>
      <x:c r="G1646" s="71" t="str">
        <x:v>Label</x:v>
      </x:c>
      <x:c r="H1646" s="71" t="str">
        <x:v>Your trip looks good</x:v>
      </x:c>
      <x:c r="I1646" s="71" t="str">
        <x:v>Your trip looks good</x:v>
      </x:c>
      <x:c r="J1646" s="73"/>
      <x:c r="K1646" s="74" t="str">
        <x:f>IF(J1646="",H1646,IF(J1646=I1646,I1646,J1646))</x:f>
        <x:v>Your trip looks good</x:v>
      </x:c>
      <x:c r="L1646" s="74" t="str">
        <x:f>IF(J1646="","Keep current",IF(J1646=I1646,"Use suggestion","Custom"))</x:f>
        <x:v>Keep current</x:v>
      </x:c>
      <x:c r="M1646" s="71" t="str">
        <x:v>Pending review</x:v>
      </x:c>
      <x:c r="N1646" s="71" t="str">
        <x:v>Normal</x:v>
      </x:c>
      <x:c r="O1646" s="71" t="str">
        <x:v>components/journey-map-planner-workspace.tsx</x:v>
      </x:c>
      <x:c r="P1646" s="71" t="str">
        <x:v>JourneyMapPlannerWorkspace:1720</x:v>
      </x:c>
      <x:c r="Q1646" s="71" t="str">
        <x:v>EN</x:v>
      </x:c>
      <x:c r="R1646" s="71" t="str">
        <x:v>Already clear and direct; suggested wording intentionally keeps the current copy. Terminology watch: ‘trip’ and ‘journey’ both describe the same plan. Terminology watch: ‘stops’, ‘destinations’ and ‘places’ overlap.</x:v>
      </x:c>
      <x:c r="S1646" s="75" t="str">
        <x:v>Not applied — review required</x:v>
      </x:c>
    </x:row>
    <x:row r="1647">
      <x:c r="A1647" s="71" t="str">
        <x:v>MRV-D3E376E603</x:v>
      </x:c>
      <x:c r="B1647" s="71" t="str">
        <x:v>Planning</x:v>
      </x:c>
      <x:c r="C1647" s="71" t="str">
        <x:v>Planner recommendations</x:v>
      </x:c>
      <x:c r="D1647" s="71" t="str">
        <x:v>Shared planner output</x:v>
      </x:c>
      <x:c r="E1647" s="71" t="str">
        <x:v>JourneyMapPlannerWorkspace</x:v>
      </x:c>
      <x:c r="F1647" s="71" t="str">
        <x:v>Default</x:v>
      </x:c>
      <x:c r="G1647" s="71" t="str">
        <x:v>Body copy</x:v>
      </x:c>
      <x:c r="H1647" s="71" t="str">
        <x:v>Empieza por lo más importante</x:v>
      </x:c>
      <x:c r="I1647" s="71" t="str">
        <x:v>Empieza por lo más importante</x:v>
      </x:c>
      <x:c r="J1647" s="73"/>
      <x:c r="K1647" s="74" t="str">
        <x:f>IF(J1647="",H1647,IF(J1647=I1647,I1647,J1647))</x:f>
        <x:v>Empieza por lo más importante</x:v>
      </x:c>
      <x:c r="L1647" s="74" t="str">
        <x:f>IF(J1647="","Keep current",IF(J1647=I1647,"Use suggestion","Custom"))</x:f>
        <x:v>Keep current</x:v>
      </x:c>
      <x:c r="M1647" s="71" t="str">
        <x:v>Pending review</x:v>
      </x:c>
      <x:c r="N1647" s="71" t="str">
        <x:v>Normal</x:v>
      </x:c>
      <x:c r="O1647" s="71" t="str">
        <x:v>components/journey-map-planner-workspace.tsx</x:v>
      </x:c>
      <x:c r="P1647" s="71" t="str">
        <x:v>JourneyMapPlannerWorkspace:1720</x:v>
      </x:c>
      <x:c r="Q1647" s="71" t="str">
        <x:v>ES</x:v>
      </x:c>
      <x:c r="R1647" s="71" t="str">
        <x:v>Already clear and direct; suggested wording intentionally keeps the current copy.</x:v>
      </x:c>
      <x:c r="S1647" s="75" t="str">
        <x:v>Not applied — review required</x:v>
      </x:c>
    </x:row>
    <x:row r="1648">
      <x:c r="A1648" s="71" t="str">
        <x:v>MRV-447F53D288</x:v>
      </x:c>
      <x:c r="B1648" s="71" t="str">
        <x:v>Planning</x:v>
      </x:c>
      <x:c r="C1648" s="71" t="str">
        <x:v>Planner recommendations</x:v>
      </x:c>
      <x:c r="D1648" s="71" t="str">
        <x:v>Shared planner output</x:v>
      </x:c>
      <x:c r="E1648" s="71" t="str">
        <x:v>JourneyMapPlannerWorkspace</x:v>
      </x:c>
      <x:c r="F1648" s="71" t="str">
        <x:v>Default</x:v>
      </x:c>
      <x:c r="G1648" s="71" t="str">
        <x:v>CTA / button</x:v>
      </x:c>
      <x:c r="H1648" s="71" t="str">
        <x:v>Start with the highest-priority checks</x:v>
      </x:c>
      <x:c r="I1648" s="71" t="str">
        <x:v>Start with the highest-priority checks</x:v>
      </x:c>
      <x:c r="J1648" s="73"/>
      <x:c r="K1648" s="74" t="str">
        <x:f>IF(J1648="",H1648,IF(J1648=I1648,I1648,J1648))</x:f>
        <x:v>Start with the highest-priority checks</x:v>
      </x:c>
      <x:c r="L1648" s="74" t="str">
        <x:f>IF(J1648="","Keep current",IF(J1648=I1648,"Use suggestion","Custom"))</x:f>
        <x:v>Keep current</x:v>
      </x:c>
      <x:c r="M1648" s="71" t="str">
        <x:v>Pending review</x:v>
      </x:c>
      <x:c r="N1648" s="71" t="str">
        <x:v>Medium</x:v>
      </x:c>
      <x:c r="O1648" s="71" t="str">
        <x:v>components/journey-map-planner-workspace.tsx</x:v>
      </x:c>
      <x:c r="P1648" s="71" t="str">
        <x:v>JourneyMapPlannerWorkspace:1720</x:v>
      </x:c>
      <x:c r="Q1648" s="71" t="str">
        <x:v>EN</x:v>
      </x:c>
      <x:c r="R1648" s="71" t="str">
        <x:v>Already clear and direct; suggested wording intentionally keeps the current copy.</x:v>
      </x:c>
      <x:c r="S1648" s="75" t="str">
        <x:v>Not applied — review required</x:v>
      </x:c>
    </x:row>
    <x:row r="1649">
      <x:c r="A1649" s="71" t="str">
        <x:v>MRV-3A9709C6C2</x:v>
      </x:c>
      <x:c r="B1649" s="71" t="str">
        <x:v>Planning</x:v>
      </x:c>
      <x:c r="C1649" s="71" t="str">
        <x:v>Planner recommendations</x:v>
      </x:c>
      <x:c r="D1649" s="71" t="str">
        <x:v>Shared planner output</x:v>
      </x:c>
      <x:c r="E1649" s="71" t="str">
        <x:v>JourneyMapPlannerWorkspace</x:v>
      </x:c>
      <x:c r="F1649" s="71" t="str">
        <x:v>Default</x:v>
      </x:c>
      <x:c r="G1649" s="71" t="str">
        <x:v>Label</x:v>
      </x:c>
      <x:c r="H1649" s="71" t="str">
        <x:v>Accommodation</x:v>
      </x:c>
      <x:c r="I1649" s="71" t="str">
        <x:v>Accommodation</x:v>
      </x:c>
      <x:c r="J1649" s="73"/>
      <x:c r="K1649" s="74" t="str">
        <x:f>IF(J1649="",H1649,IF(J1649=I1649,I1649,J1649))</x:f>
        <x:v>Accommodation</x:v>
      </x:c>
      <x:c r="L1649" s="74" t="str">
        <x:f>IF(J1649="","Keep current",IF(J1649=I1649,"Use suggestion","Custom"))</x:f>
        <x:v>Keep current</x:v>
      </x:c>
      <x:c r="M1649" s="71" t="str">
        <x:v>Pending review</x:v>
      </x:c>
      <x:c r="N1649" s="71" t="str">
        <x:v>Normal</x:v>
      </x:c>
      <x:c r="O1649" s="71" t="str">
        <x:v>components/journey-map-planner-workspace.tsx</x:v>
      </x:c>
      <x:c r="P1649" s="71" t="str">
        <x:v>JourneyMapPlannerWorkspace:1722</x:v>
      </x:c>
      <x:c r="Q1649" s="71" t="str">
        <x:v>EN (default / shared)</x:v>
      </x:c>
      <x:c r="R1649" s="71" t="str">
        <x:v>Already clear and direct; suggested wording intentionally keeps the current copy. Duplicate wording: appears 3 times.</x:v>
      </x:c>
      <x:c r="S1649" s="75" t="str">
        <x:v>Not applied — review required</x:v>
      </x:c>
    </x:row>
    <x:row r="1650">
      <x:c r="A1650" s="71" t="str">
        <x:v>MRV-422ABA432B</x:v>
      </x:c>
      <x:c r="B1650" s="71" t="str">
        <x:v>Planning</x:v>
      </x:c>
      <x:c r="C1650" s="71" t="str">
        <x:v>Planner recommendations</x:v>
      </x:c>
      <x:c r="D1650" s="71" t="str">
        <x:v>Shared planner output</x:v>
      </x:c>
      <x:c r="E1650" s="71" t="str">
        <x:v>JourneyMapPlannerWorkspace</x:v>
      </x:c>
      <x:c r="F1650" s="71" t="str">
        <x:v>Default</x:v>
      </x:c>
      <x:c r="G1650" s="71" t="str">
        <x:v>Body copy</x:v>
      </x:c>
      <x:c r="H1650" s="71" t="str">
        <x:v>{accommodation.sortedCount} of {accommodation.stops.length} stays sorted</x:v>
      </x:c>
      <x:c r="I1650" s="71" t="str">
        <x:v>{accommodation.sortedCount} of {accommodation.stops.length} stays sorted</x:v>
      </x:c>
      <x:c r="J1650" s="73"/>
      <x:c r="K1650" s="74" t="str">
        <x:f>IF(J1650="",H1650,IF(J1650=I1650,I1650,J1650))</x:f>
        <x:v>{accommodation.sortedCount} of {accommodation.stops.length} stays sorted</x:v>
      </x:c>
      <x:c r="L1650" s="74" t="str">
        <x:f>IF(J1650="","Keep current",IF(J1650=I1650,"Use suggestion","Custom"))</x:f>
        <x:v>Keep current</x:v>
      </x:c>
      <x:c r="M1650" s="71" t="str">
        <x:v>Pending review</x:v>
      </x:c>
      <x:c r="N1650" s="71" t="str">
        <x:v>Normal</x:v>
      </x:c>
      <x:c r="O1650" s="71" t="str">
        <x:v>components/journey-map-planner-workspace.tsx</x:v>
      </x:c>
      <x:c r="P1650" s="71" t="str">
        <x:v>JourneyMapPlannerWorkspace:1722</x:v>
      </x:c>
      <x:c r="Q1650" s="71" t="str">
        <x:v>EN (default / shared)</x:v>
      </x:c>
      <x:c r="R1650"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650" s="75" t="str">
        <x:v>Not applied — review required</x:v>
      </x:c>
    </x:row>
    <x:row r="1651">
      <x:c r="A1651" s="71" t="str">
        <x:v>MRV-BAFE265E0B</x:v>
      </x:c>
      <x:c r="B1651" s="71" t="str">
        <x:v>Planning</x:v>
      </x:c>
      <x:c r="C1651" s="71" t="str">
        <x:v>Planner recommendations</x:v>
      </x:c>
      <x:c r="D1651" s="71" t="str">
        <x:v>Shared planner output</x:v>
      </x:c>
      <x:c r="E1651" s="71" t="str">
        <x:v>JourneyMapPlannerWorkspace</x:v>
      </x:c>
      <x:c r="F1651" s="71" t="str">
        <x:v>Default</x:v>
      </x:c>
      <x:c r="G1651" s="71" t="str">
        <x:v>Label</x:v>
      </x:c>
      <x:c r="H1651" s="71" t="str">
        <x:v>No overnight stays</x:v>
      </x:c>
      <x:c r="I1651" s="71" t="str">
        <x:v>No overnight stays</x:v>
      </x:c>
      <x:c r="J1651" s="73"/>
      <x:c r="K1651" s="74" t="str">
        <x:f>IF(J1651="",H1651,IF(J1651=I1651,I1651,J1651))</x:f>
        <x:v>No overnight stays</x:v>
      </x:c>
      <x:c r="L1651" s="74" t="str">
        <x:f>IF(J1651="","Keep current",IF(J1651=I1651,"Use suggestion","Custom"))</x:f>
        <x:v>Keep current</x:v>
      </x:c>
      <x:c r="M1651" s="71" t="str">
        <x:v>Pending review</x:v>
      </x:c>
      <x:c r="N1651" s="71" t="str">
        <x:v>Normal</x:v>
      </x:c>
      <x:c r="O1651" s="71" t="str">
        <x:v>components/journey-map-planner-workspace.tsx</x:v>
      </x:c>
      <x:c r="P1651" s="71" t="str">
        <x:v>JourneyMapPlannerWorkspace:1722</x:v>
      </x:c>
      <x:c r="Q1651" s="71" t="str">
        <x:v>EN (default / shared)</x:v>
      </x:c>
      <x:c r="R1651" s="71" t="str">
        <x:v>Already clear and direct; suggested wording intentionally keeps the current copy.</x:v>
      </x:c>
      <x:c r="S1651" s="75" t="str">
        <x:v>Not applied — review required</x:v>
      </x:c>
    </x:row>
    <x:row r="1652">
      <x:c r="A1652" s="71" t="str">
        <x:v>MRV-FC2FFD094F</x:v>
      </x:c>
      <x:c r="B1652" s="71" t="str">
        <x:v>Planning</x:v>
      </x:c>
      <x:c r="C1652" s="71" t="str">
        <x:v>Planner recommendations</x:v>
      </x:c>
      <x:c r="D1652" s="71" t="str">
        <x:v>Shared planner output</x:v>
      </x:c>
      <x:c r="E1652" s="71" t="str">
        <x:v>JourneyMapPlannerWorkspace</x:v>
      </x:c>
      <x:c r="F1652" s="71" t="str">
        <x:v>Default</x:v>
      </x:c>
      <x:c r="G1652" s="71" t="str">
        <x:v>Label</x:v>
      </x:c>
      <x:c r="H1652" s="71" t="str">
        <x:v>Travel time</x:v>
      </x:c>
      <x:c r="I1652" s="71" t="str">
        <x:v>Travel time</x:v>
      </x:c>
      <x:c r="J1652" s="73"/>
      <x:c r="K1652" s="74" t="str">
        <x:f>IF(J1652="",H1652,IF(J1652=I1652,I1652,J1652))</x:f>
        <x:v>Travel time</x:v>
      </x:c>
      <x:c r="L1652" s="74" t="str">
        <x:f>IF(J1652="","Keep current",IF(J1652=I1652,"Use suggestion","Custom"))</x:f>
        <x:v>Keep current</x:v>
      </x:c>
      <x:c r="M1652" s="71" t="str">
        <x:v>Pending review</x:v>
      </x:c>
      <x:c r="N1652" s="71" t="str">
        <x:v>Normal</x:v>
      </x:c>
      <x:c r="O1652" s="71" t="str">
        <x:v>components/journey-map-planner-workspace.tsx</x:v>
      </x:c>
      <x:c r="P1652" s="71" t="str">
        <x:v>JourneyMapPlannerWorkspace:1723</x:v>
      </x:c>
      <x:c r="Q1652" s="71" t="str">
        <x:v>EN (default / shared)</x:v>
      </x:c>
      <x:c r="R1652" s="71" t="str">
        <x:v>Already clear and direct; suggested wording intentionally keeps the current copy. Duplicate wording: appears 2 times.</x:v>
      </x:c>
      <x:c r="S1652" s="75" t="str">
        <x:v>Not applied — review required</x:v>
      </x:c>
    </x:row>
    <x:row r="1653">
      <x:c r="A1653" s="71" t="str">
        <x:v>MRV-C6EBFF58ED</x:v>
      </x:c>
      <x:c r="B1653" s="71" t="str">
        <x:v>Planning</x:v>
      </x:c>
      <x:c r="C1653" s="71" t="str">
        <x:v>Planner recommendations</x:v>
      </x:c>
      <x:c r="D1653" s="71" t="str">
        <x:v>Shared planner output</x:v>
      </x:c>
      <x:c r="E1653" s="71" t="str">
        <x:v>JourneyMapPlannerWorkspace</x:v>
      </x:c>
      <x:c r="F1653" s="71" t="str">
        <x:v>Default</x:v>
      </x:c>
      <x:c r="G1653" s="71" t="str">
        <x:v>Label</x:v>
      </x:c>
      <x:c r="H1653" s="71" t="str">
        <x:v>Needs a decision</x:v>
      </x:c>
      <x:c r="I1653" s="71" t="str">
        <x:v>Needs a decision</x:v>
      </x:c>
      <x:c r="J1653" s="73"/>
      <x:c r="K1653" s="74" t="str">
        <x:f>IF(J1653="",H1653,IF(J1653=I1653,I1653,J1653))</x:f>
        <x:v>Needs a decision</x:v>
      </x:c>
      <x:c r="L1653" s="74" t="str">
        <x:f>IF(J1653="","Keep current",IF(J1653=I1653,"Use suggestion","Custom"))</x:f>
        <x:v>Keep current</x:v>
      </x:c>
      <x:c r="M1653" s="71" t="str">
        <x:v>Pending review</x:v>
      </x:c>
      <x:c r="N1653" s="71" t="str">
        <x:v>Normal</x:v>
      </x:c>
      <x:c r="O1653" s="71" t="str">
        <x:v>components/journey-map-planner-workspace.tsx</x:v>
      </x:c>
      <x:c r="P1653" s="71" t="str">
        <x:v>JourneyMapPlannerWorkspace:1723</x:v>
      </x:c>
      <x:c r="Q1653" s="71" t="str">
        <x:v>EN (default / shared)</x:v>
      </x:c>
      <x:c r="R1653" s="71" t="str">
        <x:v>Already clear and direct; suggested wording intentionally keeps the current copy.</x:v>
      </x:c>
      <x:c r="S1653" s="75" t="str">
        <x:v>Not applied — review required</x:v>
      </x:c>
    </x:row>
    <x:row r="1654">
      <x:c r="A1654" s="71" t="str">
        <x:v>MRV-D8DBC341BD</x:v>
      </x:c>
      <x:c r="B1654" s="71" t="str">
        <x:v>Planning</x:v>
      </x:c>
      <x:c r="C1654" s="71" t="str">
        <x:v>Planner recommendations</x:v>
      </x:c>
      <x:c r="D1654" s="71" t="str">
        <x:v>Shared planner output</x:v>
      </x:c>
      <x:c r="E1654" s="71" t="str">
        <x:v>JourneyMapPlannerWorkspace</x:v>
      </x:c>
      <x:c r="F1654" s="71" t="str">
        <x:v>Default</x:v>
      </x:c>
      <x:c r="G1654" s="71" t="str">
        <x:v>Label</x:v>
      </x:c>
      <x:c r="H1654" s="71" t="str">
        <x:v>Well paced</x:v>
      </x:c>
      <x:c r="I1654" s="71" t="str">
        <x:v>Well paced</x:v>
      </x:c>
      <x:c r="J1654" s="73"/>
      <x:c r="K1654" s="74" t="str">
        <x:f>IF(J1654="",H1654,IF(J1654=I1654,I1654,J1654))</x:f>
        <x:v>Well paced</x:v>
      </x:c>
      <x:c r="L1654" s="74" t="str">
        <x:f>IF(J1654="","Keep current",IF(J1654=I1654,"Use suggestion","Custom"))</x:f>
        <x:v>Keep current</x:v>
      </x:c>
      <x:c r="M1654" s="71" t="str">
        <x:v>Pending review</x:v>
      </x:c>
      <x:c r="N1654" s="71" t="str">
        <x:v>Normal</x:v>
      </x:c>
      <x:c r="O1654" s="71" t="str">
        <x:v>components/journey-map-planner-workspace.tsx</x:v>
      </x:c>
      <x:c r="P1654" s="71" t="str">
        <x:v>JourneyMapPlannerWorkspace:1723</x:v>
      </x:c>
      <x:c r="Q1654" s="71" t="str">
        <x:v>EN (default / shared)</x:v>
      </x:c>
      <x:c r="R1654" s="71" t="str">
        <x:v>Already clear and direct; suggested wording intentionally keeps the current copy.</x:v>
      </x:c>
      <x:c r="S1654" s="75" t="str">
        <x:v>Not applied — review required</x:v>
      </x:c>
    </x:row>
    <x:row r="1655">
      <x:c r="A1655" s="71" t="str">
        <x:v>MRV-23DB162707</x:v>
      </x:c>
      <x:c r="B1655" s="71" t="str">
        <x:v>Planning</x:v>
      </x:c>
      <x:c r="C1655" s="71" t="str">
        <x:v>Planner recommendations</x:v>
      </x:c>
      <x:c r="D1655" s="71" t="str">
        <x:v>Shared planner output</x:v>
      </x:c>
      <x:c r="E1655" s="71" t="str">
        <x:v>JourneyMapPlannerWorkspace</x:v>
      </x:c>
      <x:c r="F1655" s="71" t="str">
        <x:v>Default</x:v>
      </x:c>
      <x:c r="G1655" s="71" t="str">
        <x:v>Label</x:v>
      </x:c>
      <x:c r="H1655" s="71" t="str">
        <x:v>Things to do</x:v>
      </x:c>
      <x:c r="I1655" s="71" t="str">
        <x:v>Things to do</x:v>
      </x:c>
      <x:c r="J1655" s="73"/>
      <x:c r="K1655" s="74" t="str">
        <x:f>IF(J1655="",H1655,IF(J1655=I1655,I1655,J1655))</x:f>
        <x:v>Things to do</x:v>
      </x:c>
      <x:c r="L1655" s="74" t="str">
        <x:f>IF(J1655="","Keep current",IF(J1655=I1655,"Use suggestion","Custom"))</x:f>
        <x:v>Keep current</x:v>
      </x:c>
      <x:c r="M1655" s="71" t="str">
        <x:v>Pending review</x:v>
      </x:c>
      <x:c r="N1655" s="71" t="str">
        <x:v>Normal</x:v>
      </x:c>
      <x:c r="O1655" s="71" t="str">
        <x:v>components/journey-map-planner-workspace.tsx</x:v>
      </x:c>
      <x:c r="P1655" s="71" t="str">
        <x:v>JourneyMapPlannerWorkspace:1724</x:v>
      </x:c>
      <x:c r="Q1655" s="71" t="str">
        <x:v>EN (default / shared)</x:v>
      </x:c>
      <x:c r="R1655" s="71" t="str">
        <x:v>Already clear and direct; suggested wording intentionally keeps the current copy. Duplicate wording: appears 2 times.</x:v>
      </x:c>
      <x:c r="S1655" s="75" t="str">
        <x:v>Not applied — review required</x:v>
      </x:c>
    </x:row>
    <x:row r="1656">
      <x:c r="A1656" s="71" t="str">
        <x:v>MRV-A919307E2C</x:v>
      </x:c>
      <x:c r="B1656" s="71" t="str">
        <x:v>Planning</x:v>
      </x:c>
      <x:c r="C1656" s="71" t="str">
        <x:v>Planner recommendations</x:v>
      </x:c>
      <x:c r="D1656" s="71" t="str">
        <x:v>Shared planner output</x:v>
      </x:c>
      <x:c r="E1656" s="71" t="str">
        <x:v>JourneyMapPlannerWorkspace</x:v>
      </x:c>
      <x:c r="F1656" s="71" t="str">
        <x:v>Default</x:v>
      </x:c>
      <x:c r="G1656" s="71" t="str">
        <x:v>Label</x:v>
      </x:c>
      <x:c r="H1656" s="71" t="str">
        <x:v>Budget</x:v>
      </x:c>
      <x:c r="I1656" s="71" t="str">
        <x:v>Budget</x:v>
      </x:c>
      <x:c r="J1656" s="73"/>
      <x:c r="K1656" s="74" t="str">
        <x:f>IF(J1656="",H1656,IF(J1656=I1656,I1656,J1656))</x:f>
        <x:v>Budget</x:v>
      </x:c>
      <x:c r="L1656" s="74" t="str">
        <x:f>IF(J1656="","Keep current",IF(J1656=I1656,"Use suggestion","Custom"))</x:f>
        <x:v>Keep current</x:v>
      </x:c>
      <x:c r="M1656" s="71" t="str">
        <x:v>Pending review</x:v>
      </x:c>
      <x:c r="N1656" s="71" t="str">
        <x:v>Normal</x:v>
      </x:c>
      <x:c r="O1656" s="71" t="str">
        <x:v>components/journey-map-planner-workspace.tsx</x:v>
      </x:c>
      <x:c r="P1656" s="71" t="str">
        <x:v>JourneyMapPlannerWorkspace:1725</x:v>
      </x:c>
      <x:c r="Q1656" s="71" t="str">
        <x:v>EN (default / shared)</x:v>
      </x:c>
      <x:c r="R1656" s="71" t="str">
        <x:v>Already clear and direct; suggested wording intentionally keeps the current copy. Duplicate wording: appears 2 times.</x:v>
      </x:c>
      <x:c r="S1656" s="75" t="str">
        <x:v>Not applied — review required</x:v>
      </x:c>
    </x:row>
    <x:row r="1657">
      <x:c r="A1657" s="71" t="str">
        <x:v>MRV-F3A5F6C59A</x:v>
      </x:c>
      <x:c r="B1657" s="71" t="str">
        <x:v>Planning</x:v>
      </x:c>
      <x:c r="C1657" s="71" t="str">
        <x:v>Planner recommendations</x:v>
      </x:c>
      <x:c r="D1657" s="71" t="str">
        <x:v>Shared planner output</x:v>
      </x:c>
      <x:c r="E1657" s="71" t="str">
        <x:v>JourneyMapPlannerWorkspace</x:v>
      </x:c>
      <x:c r="F1657" s="71" t="str">
        <x:v>Default</x:v>
      </x:c>
      <x:c r="G1657" s="71" t="str">
        <x:v>Label</x:v>
      </x:c>
      <x:c r="H1657" s="71" t="str">
        <x:v>Preference saved</x:v>
      </x:c>
      <x:c r="I1657" s="71" t="str">
        <x:v>Preference saved</x:v>
      </x:c>
      <x:c r="J1657" s="73"/>
      <x:c r="K1657" s="74" t="str">
        <x:f>IF(J1657="",H1657,IF(J1657=I1657,I1657,J1657))</x:f>
        <x:v>Preference saved</x:v>
      </x:c>
      <x:c r="L1657" s="74" t="str">
        <x:f>IF(J1657="","Keep current",IF(J1657=I1657,"Use suggestion","Custom"))</x:f>
        <x:v>Keep current</x:v>
      </x:c>
      <x:c r="M1657" s="71" t="str">
        <x:v>Pending review</x:v>
      </x:c>
      <x:c r="N1657" s="71" t="str">
        <x:v>Normal</x:v>
      </x:c>
      <x:c r="O1657" s="71" t="str">
        <x:v>components/journey-map-planner-workspace.tsx</x:v>
      </x:c>
      <x:c r="P1657" s="71" t="str">
        <x:v>JourneyMapPlannerWorkspace:1725</x:v>
      </x:c>
      <x:c r="Q1657" s="71" t="str">
        <x:v>EN (default / shared)</x:v>
      </x:c>
      <x:c r="R1657" s="71" t="str">
        <x:v>Already clear and direct; suggested wording intentionally keeps the current copy.</x:v>
      </x:c>
      <x:c r="S1657" s="75" t="str">
        <x:v>Not applied — review required</x:v>
      </x:c>
    </x:row>
    <x:row r="1658">
      <x:c r="A1658" s="71" t="str">
        <x:v>MRV-C9FF6A632C</x:v>
      </x:c>
      <x:c r="B1658" s="71" t="str">
        <x:v>Planning</x:v>
      </x:c>
      <x:c r="C1658" s="71" t="str">
        <x:v>Planner recommendations</x:v>
      </x:c>
      <x:c r="D1658" s="71" t="str">
        <x:v>Shared planner output</x:v>
      </x:c>
      <x:c r="E1658" s="71" t="str">
        <x:v>JourneyMapPlannerWorkspace</x:v>
      </x:c>
      <x:c r="F1658" s="71" t="str">
        <x:v>Default</x:v>
      </x:c>
      <x:c r="G1658" s="71" t="str">
        <x:v>Label</x:v>
      </x:c>
      <x:c r="H1658" s="71" t="str">
        <x:v>Not set</x:v>
      </x:c>
      <x:c r="I1658" s="71" t="str">
        <x:v>Not set</x:v>
      </x:c>
      <x:c r="J1658" s="73"/>
      <x:c r="K1658" s="74" t="str">
        <x:f>IF(J1658="",H1658,IF(J1658=I1658,I1658,J1658))</x:f>
        <x:v>Not set</x:v>
      </x:c>
      <x:c r="L1658" s="74" t="str">
        <x:f>IF(J1658="","Keep current",IF(J1658=I1658,"Use suggestion","Custom"))</x:f>
        <x:v>Keep current</x:v>
      </x:c>
      <x:c r="M1658" s="71" t="str">
        <x:v>Pending review</x:v>
      </x:c>
      <x:c r="N1658" s="71" t="str">
        <x:v>Normal</x:v>
      </x:c>
      <x:c r="O1658" s="71" t="str">
        <x:v>components/journey-map-planner-workspace.tsx</x:v>
      </x:c>
      <x:c r="P1658" s="71" t="str">
        <x:v>JourneyMapPlannerWorkspace:1725</x:v>
      </x:c>
      <x:c r="Q1658" s="71" t="str">
        <x:v>EN (default / shared)</x:v>
      </x:c>
      <x:c r="R1658" s="71" t="str">
        <x:v>Already clear and direct; suggested wording intentionally keeps the current copy.</x:v>
      </x:c>
      <x:c r="S1658" s="75" t="str">
        <x:v>Not applied — review required</x:v>
      </x:c>
    </x:row>
    <x:row r="1659">
      <x:c r="A1659" s="71" t="str">
        <x:v>MRV-BEF1E46DF1</x:v>
      </x:c>
      <x:c r="B1659" s="71" t="str">
        <x:v>Planning</x:v>
      </x:c>
      <x:c r="C1659" s="71" t="str">
        <x:v>Planner recommendations</x:v>
      </x:c>
      <x:c r="D1659" s="71" t="str">
        <x:v>Shared planner output</x:v>
      </x:c>
      <x:c r="E1659" s="71" t="str">
        <x:v>JourneyMapPlannerWorkspace</x:v>
      </x:c>
      <x:c r="F1659" s="71" t="str">
        <x:v>Default</x:v>
      </x:c>
      <x:c r="G1659" s="71" t="str">
        <x:v>Label</x:v>
      </x:c>
      <x:c r="H1659" s="71" t="str">
        <x:v>Hide details</x:v>
      </x:c>
      <x:c r="I1659" s="71" t="str">
        <x:v>Hide details</x:v>
      </x:c>
      <x:c r="J1659" s="73"/>
      <x:c r="K1659" s="74" t="str">
        <x:f>IF(J1659="",H1659,IF(J1659=I1659,I1659,J1659))</x:f>
        <x:v>Hide details</x:v>
      </x:c>
      <x:c r="L1659" s="74" t="str">
        <x:f>IF(J1659="","Keep current",IF(J1659=I1659,"Use suggestion","Custom"))</x:f>
        <x:v>Keep current</x:v>
      </x:c>
      <x:c r="M1659" s="71" t="str">
        <x:v>Pending review</x:v>
      </x:c>
      <x:c r="N1659" s="71" t="str">
        <x:v>Normal</x:v>
      </x:c>
      <x:c r="O1659" s="71" t="str">
        <x:v>components/journey-map-planner-workspace.tsx</x:v>
      </x:c>
      <x:c r="P1659" s="71" t="str">
        <x:v>JourneyMapPlannerWorkspace:1727</x:v>
      </x:c>
      <x:c r="Q1659" s="71" t="str">
        <x:v>EN (default / shared)</x:v>
      </x:c>
      <x:c r="R1659" s="71" t="str">
        <x:v>Already clear and direct; suggested wording intentionally keeps the current copy.</x:v>
      </x:c>
      <x:c r="S1659" s="75" t="str">
        <x:v>Not applied — review required</x:v>
      </x:c>
    </x:row>
    <x:row r="1660">
      <x:c r="A1660" s="71" t="str">
        <x:v>MRV-7A9431DE4D</x:v>
      </x:c>
      <x:c r="B1660" s="71" t="str">
        <x:v>Planning</x:v>
      </x:c>
      <x:c r="C1660" s="71" t="str">
        <x:v>Planner recommendations</x:v>
      </x:c>
      <x:c r="D1660" s="71" t="str">
        <x:v>Shared planner output</x:v>
      </x:c>
      <x:c r="E1660" s="71" t="str">
        <x:v>JourneyMapPlannerWorkspace</x:v>
      </x:c>
      <x:c r="F1660" s="71" t="str">
        <x:v>Default</x:v>
      </x:c>
      <x:c r="G1660" s="71" t="str">
        <x:v>CTA / button</x:v>
      </x:c>
      <x:c r="H1660" s="71" t="str">
        <x:v>View details</x:v>
      </x:c>
      <x:c r="I1660" s="71" t="str">
        <x:v>View details</x:v>
      </x:c>
      <x:c r="J1660" s="73"/>
      <x:c r="K1660" s="74" t="str">
        <x:f>IF(J1660="",H1660,IF(J1660=I1660,I1660,J1660))</x:f>
        <x:v>View details</x:v>
      </x:c>
      <x:c r="L1660" s="74" t="str">
        <x:f>IF(J1660="","Keep current",IF(J1660=I1660,"Use suggestion","Custom"))</x:f>
        <x:v>Keep current</x:v>
      </x:c>
      <x:c r="M1660" s="71" t="str">
        <x:v>Pending review</x:v>
      </x:c>
      <x:c r="N1660" s="71" t="str">
        <x:v>Medium</x:v>
      </x:c>
      <x:c r="O1660" s="71" t="str">
        <x:v>components/journey-map-planner-workspace.tsx</x:v>
      </x:c>
      <x:c r="P1660" s="71" t="str">
        <x:v>JourneyMapPlannerWorkspace:1727</x:v>
      </x:c>
      <x:c r="Q1660" s="71" t="str">
        <x:v>EN (default / shared)</x:v>
      </x:c>
      <x:c r="R1660" s="71" t="str">
        <x:v>Already clear and direct; suggested wording intentionally keeps the current copy. Duplicate wording: appears 2 times.</x:v>
      </x:c>
      <x:c r="S1660" s="75" t="str">
        <x:v>Not applied — review required</x:v>
      </x:c>
    </x:row>
    <x:row r="1661">
      <x:c r="A1661" s="71" t="str">
        <x:v>MRV-32708F8A71</x:v>
      </x:c>
      <x:c r="B1661" s="71" t="str">
        <x:v>Planning</x:v>
      </x:c>
      <x:c r="C1661" s="71" t="str">
        <x:v>Planner recommendations</x:v>
      </x:c>
      <x:c r="D1661" s="71" t="str">
        <x:v>Shared planner output</x:v>
      </x:c>
      <x:c r="E1661" s="71" t="str">
        <x:v>JourneyMapPlannerWorkspace</x:v>
      </x:c>
      <x:c r="F1661" s="71" t="str">
        <x:v>Default</x:v>
      </x:c>
      <x:c r="G1661" s="71" t="str">
        <x:v>Body copy</x:v>
      </x:c>
      <x:c r="H1661" s="71" t="str">
        <x:v>{health.blockingCount} {healthCopy.blocking}</x:v>
      </x:c>
      <x:c r="I1661" s="71" t="str">
        <x:v>{health.blockingCount} {healthCopy.blocking}</x:v>
      </x:c>
      <x:c r="J1661" s="73"/>
      <x:c r="K1661" s="74" t="str">
        <x:f>IF(J1661="",H1661,IF(J1661=I1661,I1661,J1661))</x:f>
        <x:v>{health.blockingCount} {healthCopy.blocking}</x:v>
      </x:c>
      <x:c r="L1661" s="74" t="str">
        <x:f>IF(J1661="","Keep current",IF(J1661=I1661,"Use suggestion","Custom"))</x:f>
        <x:v>Keep current</x:v>
      </x:c>
      <x:c r="M1661" s="71" t="str">
        <x:v>Pending review</x:v>
      </x:c>
      <x:c r="N1661" s="71" t="str">
        <x:v>Normal</x:v>
      </x:c>
      <x:c r="O1661" s="71" t="str">
        <x:v>components/journey-map-planner-workspace.tsx</x:v>
      </x:c>
      <x:c r="P1661" s="71" t="str">
        <x:v>JourneyMapPlannerWorkspace:1738</x:v>
      </x:c>
      <x:c r="Q1661" s="71" t="str">
        <x:v>EN (default / shared)</x:v>
      </x:c>
      <x:c r="R1661" s="71" t="str">
        <x:v>Already clear and direct; suggested wording intentionally keeps the current copy. Dynamic traveller or trip value is represented as a token; user-generated values are excluded.</x:v>
      </x:c>
      <x:c r="S1661" s="75" t="str">
        <x:v>Not applied — review required</x:v>
      </x:c>
    </x:row>
    <x:row r="1662">
      <x:c r="A1662" s="71" t="str">
        <x:v>MRV-5A2DDE9122</x:v>
      </x:c>
      <x:c r="B1662" s="71" t="str">
        <x:v>Planning</x:v>
      </x:c>
      <x:c r="C1662" s="71" t="str">
        <x:v>Planner recommendations</x:v>
      </x:c>
      <x:c r="D1662" s="71" t="str">
        <x:v>Shared planner output</x:v>
      </x:c>
      <x:c r="E1662" s="71" t="str">
        <x:v>JourneyMapPlannerWorkspace</x:v>
      </x:c>
      <x:c r="F1662" s="71" t="str">
        <x:v>Default</x:v>
      </x:c>
      <x:c r="G1662" s="71" t="str">
        <x:v>Body copy</x:v>
      </x:c>
      <x:c r="H1662" s="71" t="str">
        <x:v>{health?.openIssueCount ?? 0} {language === "es" ? "revisiones" : "to review"}</x:v>
      </x:c>
      <x:c r="I1662" s="71" t="str">
        <x:v>{health?.openIssueCount ?? 0} {language === "es" ? "revisiones" : "to review"}</x:v>
      </x:c>
      <x:c r="J1662" s="73"/>
      <x:c r="K1662" s="74" t="str">
        <x:f>IF(J1662="",H1662,IF(J1662=I1662,I1662,J1662))</x:f>
        <x:v>{health?.openIssueCount ?? 0} {language === "es" ? "revisiones" : "to review"}</x:v>
      </x:c>
      <x:c r="L1662" s="74" t="str">
        <x:f>IF(J1662="","Keep current",IF(J1662=I1662,"Use suggestion","Custom"))</x:f>
        <x:v>Keep current</x:v>
      </x:c>
      <x:c r="M1662" s="71" t="str">
        <x:v>Pending review</x:v>
      </x:c>
      <x:c r="N1662" s="71" t="str">
        <x:v>Normal</x:v>
      </x:c>
      <x:c r="O1662" s="71" t="str">
        <x:v>components/journey-map-planner-workspace.tsx</x:v>
      </x:c>
      <x:c r="P1662" s="71" t="str">
        <x:v>JourneyMapPlannerWorkspace:1738</x:v>
      </x:c>
      <x:c r="Q1662" s="71" t="str">
        <x:v>EN (default / shared)</x:v>
      </x:c>
      <x:c r="R1662" s="71" t="str">
        <x:v>Already clear and direct; suggested wording intentionally keeps the current copy. Duplicate wording: appears 2 times. Dynamic traveller or trip value is represented as a token; user-generated values are excluded.</x:v>
      </x:c>
      <x:c r="S1662" s="75" t="str">
        <x:v>Not applied — review required</x:v>
      </x:c>
    </x:row>
    <x:row r="1663">
      <x:c r="A1663" s="71" t="str">
        <x:v>MRV-9669FA9F5E</x:v>
      </x:c>
      <x:c r="B1663" s="71" t="str">
        <x:v>Planning</x:v>
      </x:c>
      <x:c r="C1663" s="71" t="str">
        <x:v>Planner recommendations</x:v>
      </x:c>
      <x:c r="D1663" s="71" t="str">
        <x:v>Shared planner output</x:v>
      </x:c>
      <x:c r="E1663" s="71" t="str">
        <x:v>JourneyMapPlannerWorkspace</x:v>
      </x:c>
      <x:c r="F1663" s="71" t="str">
        <x:v>Default</x:v>
      </x:c>
      <x:c r="G1663" s="71" t="str">
        <x:v>Label</x:v>
      </x:c>
      <x:c r="H1663" s="71" t="str">
        <x:v>to review</x:v>
      </x:c>
      <x:c r="I1663" s="71" t="str">
        <x:v>to review</x:v>
      </x:c>
      <x:c r="J1663" s="73"/>
      <x:c r="K1663" s="74" t="str">
        <x:f>IF(J1663="",H1663,IF(J1663=I1663,I1663,J1663))</x:f>
        <x:v>to review</x:v>
      </x:c>
      <x:c r="L1663" s="74" t="str">
        <x:f>IF(J1663="","Keep current",IF(J1663=I1663,"Use suggestion","Custom"))</x:f>
        <x:v>Keep current</x:v>
      </x:c>
      <x:c r="M1663" s="71" t="str">
        <x:v>Pending review</x:v>
      </x:c>
      <x:c r="N1663" s="71" t="str">
        <x:v>Normal</x:v>
      </x:c>
      <x:c r="O1663" s="71" t="str">
        <x:v>components/journey-map-planner-workspace.tsx</x:v>
      </x:c>
      <x:c r="P1663" s="71" t="str">
        <x:v>JourneyMapPlannerWorkspace:1738</x:v>
      </x:c>
      <x:c r="Q1663" s="71" t="str">
        <x:v>EN</x:v>
      </x:c>
      <x:c r="R1663" s="71" t="str">
        <x:v>Already clear and direct; suggested wording intentionally keeps the current copy. Duplicate wording: appears 2 times.</x:v>
      </x:c>
      <x:c r="S1663" s="75" t="str">
        <x:v>Not applied — review required</x:v>
      </x:c>
    </x:row>
    <x:row r="1664">
      <x:c r="A1664" s="71" t="str">
        <x:v>MRV-1C11C55F2F</x:v>
      </x:c>
      <x:c r="B1664" s="71" t="str">
        <x:v>Planning</x:v>
      </x:c>
      <x:c r="C1664" s="71" t="str">
        <x:v>Planner recommendations</x:v>
      </x:c>
      <x:c r="D1664" s="71" t="str">
        <x:v>Shared planner output</x:v>
      </x:c>
      <x:c r="E1664" s="71" t="str">
        <x:v>JourneyMapPlannerWorkspace</x:v>
      </x:c>
      <x:c r="F1664" s="71" t="str">
        <x:v>Default</x:v>
      </x:c>
      <x:c r="G1664" s="71" t="str">
        <x:v>Body copy</x:v>
      </x:c>
      <x:c r="H1664" s="71" t="str">
        <x:v>{remainingRecommendations.length} más comprobaciones</x:v>
      </x:c>
      <x:c r="I1664" s="71" t="str">
        <x:v>{remainingRecommendations.length} más comprobaciones</x:v>
      </x:c>
      <x:c r="J1664" s="73"/>
      <x:c r="K1664" s="74" t="str">
        <x:f>IF(J1664="",H1664,IF(J1664=I1664,I1664,J1664))</x:f>
        <x:v>{remainingRecommendations.length} más comprobaciones</x:v>
      </x:c>
      <x:c r="L1664" s="74" t="str">
        <x:f>IF(J1664="","Keep current",IF(J1664=I1664,"Use suggestion","Custom"))</x:f>
        <x:v>Keep current</x:v>
      </x:c>
      <x:c r="M1664" s="71" t="str">
        <x:v>Pending review</x:v>
      </x:c>
      <x:c r="N1664" s="71" t="str">
        <x:v>Normal</x:v>
      </x:c>
      <x:c r="O1664" s="71" t="str">
        <x:v>components/journey-map-planner-workspace.tsx</x:v>
      </x:c>
      <x:c r="P1664" s="71" t="str">
        <x:v>JourneyMapPlannerWorkspace:1741</x:v>
      </x:c>
      <x:c r="Q1664" s="71" t="str">
        <x:v>ES</x:v>
      </x:c>
      <x:c r="R1664" s="71" t="str">
        <x:v>Already clear and direct; suggested wording intentionally keeps the current copy. Dynamic traveller or trip value is represented as a token; user-generated values are excluded.</x:v>
      </x:c>
      <x:c r="S1664" s="75" t="str">
        <x:v>Not applied — review required</x:v>
      </x:c>
    </x:row>
    <x:row r="1665">
      <x:c r="A1665" s="71" t="str">
        <x:v>MRV-752891033D</x:v>
      </x:c>
      <x:c r="B1665" s="71" t="str">
        <x:v>Planning</x:v>
      </x:c>
      <x:c r="C1665" s="71" t="str">
        <x:v>Planner recommendations</x:v>
      </x:c>
      <x:c r="D1665" s="71" t="str">
        <x:v>Shared planner output</x:v>
      </x:c>
      <x:c r="E1665" s="71" t="str">
        <x:v>JourneyMapPlannerWorkspace</x:v>
      </x:c>
      <x:c r="F1665" s="71" t="str">
        <x:v>Default</x:v>
      </x:c>
      <x:c r="G1665" s="71" t="str">
        <x:v>Body copy</x:v>
      </x:c>
      <x:c r="H1665" s="71" t="str">
        <x:v>{remainingRecommendations.length} more trip checks</x:v>
      </x:c>
      <x:c r="I1665" s="71" t="str">
        <x:v>{remainingRecommendations.length} more trip checks</x:v>
      </x:c>
      <x:c r="J1665" s="73"/>
      <x:c r="K1665" s="74" t="str">
        <x:f>IF(J1665="",H1665,IF(J1665=I1665,I1665,J1665))</x:f>
        <x:v>{remainingRecommendations.length} more trip checks</x:v>
      </x:c>
      <x:c r="L1665" s="74" t="str">
        <x:f>IF(J1665="","Keep current",IF(J1665=I1665,"Use suggestion","Custom"))</x:f>
        <x:v>Keep current</x:v>
      </x:c>
      <x:c r="M1665" s="71" t="str">
        <x:v>Pending review</x:v>
      </x:c>
      <x:c r="N1665" s="71" t="str">
        <x:v>Normal</x:v>
      </x:c>
      <x:c r="O1665" s="71" t="str">
        <x:v>components/journey-map-planner-workspace.tsx</x:v>
      </x:c>
      <x:c r="P1665" s="71" t="str">
        <x:v>JourneyMapPlannerWorkspace:1741</x:v>
      </x:c>
      <x:c r="Q1665" s="71" t="str">
        <x:v>EN</x:v>
      </x:c>
      <x:c r="R1665"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665" s="75" t="str">
        <x:v>Not applied — review required</x:v>
      </x:c>
    </x:row>
    <x:row r="1666">
      <x:c r="A1666" s="71" t="str">
        <x:v>MRV-341F9F9343</x:v>
      </x:c>
      <x:c r="B1666" s="71" t="str">
        <x:v>Planning</x:v>
      </x:c>
      <x:c r="C1666" s="71" t="str">
        <x:v>Planner recommendations</x:v>
      </x:c>
      <x:c r="D1666" s="71" t="str">
        <x:v>Shared planner output</x:v>
      </x:c>
      <x:c r="E1666" s="71" t="str">
        <x:v>JourneyMapPlannerWorkspace</x:v>
      </x:c>
      <x:c r="F1666" s="71" t="str">
        <x:v>Accessibility / input support</x:v>
      </x:c>
      <x:c r="G1666" s="71" t="str">
        <x:v>Accessibility label</x:v>
      </x:c>
      <x:c r="H1666" s="71" t="str">
        <x:v>Alternativas de transporte</x:v>
      </x:c>
      <x:c r="I1666" s="71" t="str">
        <x:v>Alternativas de transporte</x:v>
      </x:c>
      <x:c r="J1666" s="73"/>
      <x:c r="K1666" s="74" t="str">
        <x:f>IF(J1666="",H1666,IF(J1666=I1666,I1666,J1666))</x:f>
        <x:v>Alternativas de transporte</x:v>
      </x:c>
      <x:c r="L1666" s="74" t="str">
        <x:f>IF(J1666="","Keep current",IF(J1666=I1666,"Use suggestion","Custom"))</x:f>
        <x:v>Keep current</x:v>
      </x:c>
      <x:c r="M1666" s="71" t="str">
        <x:v>Pending review</x:v>
      </x:c>
      <x:c r="N1666" s="71" t="str">
        <x:v>Medium</x:v>
      </x:c>
      <x:c r="O1666" s="71" t="str">
        <x:v>components/journey-map-planner-workspace.tsx</x:v>
      </x:c>
      <x:c r="P1666" s="71" t="str">
        <x:v>JourneyMapPlannerWorkspace:1752</x:v>
      </x:c>
      <x:c r="Q1666" s="71" t="str">
        <x:v>ES</x:v>
      </x:c>
      <x:c r="R1666" s="71" t="str">
        <x:v>Already clear and direct; suggested wording intentionally keeps the current copy.</x:v>
      </x:c>
      <x:c r="S1666" s="75" t="str">
        <x:v>Not applied — review required</x:v>
      </x:c>
    </x:row>
    <x:row r="1667">
      <x:c r="A1667" s="71" t="str">
        <x:v>MRV-27F96EF2D0</x:v>
      </x:c>
      <x:c r="B1667" s="71" t="str">
        <x:v>Planning</x:v>
      </x:c>
      <x:c r="C1667" s="71" t="str">
        <x:v>Planner recommendations</x:v>
      </x:c>
      <x:c r="D1667" s="71" t="str">
        <x:v>Shared planner output</x:v>
      </x:c>
      <x:c r="E1667" s="71" t="str">
        <x:v>JourneyMapPlannerWorkspace</x:v>
      </x:c>
      <x:c r="F1667" s="71" t="str">
        <x:v>Accessibility / input support</x:v>
      </x:c>
      <x:c r="G1667" s="71" t="str">
        <x:v>Accessibility label</x:v>
      </x:c>
      <x:c r="H1667" s="71" t="str">
        <x:v>Transport alternatives</x:v>
      </x:c>
      <x:c r="I1667" s="71" t="str">
        <x:v>Transport alternatives</x:v>
      </x:c>
      <x:c r="J1667" s="73"/>
      <x:c r="K1667" s="74" t="str">
        <x:f>IF(J1667="",H1667,IF(J1667=I1667,I1667,J1667))</x:f>
        <x:v>Transport alternatives</x:v>
      </x:c>
      <x:c r="L1667" s="74" t="str">
        <x:f>IF(J1667="","Keep current",IF(J1667=I1667,"Use suggestion","Custom"))</x:f>
        <x:v>Keep current</x:v>
      </x:c>
      <x:c r="M1667" s="71" t="str">
        <x:v>Pending review</x:v>
      </x:c>
      <x:c r="N1667" s="71" t="str">
        <x:v>Medium</x:v>
      </x:c>
      <x:c r="O1667" s="71" t="str">
        <x:v>components/journey-map-planner-workspace.tsx</x:v>
      </x:c>
      <x:c r="P1667" s="71" t="str">
        <x:v>JourneyMapPlannerWorkspace:1752</x:v>
      </x:c>
      <x:c r="Q1667" s="71" t="str">
        <x:v>EN</x:v>
      </x:c>
      <x:c r="R1667" s="71" t="str">
        <x:v>Already clear and direct; suggested wording intentionally keeps the current copy.</x:v>
      </x:c>
      <x:c r="S1667" s="75" t="str">
        <x:v>Not applied — review required</x:v>
      </x:c>
    </x:row>
    <x:row r="1668">
      <x:c r="A1668" s="71" t="str">
        <x:v>MRV-14BDDF0041</x:v>
      </x:c>
      <x:c r="B1668" s="71" t="str">
        <x:v>Planning</x:v>
      </x:c>
      <x:c r="C1668" s="71" t="str">
        <x:v>Planner recommendations</x:v>
      </x:c>
      <x:c r="D1668" s="71" t="str">
        <x:v>Shared planner output</x:v>
      </x:c>
      <x:c r="E1668" s="71" t="str">
        <x:v>JourneyMapPlannerWorkspace</x:v>
      </x:c>
      <x:c r="F1668" s="71" t="str">
        <x:v>Default</x:v>
      </x:c>
      <x:c r="G1668" s="71" t="str">
        <x:v>Label</x:v>
      </x:c>
      <x:c r="H1668" s="71" t="str">
        <x:v>DECISIÓN DE TRASLADO</x:v>
      </x:c>
      <x:c r="I1668" s="71" t="str">
        <x:v>DECISIÓN DE TRASLADO</x:v>
      </x:c>
      <x:c r="J1668" s="73"/>
      <x:c r="K1668" s="74" t="str">
        <x:f>IF(J1668="",H1668,IF(J1668=I1668,I1668,J1668))</x:f>
        <x:v>DECISIÓN DE TRASLADO</x:v>
      </x:c>
      <x:c r="L1668" s="74" t="str">
        <x:f>IF(J1668="","Keep current",IF(J1668=I1668,"Use suggestion","Custom"))</x:f>
        <x:v>Keep current</x:v>
      </x:c>
      <x:c r="M1668" s="71" t="str">
        <x:v>Pending review</x:v>
      </x:c>
      <x:c r="N1668" s="71" t="str">
        <x:v>Normal</x:v>
      </x:c>
      <x:c r="O1668" s="71" t="str">
        <x:v>components/journey-map-planner-workspace.tsx</x:v>
      </x:c>
      <x:c r="P1668" s="71" t="str">
        <x:v>JourneyMapPlannerWorkspace:1753</x:v>
      </x:c>
      <x:c r="Q1668" s="71" t="str">
        <x:v>ES</x:v>
      </x:c>
      <x:c r="R1668" s="71" t="str">
        <x:v>Already clear and direct; suggested wording intentionally keeps the current copy.</x:v>
      </x:c>
      <x:c r="S1668" s="75" t="str">
        <x:v>Not applied — review required</x:v>
      </x:c>
    </x:row>
    <x:row r="1669">
      <x:c r="A1669" s="71" t="str">
        <x:v>MRV-77B8BD9969</x:v>
      </x:c>
      <x:c r="B1669" s="71" t="str">
        <x:v>Planning</x:v>
      </x:c>
      <x:c r="C1669" s="71" t="str">
        <x:v>Planner recommendations</x:v>
      </x:c>
      <x:c r="D1669" s="71" t="str">
        <x:v>Shared planner output</x:v>
      </x:c>
      <x:c r="E1669" s="71" t="str">
        <x:v>JourneyMapPlannerWorkspace</x:v>
      </x:c>
      <x:c r="F1669" s="71" t="str">
        <x:v>Default</x:v>
      </x:c>
      <x:c r="G1669" s="71" t="str">
        <x:v>Label</x:v>
      </x:c>
      <x:c r="H1669" s="71" t="str">
        <x:v>TRANSFER DECISION</x:v>
      </x:c>
      <x:c r="I1669" s="71" t="str">
        <x:v>TRANSFER DECISION</x:v>
      </x:c>
      <x:c r="J1669" s="73"/>
      <x:c r="K1669" s="74" t="str">
        <x:f>IF(J1669="",H1669,IF(J1669=I1669,I1669,J1669))</x:f>
        <x:v>TRANSFER DECISION</x:v>
      </x:c>
      <x:c r="L1669" s="74" t="str">
        <x:f>IF(J1669="","Keep current",IF(J1669=I1669,"Use suggestion","Custom"))</x:f>
        <x:v>Keep current</x:v>
      </x:c>
      <x:c r="M1669" s="71" t="str">
        <x:v>Pending review</x:v>
      </x:c>
      <x:c r="N1669" s="71" t="str">
        <x:v>Normal</x:v>
      </x:c>
      <x:c r="O1669" s="71" t="str">
        <x:v>components/journey-map-planner-workspace.tsx</x:v>
      </x:c>
      <x:c r="P1669" s="71" t="str">
        <x:v>JourneyMapPlannerWorkspace:1753</x:v>
      </x:c>
      <x:c r="Q1669" s="71" t="str">
        <x:v>EN</x:v>
      </x:c>
      <x:c r="R1669" s="71" t="str">
        <x:v>Already clear and direct; suggested wording intentionally keeps the current copy.</x:v>
      </x:c>
      <x:c r="S1669" s="75" t="str">
        <x:v>Not applied — review required</x:v>
      </x:c>
    </x:row>
    <x:row r="1670">
      <x:c r="A1670" s="71" t="str">
        <x:v>MRV-BCBC88357A</x:v>
      </x:c>
      <x:c r="B1670" s="71" t="str">
        <x:v>Planning</x:v>
      </x:c>
      <x:c r="C1670" s="71" t="str">
        <x:v>Planner recommendations</x:v>
      </x:c>
      <x:c r="D1670" s="71" t="str">
        <x:v>Shared planner output</x:v>
      </x:c>
      <x:c r="E1670" s="71" t="str">
        <x:v>JourneyMapPlannerWorkspace</x:v>
      </x:c>
      <x:c r="F1670" s="71" t="str">
        <x:v>Default</x:v>
      </x:c>
      <x:c r="G1670" s="71" t="str">
        <x:v>Body copy</x:v>
      </x:c>
      <x:c r="H1670" s="71" t="str">
        <x:v>Elige el compromiso que te conviene</x:v>
      </x:c>
      <x:c r="I1670" s="71" t="str">
        <x:v>Elige el compromiso que te conviene</x:v>
      </x:c>
      <x:c r="J1670" s="73"/>
      <x:c r="K1670" s="74" t="str">
        <x:f>IF(J1670="",H1670,IF(J1670=I1670,I1670,J1670))</x:f>
        <x:v>Elige el compromiso que te conviene</x:v>
      </x:c>
      <x:c r="L1670" s="74" t="str">
        <x:f>IF(J1670="","Keep current",IF(J1670=I1670,"Use suggestion","Custom"))</x:f>
        <x:v>Keep current</x:v>
      </x:c>
      <x:c r="M1670" s="71" t="str">
        <x:v>Pending review</x:v>
      </x:c>
      <x:c r="N1670" s="71" t="str">
        <x:v>Normal</x:v>
      </x:c>
      <x:c r="O1670" s="71" t="str">
        <x:v>components/journey-map-planner-workspace.tsx</x:v>
      </x:c>
      <x:c r="P1670" s="71" t="str">
        <x:v>JourneyMapPlannerWorkspace:1753</x:v>
      </x:c>
      <x:c r="Q1670" s="71" t="str">
        <x:v>ES</x:v>
      </x:c>
      <x:c r="R1670" s="71" t="str">
        <x:v>Already clear and direct; suggested wording intentionally keeps the current copy.</x:v>
      </x:c>
      <x:c r="S1670" s="75" t="str">
        <x:v>Not applied — review required</x:v>
      </x:c>
    </x:row>
    <x:row r="1671">
      <x:c r="A1671" s="71" t="str">
        <x:v>MRV-9ADA301C1F</x:v>
      </x:c>
      <x:c r="B1671" s="71" t="str">
        <x:v>Planning</x:v>
      </x:c>
      <x:c r="C1671" s="71" t="str">
        <x:v>Planner recommendations</x:v>
      </x:c>
      <x:c r="D1671" s="71" t="str">
        <x:v>Shared planner output</x:v>
      </x:c>
      <x:c r="E1671" s="71" t="str">
        <x:v>JourneyMapPlannerWorkspace</x:v>
      </x:c>
      <x:c r="F1671" s="71" t="str">
        <x:v>Default</x:v>
      </x:c>
      <x:c r="G1671" s="71" t="str">
        <x:v>Body copy</x:v>
      </x:c>
      <x:c r="H1671" s="71" t="str">
        <x:v>Choose the trade-off that suits you</x:v>
      </x:c>
      <x:c r="I1671" s="71" t="str">
        <x:v>Choose the trade-off that suits you</x:v>
      </x:c>
      <x:c r="J1671" s="73"/>
      <x:c r="K1671" s="74" t="str">
        <x:f>IF(J1671="",H1671,IF(J1671=I1671,I1671,J1671))</x:f>
        <x:v>Choose the trade-off that suits you</x:v>
      </x:c>
      <x:c r="L1671" s="74" t="str">
        <x:f>IF(J1671="","Keep current",IF(J1671=I1671,"Use suggestion","Custom"))</x:f>
        <x:v>Keep current</x:v>
      </x:c>
      <x:c r="M1671" s="71" t="str">
        <x:v>Pending review</x:v>
      </x:c>
      <x:c r="N1671" s="71" t="str">
        <x:v>Normal</x:v>
      </x:c>
      <x:c r="O1671" s="71" t="str">
        <x:v>components/journey-map-planner-workspace.tsx</x:v>
      </x:c>
      <x:c r="P1671" s="71" t="str">
        <x:v>JourneyMapPlannerWorkspace:1753</x:v>
      </x:c>
      <x:c r="Q1671" s="71" t="str">
        <x:v>EN</x:v>
      </x:c>
      <x:c r="R1671" s="71" t="str">
        <x:v>Already clear and direct; suggested wording intentionally keeps the current copy.</x:v>
      </x:c>
      <x:c r="S1671" s="75" t="str">
        <x:v>Not applied — review required</x:v>
      </x:c>
    </x:row>
    <x:row r="1672">
      <x:c r="A1672" s="71" t="str">
        <x:v>MRV-A9481C2A59</x:v>
      </x:c>
      <x:c r="B1672" s="71" t="str">
        <x:v>Planning</x:v>
      </x:c>
      <x:c r="C1672" s="71" t="str">
        <x:v>Planner recommendations</x:v>
      </x:c>
      <x:c r="D1672" s="71" t="str">
        <x:v>Shared planner output</x:v>
      </x:c>
      <x:c r="E1672" s="71" t="str">
        <x:v>JourneyMapPlannerWorkspace</x:v>
      </x:c>
      <x:c r="F1672" s="71" t="str">
        <x:v>Default</x:v>
      </x:c>
      <x:c r="G1672" s="71" t="str">
        <x:v>Label</x:v>
      </x:c>
      <x:c r="H1672" s="71" t="str">
        <x:v>Revisar opciones</x:v>
      </x:c>
      <x:c r="I1672" s="71" t="str">
        <x:v>Revisar opciones</x:v>
      </x:c>
      <x:c r="J1672" s="73"/>
      <x:c r="K1672" s="74" t="str">
        <x:f>IF(J1672="",H1672,IF(J1672=I1672,I1672,J1672))</x:f>
        <x:v>Revisar opciones</x:v>
      </x:c>
      <x:c r="L1672" s="74" t="str">
        <x:f>IF(J1672="","Keep current",IF(J1672=I1672,"Use suggestion","Custom"))</x:f>
        <x:v>Keep current</x:v>
      </x:c>
      <x:c r="M1672" s="71" t="str">
        <x:v>Pending review</x:v>
      </x:c>
      <x:c r="N1672" s="71" t="str">
        <x:v>High</x:v>
      </x:c>
      <x:c r="O1672" s="71" t="str">
        <x:v>components/journey-map-planner-workspace.tsx</x:v>
      </x:c>
      <x:c r="P1672" s="71" t="str">
        <x:v>JourneyMapPlannerWorkspace:1753</x:v>
      </x:c>
      <x:c r="Q1672" s="71" t="str">
        <x:v>ES</x:v>
      </x:c>
      <x:c r="R1672" s="71" t="str">
        <x:v>Already clear and direct; suggested wording intentionally keeps the current copy.</x:v>
      </x:c>
      <x:c r="S1672" s="75" t="str">
        <x:v>Not applied — review required</x:v>
      </x:c>
    </x:row>
    <x:row r="1673">
      <x:c r="A1673" s="71" t="str">
        <x:v>MRV-D048CBB349</x:v>
      </x:c>
      <x:c r="B1673" s="71" t="str">
        <x:v>Planning</x:v>
      </x:c>
      <x:c r="C1673" s="71" t="str">
        <x:v>Planner recommendations</x:v>
      </x:c>
      <x:c r="D1673" s="71" t="str">
        <x:v>Shared planner output</x:v>
      </x:c>
      <x:c r="E1673" s="71" t="str">
        <x:v>JourneyMapPlannerWorkspace</x:v>
      </x:c>
      <x:c r="F1673" s="71" t="str">
        <x:v>Default</x:v>
      </x:c>
      <x:c r="G1673" s="71" t="str">
        <x:v>CTA / button</x:v>
      </x:c>
      <x:c r="H1673" s="71" t="str">
        <x:v>Review options</x:v>
      </x:c>
      <x:c r="I1673" s="71" t="str">
        <x:v>Review options</x:v>
      </x:c>
      <x:c r="J1673" s="73"/>
      <x:c r="K1673" s="74" t="str">
        <x:f>IF(J1673="",H1673,IF(J1673=I1673,I1673,J1673))</x:f>
        <x:v>Review options</x:v>
      </x:c>
      <x:c r="L1673" s="74" t="str">
        <x:f>IF(J1673="","Keep current",IF(J1673=I1673,"Use suggestion","Custom"))</x:f>
        <x:v>Keep current</x:v>
      </x:c>
      <x:c r="M1673" s="71" t="str">
        <x:v>Pending review</x:v>
      </x:c>
      <x:c r="N1673" s="71" t="str">
        <x:v>Medium</x:v>
      </x:c>
      <x:c r="O1673" s="71" t="str">
        <x:v>components/journey-map-planner-workspace.tsx</x:v>
      </x:c>
      <x:c r="P1673" s="71" t="str">
        <x:v>JourneyMapPlannerWorkspace:1753</x:v>
      </x:c>
      <x:c r="Q1673" s="71" t="str">
        <x:v>EN</x:v>
      </x:c>
      <x:c r="R1673" s="71" t="str">
        <x:v>Already clear and direct; suggested wording intentionally keeps the current copy.</x:v>
      </x:c>
      <x:c r="S1673" s="75" t="str">
        <x:v>Not applied — review required</x:v>
      </x:c>
    </x:row>
    <x:row r="1674">
      <x:c r="A1674" s="71" t="str">
        <x:v>MRV-434CE705D6</x:v>
      </x:c>
      <x:c r="B1674" s="71" t="str">
        <x:v>Planning</x:v>
      </x:c>
      <x:c r="C1674" s="71" t="str">
        <x:v>Planner recommendations</x:v>
      </x:c>
      <x:c r="D1674" s="71" t="str">
        <x:v>Shared planner output</x:v>
      </x:c>
      <x:c r="E1674" s="71" t="str">
        <x:v>JourneyMapPlannerWorkspace</x:v>
      </x:c>
      <x:c r="F1674" s="71" t="str">
        <x:v>Default</x:v>
      </x:c>
      <x:c r="G1674" s="71" t="str">
        <x:v>Body copy</x:v>
      </x:c>
      <x:c r="H1674" s="71" t="str">
        <x:v>{Math.floor(option.estimatedMinutes / 60)}h {option.estimatedMinutes % 60}m</x:v>
      </x:c>
      <x:c r="I1674" s="71" t="str">
        <x:v>{Math.floor(option.estimatedMinutes / 60)}h {option.estimatedMinutes % 60}m</x:v>
      </x:c>
      <x:c r="J1674" s="73"/>
      <x:c r="K1674" s="74" t="str">
        <x:f>IF(J1674="",H1674,IF(J1674=I1674,I1674,J1674))</x:f>
        <x:v>{Math.floor(option.estimatedMinutes / 60)}h {option.estimatedMinutes % 60}m</x:v>
      </x:c>
      <x:c r="L1674" s="74" t="str">
        <x:f>IF(J1674="","Keep current",IF(J1674=I1674,"Use suggestion","Custom"))</x:f>
        <x:v>Keep current</x:v>
      </x:c>
      <x:c r="M1674" s="71" t="str">
        <x:v>Pending review</x:v>
      </x:c>
      <x:c r="N1674" s="71" t="str">
        <x:v>Normal</x:v>
      </x:c>
      <x:c r="O1674" s="71" t="str">
        <x:v>components/journey-map-planner-workspace.tsx</x:v>
      </x:c>
      <x:c r="P1674" s="71" t="str">
        <x:v>JourneyMapPlannerWorkspace:1756</x:v>
      </x:c>
      <x:c r="Q1674" s="71" t="str">
        <x:v>EN (default / shared)</x:v>
      </x:c>
      <x:c r="R1674" s="71" t="str">
        <x:v>Already clear and direct; suggested wording intentionally keeps the current copy. Dynamic traveller or trip value is represented as a token; user-generated values are excluded.</x:v>
      </x:c>
      <x:c r="S1674" s="75" t="str">
        <x:v>Not applied — review required</x:v>
      </x:c>
    </x:row>
    <x:row r="1675">
      <x:c r="A1675" s="71" t="str">
        <x:v>MRV-801F5B95FB</x:v>
      </x:c>
      <x:c r="B1675" s="71" t="str">
        <x:v>Planning</x:v>
      </x:c>
      <x:c r="C1675" s="71" t="str">
        <x:v>Planner recommendations</x:v>
      </x:c>
      <x:c r="D1675" s="71" t="str">
        <x:v>Shared planner output</x:v>
      </x:c>
      <x:c r="E1675" s="71" t="str">
        <x:v>JourneyMapPlannerWorkspace</x:v>
      </x:c>
      <x:c r="F1675" s="71" t="str">
        <x:v>Default</x:v>
      </x:c>
      <x:c r="G1675" s="71" t="str">
        <x:v>Label</x:v>
      </x:c>
      <x:c r="H1675" s="71" t="str">
        <x:v>Tiempo por verificar</x:v>
      </x:c>
      <x:c r="I1675" s="71" t="str">
        <x:v>Tiempo por verificar</x:v>
      </x:c>
      <x:c r="J1675" s="73"/>
      <x:c r="K1675" s="74" t="str">
        <x:f>IF(J1675="",H1675,IF(J1675=I1675,I1675,J1675))</x:f>
        <x:v>Tiempo por verificar</x:v>
      </x:c>
      <x:c r="L1675" s="74" t="str">
        <x:f>IF(J1675="","Keep current",IF(J1675=I1675,"Use suggestion","Custom"))</x:f>
        <x:v>Keep current</x:v>
      </x:c>
      <x:c r="M1675" s="71" t="str">
        <x:v>Pending review</x:v>
      </x:c>
      <x:c r="N1675" s="71" t="str">
        <x:v>Normal</x:v>
      </x:c>
      <x:c r="O1675" s="71" t="str">
        <x:v>components/journey-map-planner-workspace.tsx</x:v>
      </x:c>
      <x:c r="P1675" s="71" t="str">
        <x:v>JourneyMapPlannerWorkspace:1756</x:v>
      </x:c>
      <x:c r="Q1675" s="71" t="str">
        <x:v>ES</x:v>
      </x:c>
      <x:c r="R1675" s="71" t="str">
        <x:v>Already clear and direct; suggested wording intentionally keeps the current copy.</x:v>
      </x:c>
      <x:c r="S1675" s="75" t="str">
        <x:v>Not applied — review required</x:v>
      </x:c>
    </x:row>
    <x:row r="1676">
      <x:c r="A1676" s="71" t="str">
        <x:v>MRV-C784ED48A0</x:v>
      </x:c>
      <x:c r="B1676" s="71" t="str">
        <x:v>Planning</x:v>
      </x:c>
      <x:c r="C1676" s="71" t="str">
        <x:v>Planner recommendations</x:v>
      </x:c>
      <x:c r="D1676" s="71" t="str">
        <x:v>Shared planner output</x:v>
      </x:c>
      <x:c r="E1676" s="71" t="str">
        <x:v>JourneyMapPlannerWorkspace</x:v>
      </x:c>
      <x:c r="F1676" s="71" t="str">
        <x:v>Default</x:v>
      </x:c>
      <x:c r="G1676" s="71" t="str">
        <x:v>Label</x:v>
      </x:c>
      <x:c r="H1676" s="71" t="str">
        <x:v>Time to verify</x:v>
      </x:c>
      <x:c r="I1676" s="71" t="str">
        <x:v>Time to verify</x:v>
      </x:c>
      <x:c r="J1676" s="73"/>
      <x:c r="K1676" s="74" t="str">
        <x:f>IF(J1676="",H1676,IF(J1676=I1676,I1676,J1676))</x:f>
        <x:v>Time to verify</x:v>
      </x:c>
      <x:c r="L1676" s="74" t="str">
        <x:f>IF(J1676="","Keep current",IF(J1676=I1676,"Use suggestion","Custom"))</x:f>
        <x:v>Keep current</x:v>
      </x:c>
      <x:c r="M1676" s="71" t="str">
        <x:v>Pending review</x:v>
      </x:c>
      <x:c r="N1676" s="71" t="str">
        <x:v>Normal</x:v>
      </x:c>
      <x:c r="O1676" s="71" t="str">
        <x:v>components/journey-map-planner-workspace.tsx</x:v>
      </x:c>
      <x:c r="P1676" s="71" t="str">
        <x:v>JourneyMapPlannerWorkspace:1756</x:v>
      </x:c>
      <x:c r="Q1676" s="71" t="str">
        <x:v>EN</x:v>
      </x:c>
      <x:c r="R1676" s="71" t="str">
        <x:v>Already clear and direct; suggested wording intentionally keeps the current copy.</x:v>
      </x:c>
      <x:c r="S1676" s="75" t="str">
        <x:v>Not applied — review required</x:v>
      </x:c>
    </x:row>
    <x:row r="1677">
      <x:c r="A1677" s="71" t="str">
        <x:v>MRV-A493C9AC8B</x:v>
      </x:c>
      <x:c r="B1677" s="71" t="str">
        <x:v>Planning</x:v>
      </x:c>
      <x:c r="C1677" s="71" t="str">
        <x:v>Planner recommendations</x:v>
      </x:c>
      <x:c r="D1677" s="71" t="str">
        <x:v>Shared planner output</x:v>
      </x:c>
      <x:c r="E1677" s="71" t="str">
        <x:v>JourneyMapPlannerWorkspace</x:v>
      </x:c>
      <x:c r="F1677" s="71" t="str">
        <x:v>Default</x:v>
      </x:c>
      <x:c r="G1677" s="71" t="str">
        <x:v>Body copy</x:v>
      </x:c>
      <x:c r="H1677" s="71" t="str">
        <x:v>· +{Math.floor(option.timeImpactMinutes / 60)}h {option.timeImpactMinutes % 60}m</x:v>
      </x:c>
      <x:c r="I1677" s="71" t="str">
        <x:v>· +{Math.floor(option.timeImpactMinutes / 60)}h {option.timeImpactMinutes % 60}m</x:v>
      </x:c>
      <x:c r="J1677" s="73"/>
      <x:c r="K1677" s="74" t="str">
        <x:f>IF(J1677="",H1677,IF(J1677=I1677,I1677,J1677))</x:f>
        <x:v>· +{Math.floor(option.timeImpactMinutes / 60)}h {option.timeImpactMinutes % 60}m</x:v>
      </x:c>
      <x:c r="L1677" s="74" t="str">
        <x:f>IF(J1677="","Keep current",IF(J1677=I1677,"Use suggestion","Custom"))</x:f>
        <x:v>Keep current</x:v>
      </x:c>
      <x:c r="M1677" s="71" t="str">
        <x:v>Pending review</x:v>
      </x:c>
      <x:c r="N1677" s="71" t="str">
        <x:v>Normal</x:v>
      </x:c>
      <x:c r="O1677" s="71" t="str">
        <x:v>components/journey-map-planner-workspace.tsx</x:v>
      </x:c>
      <x:c r="P1677" s="71" t="str">
        <x:v>JourneyMapPlannerWorkspace:1756</x:v>
      </x:c>
      <x:c r="Q1677" s="71" t="str">
        <x:v>EN (default / shared)</x:v>
      </x:c>
      <x:c r="R1677" s="71" t="str">
        <x:v>Already clear and direct; suggested wording intentionally keeps the current copy. Dynamic traveller or trip value is represented as a token; user-generated values are excluded.</x:v>
      </x:c>
      <x:c r="S1677" s="75" t="str">
        <x:v>Not applied — review required</x:v>
      </x:c>
    </x:row>
    <x:row r="1678">
      <x:c r="A1678" s="71" t="str">
        <x:v>MRV-6A0CCFAD97</x:v>
      </x:c>
      <x:c r="B1678" s="71" t="str">
        <x:v>Planning</x:v>
      </x:c>
      <x:c r="C1678" s="71" t="str">
        <x:v>Planner recommendations</x:v>
      </x:c>
      <x:c r="D1678" s="71" t="str">
        <x:v>Shared planner output</x:v>
      </x:c>
      <x:c r="E1678" s="71" t="str">
        <x:v>JourneyMapPlannerWorkspace</x:v>
      </x:c>
      <x:c r="F1678" s="71" t="str">
        <x:v>Default</x:v>
      </x:c>
      <x:c r="G1678" s="71" t="str">
        <x:v>Label</x:v>
      </x:c>
      <x:c r="H1678" s="71" t="str">
        <x:v>Día</x:v>
      </x:c>
      <x:c r="I1678" s="71" t="str">
        <x:v>Día</x:v>
      </x:c>
      <x:c r="J1678" s="73"/>
      <x:c r="K1678" s="74" t="str">
        <x:f>IF(J1678="",H1678,IF(J1678=I1678,I1678,J1678))</x:f>
        <x:v>Día</x:v>
      </x:c>
      <x:c r="L1678" s="74" t="str">
        <x:f>IF(J1678="","Keep current",IF(J1678=I1678,"Use suggestion","Custom"))</x:f>
        <x:v>Keep current</x:v>
      </x:c>
      <x:c r="M1678" s="71" t="str">
        <x:v>Pending review</x:v>
      </x:c>
      <x:c r="N1678" s="71" t="str">
        <x:v>Normal</x:v>
      </x:c>
      <x:c r="O1678" s="71" t="str">
        <x:v>components/journey-map-planner-workspace.tsx</x:v>
      </x:c>
      <x:c r="P1678" s="71" t="str">
        <x:v>JourneyMapPlannerWorkspace:1773</x:v>
      </x:c>
      <x:c r="Q1678" s="71" t="str">
        <x:v>ES</x:v>
      </x:c>
      <x:c r="R1678" s="71" t="str">
        <x:v>Already clear and direct; suggested wording intentionally keeps the current copy. Duplicate wording: appears 2 times.</x:v>
      </x:c>
      <x:c r="S1678" s="75" t="str">
        <x:v>Not applied — review required</x:v>
      </x:c>
    </x:row>
    <x:row r="1679">
      <x:c r="A1679" s="71" t="str">
        <x:v>MRV-8974F328ED</x:v>
      </x:c>
      <x:c r="B1679" s="71" t="str">
        <x:v>Planning</x:v>
      </x:c>
      <x:c r="C1679" s="71" t="str">
        <x:v>Planner recommendations</x:v>
      </x:c>
      <x:c r="D1679" s="71" t="str">
        <x:v>Shared planner output</x:v>
      </x:c>
      <x:c r="E1679" s="71" t="str">
        <x:v>JourneyMapPlannerWorkspace</x:v>
      </x:c>
      <x:c r="F1679" s="71" t="str">
        <x:v>Default</x:v>
      </x:c>
      <x:c r="G1679" s="71" t="str">
        <x:v>Label</x:v>
      </x:c>
      <x:c r="H1679" s="71" t="str">
        <x:v>Day</x:v>
      </x:c>
      <x:c r="I1679" s="71" t="str">
        <x:v>Day</x:v>
      </x:c>
      <x:c r="J1679" s="73"/>
      <x:c r="K1679" s="74" t="str">
        <x:f>IF(J1679="",H1679,IF(J1679=I1679,I1679,J1679))</x:f>
        <x:v>Day</x:v>
      </x:c>
      <x:c r="L1679" s="74" t="str">
        <x:f>IF(J1679="","Keep current",IF(J1679=I1679,"Use suggestion","Custom"))</x:f>
        <x:v>Keep current</x:v>
      </x:c>
      <x:c r="M1679" s="71" t="str">
        <x:v>Pending review</x:v>
      </x:c>
      <x:c r="N1679" s="71" t="str">
        <x:v>Normal</x:v>
      </x:c>
      <x:c r="O1679" s="71" t="str">
        <x:v>components/journey-map-planner-workspace.tsx</x:v>
      </x:c>
      <x:c r="P1679" s="71" t="str">
        <x:v>JourneyMapPlannerWorkspace:1773</x:v>
      </x:c>
      <x:c r="Q1679" s="71" t="str">
        <x:v>EN</x:v>
      </x:c>
      <x:c r="R1679" s="71" t="str">
        <x:v>Already clear and direct; suggested wording intentionally keeps the current copy. Duplicate wording: appears 3 times.</x:v>
      </x:c>
      <x:c r="S1679" s="75" t="str">
        <x:v>Not applied — review required</x:v>
      </x:c>
    </x:row>
    <x:row r="1680">
      <x:c r="A1680" s="71" t="str">
        <x:v>MRV-EFAC6D2181</x:v>
      </x:c>
      <x:c r="B1680" s="71" t="str">
        <x:v>Planning</x:v>
      </x:c>
      <x:c r="C1680" s="71" t="str">
        <x:v>Planner recommendations</x:v>
      </x:c>
      <x:c r="D1680" s="71" t="str">
        <x:v>Shared planner output</x:v>
      </x:c>
      <x:c r="E1680" s="71" t="str">
        <x:v>JourneyMapPlannerWorkspace</x:v>
      </x:c>
      <x:c r="F1680" s="71" t="str">
        <x:v>Default</x:v>
      </x:c>
      <x:c r="G1680" s="71" t="str">
        <x:v>Body copy</x:v>
      </x:c>
      <x:c r="H1680" s="71" t="str">
        <x:v>EN {selected.city.toLocaleUpperCase()}</x:v>
      </x:c>
      <x:c r="I1680" s="71" t="str">
        <x:v>EN {selected.city.toLocaleUpperCase()}</x:v>
      </x:c>
      <x:c r="J1680" s="73"/>
      <x:c r="K1680" s="74" t="str">
        <x:f>IF(J1680="",H1680,IF(J1680=I1680,I1680,J1680))</x:f>
        <x:v>EN {selected.city.toLocaleUpperCase()}</x:v>
      </x:c>
      <x:c r="L1680" s="74" t="str">
        <x:f>IF(J1680="","Keep current",IF(J1680=I1680,"Use suggestion","Custom"))</x:f>
        <x:v>Keep current</x:v>
      </x:c>
      <x:c r="M1680" s="71" t="str">
        <x:v>Pending review</x:v>
      </x:c>
      <x:c r="N1680" s="71" t="str">
        <x:v>Normal</x:v>
      </x:c>
      <x:c r="O1680" s="71" t="str">
        <x:v>components/journey-map-planner-workspace.tsx</x:v>
      </x:c>
      <x:c r="P1680" s="71" t="str">
        <x:v>JourneyMapPlannerWorkspace:1777</x:v>
      </x:c>
      <x:c r="Q1680" s="71" t="str">
        <x:v>ES</x:v>
      </x:c>
      <x:c r="R1680" s="71" t="str">
        <x:v>Already clear and direct; suggested wording intentionally keeps the current copy. Dynamic traveller or trip value is represented as a token; user-generated values are excluded.</x:v>
      </x:c>
      <x:c r="S1680" s="75" t="str">
        <x:v>Not applied — review required</x:v>
      </x:c>
    </x:row>
    <x:row r="1681">
      <x:c r="A1681" s="71" t="str">
        <x:v>MRV-841FCDA043</x:v>
      </x:c>
      <x:c r="B1681" s="71" t="str">
        <x:v>Planning</x:v>
      </x:c>
      <x:c r="C1681" s="71" t="str">
        <x:v>Planner recommendations</x:v>
      </x:c>
      <x:c r="D1681" s="71" t="str">
        <x:v>Shared planner output</x:v>
      </x:c>
      <x:c r="E1681" s="71" t="str">
        <x:v>JourneyMapPlannerWorkspace</x:v>
      </x:c>
      <x:c r="F1681" s="71" t="str">
        <x:v>Default</x:v>
      </x:c>
      <x:c r="G1681" s="71" t="str">
        <x:v>Body copy</x:v>
      </x:c>
      <x:c r="H1681" s="71" t="str">
        <x:v>AT {selected.city.toLocaleUpperCase()}</x:v>
      </x:c>
      <x:c r="I1681" s="71" t="str">
        <x:v>AT {selected.city.toLocaleUpperCase()}</x:v>
      </x:c>
      <x:c r="J1681" s="73"/>
      <x:c r="K1681" s="74" t="str">
        <x:f>IF(J1681="",H1681,IF(J1681=I1681,I1681,J1681))</x:f>
        <x:v>AT {selected.city.toLocaleUpperCase()}</x:v>
      </x:c>
      <x:c r="L1681" s="74" t="str">
        <x:f>IF(J1681="","Keep current",IF(J1681=I1681,"Use suggestion","Custom"))</x:f>
        <x:v>Keep current</x:v>
      </x:c>
      <x:c r="M1681" s="71" t="str">
        <x:v>Pending review</x:v>
      </x:c>
      <x:c r="N1681" s="71" t="str">
        <x:v>Normal</x:v>
      </x:c>
      <x:c r="O1681" s="71" t="str">
        <x:v>components/journey-map-planner-workspace.tsx</x:v>
      </x:c>
      <x:c r="P1681" s="71" t="str">
        <x:v>JourneyMapPlannerWorkspace:1777</x:v>
      </x:c>
      <x:c r="Q1681" s="71" t="str">
        <x:v>EN</x:v>
      </x:c>
      <x:c r="R1681" s="71" t="str">
        <x:v>Already clear and direct; suggested wording intentionally keeps the current copy. Dynamic traveller or trip value is represented as a token; user-generated values are excluded.</x:v>
      </x:c>
      <x:c r="S1681" s="75" t="str">
        <x:v>Not applied — review required</x:v>
      </x:c>
    </x:row>
    <x:row r="1682">
      <x:c r="A1682" s="71" t="str">
        <x:v>MRV-562EA0DE68</x:v>
      </x:c>
      <x:c r="B1682" s="71" t="str">
        <x:v>Planning</x:v>
      </x:c>
      <x:c r="C1682" s="71" t="str">
        <x:v>Planner recommendations</x:v>
      </x:c>
      <x:c r="D1682" s="71" t="str">
        <x:v>Shared planner output</x:v>
      </x:c>
      <x:c r="E1682" s="71" t="str">
        <x:v>JourneyMapPlannerWorkspace</x:v>
      </x:c>
      <x:c r="F1682" s="71" t="str">
        <x:v>Default</x:v>
      </x:c>
      <x:c r="G1682" s="71" t="str">
        <x:v>Label</x:v>
      </x:c>
      <x:c r="H1682" s="71" t="str">
        <x:v>Shape the day</x:v>
      </x:c>
      <x:c r="I1682" s="71" t="str">
        <x:v>Shape the day</x:v>
      </x:c>
      <x:c r="J1682" s="73"/>
      <x:c r="K1682" s="74" t="str">
        <x:f>IF(J1682="",H1682,IF(J1682=I1682,I1682,J1682))</x:f>
        <x:v>Shape the day</x:v>
      </x:c>
      <x:c r="L1682" s="74" t="str">
        <x:f>IF(J1682="","Keep current",IF(J1682=I1682,"Use suggestion","Custom"))</x:f>
        <x:v>Keep current</x:v>
      </x:c>
      <x:c r="M1682" s="71" t="str">
        <x:v>Pending review</x:v>
      </x:c>
      <x:c r="N1682" s="71" t="str">
        <x:v>Normal</x:v>
      </x:c>
      <x:c r="O1682" s="71" t="str">
        <x:v>components/journey-map-planner-workspace.tsx</x:v>
      </x:c>
      <x:c r="P1682" s="71" t="str">
        <x:v>JourneyMapPlannerWorkspace:1777</x:v>
      </x:c>
      <x:c r="Q1682" s="71" t="str">
        <x:v>EN (default / shared)</x:v>
      </x:c>
      <x:c r="R1682" s="71" t="str">
        <x:v>Already clear and direct; suggested wording intentionally keeps the current copy. Duplicate wording: appears 2 times.</x:v>
      </x:c>
      <x:c r="S1682" s="75" t="str">
        <x:v>Not applied — review required</x:v>
      </x:c>
    </x:row>
    <x:row r="1683">
      <x:c r="A1683" s="71" t="str">
        <x:v>MRV-75A0ADBC09</x:v>
      </x:c>
      <x:c r="B1683" s="71" t="str">
        <x:v>Planning</x:v>
      </x:c>
      <x:c r="C1683" s="71" t="str">
        <x:v>Planner recommendations</x:v>
      </x:c>
      <x:c r="D1683" s="71" t="str">
        <x:v>Shared planner output</x:v>
      </x:c>
      <x:c r="E1683" s="71" t="str">
        <x:v>JourneyMapPlannerWorkspace</x:v>
      </x:c>
      <x:c r="F1683" s="71" t="str">
        <x:v>Default</x:v>
      </x:c>
      <x:c r="G1683" s="71" t="str">
        <x:v>CTA / button</x:v>
      </x:c>
      <x:c r="H1683" s="71" t="str">
        <x:v>Plan</x:v>
      </x:c>
      <x:c r="I1683" s="71" t="str">
        <x:v>Plan</x:v>
      </x:c>
      <x:c r="J1683" s="73"/>
      <x:c r="K1683" s="74" t="str">
        <x:f>IF(J1683="",H1683,IF(J1683=I1683,I1683,J1683))</x:f>
        <x:v>Plan</x:v>
      </x:c>
      <x:c r="L1683" s="74" t="str">
        <x:f>IF(J1683="","Keep current",IF(J1683=I1683,"Use suggestion","Custom"))</x:f>
        <x:v>Keep current</x:v>
      </x:c>
      <x:c r="M1683" s="71" t="str">
        <x:v>Pending review</x:v>
      </x:c>
      <x:c r="N1683" s="71" t="str">
        <x:v>Medium</x:v>
      </x:c>
      <x:c r="O1683" s="71" t="str">
        <x:v>components/journey-map-planner-workspace.tsx</x:v>
      </x:c>
      <x:c r="P1683" s="71" t="str">
        <x:v>JourneyMapPlannerWorkspace:1778</x:v>
      </x:c>
      <x:c r="Q1683" s="71" t="str">
        <x:v>EN (default / shared)</x:v>
      </x:c>
      <x:c r="R1683" s="71" t="str">
        <x:v>Already clear and direct; suggested wording intentionally keeps the current copy. Duplicate wording: appears 2 times.</x:v>
      </x:c>
      <x:c r="S1683" s="75" t="str">
        <x:v>Not applied — review required</x:v>
      </x:c>
    </x:row>
    <x:row r="1684">
      <x:c r="A1684" s="71" t="str">
        <x:v>MRV-D48BD79187</x:v>
      </x:c>
      <x:c r="B1684" s="71" t="str">
        <x:v>Planning</x:v>
      </x:c>
      <x:c r="C1684" s="71" t="str">
        <x:v>Planner recommendations</x:v>
      </x:c>
      <x:c r="D1684" s="71" t="str">
        <x:v>Shared planner output</x:v>
      </x:c>
      <x:c r="E1684" s="71" t="str">
        <x:v>JourneyMapPlannerWorkspace</x:v>
      </x:c>
      <x:c r="F1684" s="71" t="str">
        <x:v>Default</x:v>
      </x:c>
      <x:c r="G1684" s="71" t="str">
        <x:v>Label</x:v>
      </x:c>
      <x:c r="H1684" s="71" t="str">
        <x:v>Stay</x:v>
      </x:c>
      <x:c r="I1684" s="71" t="str">
        <x:v>Stay</x:v>
      </x:c>
      <x:c r="J1684" s="73"/>
      <x:c r="K1684" s="74" t="str">
        <x:f>IF(J1684="",H1684,IF(J1684=I1684,I1684,J1684))</x:f>
        <x:v>Stay</x:v>
      </x:c>
      <x:c r="L1684" s="74" t="str">
        <x:f>IF(J1684="","Keep current",IF(J1684=I1684,"Use suggestion","Custom"))</x:f>
        <x:v>Keep current</x:v>
      </x:c>
      <x:c r="M1684" s="71" t="str">
        <x:v>Pending review</x:v>
      </x:c>
      <x:c r="N1684" s="71" t="str">
        <x:v>Normal</x:v>
      </x:c>
      <x:c r="O1684" s="71" t="str">
        <x:v>components/journey-map-planner-workspace.tsx</x:v>
      </x:c>
      <x:c r="P1684" s="71" t="str">
        <x:v>JourneyMapPlannerWorkspace:1778</x:v>
      </x:c>
      <x:c r="Q1684" s="71" t="str">
        <x:v>EN (default / shared)</x:v>
      </x:c>
      <x:c r="R1684" s="71" t="str">
        <x:v>Already clear and direct; suggested wording intentionally keeps the current copy. Duplicate wording: appears 6 times.</x:v>
      </x:c>
      <x:c r="S1684" s="75" t="str">
        <x:v>Not applied — review required</x:v>
      </x:c>
    </x:row>
    <x:row r="1685">
      <x:c r="A1685" s="71" t="str">
        <x:v>MRV-CFF33453BF</x:v>
      </x:c>
      <x:c r="B1685" s="71" t="str">
        <x:v>Planning</x:v>
      </x:c>
      <x:c r="C1685" s="71" t="str">
        <x:v>Planner recommendations</x:v>
      </x:c>
      <x:c r="D1685" s="71" t="str">
        <x:v>Shared planner output</x:v>
      </x:c>
      <x:c r="E1685" s="71" t="str">
        <x:v>JourneyMapPlannerWorkspace</x:v>
      </x:c>
      <x:c r="F1685" s="71" t="str">
        <x:v>Default</x:v>
      </x:c>
      <x:c r="G1685" s="71" t="str">
        <x:v>Label</x:v>
      </x:c>
      <x:c r="H1685" s="71" t="str">
        <x:v>Eat</x:v>
      </x:c>
      <x:c r="I1685" s="71" t="str">
        <x:v>Eat</x:v>
      </x:c>
      <x:c r="J1685" s="73"/>
      <x:c r="K1685" s="74" t="str">
        <x:f>IF(J1685="",H1685,IF(J1685=I1685,I1685,J1685))</x:f>
        <x:v>Eat</x:v>
      </x:c>
      <x:c r="L1685" s="74" t="str">
        <x:f>IF(J1685="","Keep current",IF(J1685=I1685,"Use suggestion","Custom"))</x:f>
        <x:v>Keep current</x:v>
      </x:c>
      <x:c r="M1685" s="71" t="str">
        <x:v>Pending review</x:v>
      </x:c>
      <x:c r="N1685" s="71" t="str">
        <x:v>Normal</x:v>
      </x:c>
      <x:c r="O1685" s="71" t="str">
        <x:v>components/journey-map-planner-workspace.tsx</x:v>
      </x:c>
      <x:c r="P1685" s="71" t="str">
        <x:v>JourneyMapPlannerWorkspace:1778</x:v>
      </x:c>
      <x:c r="Q1685" s="71" t="str">
        <x:v>EN (default / shared)</x:v>
      </x:c>
      <x:c r="R1685" s="71" t="str">
        <x:v>Already clear and direct; suggested wording intentionally keeps the current copy. Duplicate wording: appears 2 times.</x:v>
      </x:c>
      <x:c r="S1685" s="75" t="str">
        <x:v>Not applied — review required</x:v>
      </x:c>
    </x:row>
    <x:row r="1686">
      <x:c r="A1686" s="71" t="str">
        <x:v>MRV-F26688C8C3</x:v>
      </x:c>
      <x:c r="B1686" s="71" t="str">
        <x:v>Planning</x:v>
      </x:c>
      <x:c r="C1686" s="71" t="str">
        <x:v>Planner recommendations</x:v>
      </x:c>
      <x:c r="D1686" s="71" t="str">
        <x:v>Shared planner output</x:v>
      </x:c>
      <x:c r="E1686" s="71" t="str">
        <x:v>JourneyMapPlannerWorkspace</x:v>
      </x:c>
      <x:c r="F1686" s="71" t="str">
        <x:v>Default</x:v>
      </x:c>
      <x:c r="G1686" s="71" t="str">
        <x:v>Label</x:v>
      </x:c>
      <x:c r="H1686" s="71" t="str">
        <x:v>See</x:v>
      </x:c>
      <x:c r="I1686" s="71" t="str">
        <x:v>See</x:v>
      </x:c>
      <x:c r="J1686" s="73"/>
      <x:c r="K1686" s="74" t="str">
        <x:f>IF(J1686="",H1686,IF(J1686=I1686,I1686,J1686))</x:f>
        <x:v>See</x:v>
      </x:c>
      <x:c r="L1686" s="74" t="str">
        <x:f>IF(J1686="","Keep current",IF(J1686=I1686,"Use suggestion","Custom"))</x:f>
        <x:v>Keep current</x:v>
      </x:c>
      <x:c r="M1686" s="71" t="str">
        <x:v>Pending review</x:v>
      </x:c>
      <x:c r="N1686" s="71" t="str">
        <x:v>Normal</x:v>
      </x:c>
      <x:c r="O1686" s="71" t="str">
        <x:v>components/journey-map-planner-workspace.tsx</x:v>
      </x:c>
      <x:c r="P1686" s="71" t="str">
        <x:v>JourneyMapPlannerWorkspace:1778</x:v>
      </x:c>
      <x:c r="Q1686" s="71" t="str">
        <x:v>EN (default / shared)</x:v>
      </x:c>
      <x:c r="R1686" s="71" t="str">
        <x:v>Already clear and direct; suggested wording intentionally keeps the current copy. Duplicate wording: appears 2 times.</x:v>
      </x:c>
      <x:c r="S1686" s="75" t="str">
        <x:v>Not applied — review required</x:v>
      </x:c>
    </x:row>
    <x:row r="1687">
      <x:c r="A1687" s="71" t="str">
        <x:v>MRV-4CBDC12477</x:v>
      </x:c>
      <x:c r="B1687" s="71" t="str">
        <x:v>Planning</x:v>
      </x:c>
      <x:c r="C1687" s="71" t="str">
        <x:v>Planner recommendations</x:v>
      </x:c>
      <x:c r="D1687" s="71" t="str">
        <x:v>Shared planner output</x:v>
      </x:c>
      <x:c r="E1687" s="71" t="str">
        <x:v>JourneyMapPlannerWorkspace</x:v>
      </x:c>
      <x:c r="F1687" s="71" t="str">
        <x:v>Default</x:v>
      </x:c>
      <x:c r="G1687" s="71" t="str">
        <x:v>Label</x:v>
      </x:c>
      <x:c r="H1687" s="71" t="str">
        <x:v>Estado del viaje</x:v>
      </x:c>
      <x:c r="I1687" s="71" t="str">
        <x:v>Estado del viaje</x:v>
      </x:c>
      <x:c r="J1687" s="73"/>
      <x:c r="K1687" s="74" t="str">
        <x:f>IF(J1687="",H1687,IF(J1687=I1687,I1687,J1687))</x:f>
        <x:v>Estado del viaje</x:v>
      </x:c>
      <x:c r="L1687" s="74" t="str">
        <x:f>IF(J1687="","Keep current",IF(J1687=I1687,"Use suggestion","Custom"))</x:f>
        <x:v>Keep current</x:v>
      </x:c>
      <x:c r="M1687" s="71" t="str">
        <x:v>Pending review</x:v>
      </x:c>
      <x:c r="N1687" s="71" t="str">
        <x:v>Normal</x:v>
      </x:c>
      <x:c r="O1687" s="71" t="str">
        <x:v>components/journey-map-planner-workspace.tsx</x:v>
      </x:c>
      <x:c r="P1687" s="71" t="str">
        <x:v>JourneyMapPlannerWorkspace:1779</x:v>
      </x:c>
      <x:c r="Q1687" s="71" t="str">
        <x:v>ES</x:v>
      </x:c>
      <x:c r="R1687" s="71" t="str">
        <x:v>Already clear and direct; suggested wording intentionally keeps the current copy. Duplicate wording: appears 2 times.</x:v>
      </x:c>
      <x:c r="S1687" s="75" t="str">
        <x:v>Not applied — review required</x:v>
      </x:c>
    </x:row>
    <x:row r="1688">
      <x:c r="A1688" s="71" t="str">
        <x:v>MRV-C54D2AC33D</x:v>
      </x:c>
      <x:c r="B1688" s="71" t="str">
        <x:v>Planning</x:v>
      </x:c>
      <x:c r="C1688" s="71" t="str">
        <x:v>Planner recommendations</x:v>
      </x:c>
      <x:c r="D1688" s="71" t="str">
        <x:v>Shared planner output</x:v>
      </x:c>
      <x:c r="E1688" s="71" t="str">
        <x:v>JourneyMapPlannerWorkspace</x:v>
      </x:c>
      <x:c r="F1688" s="71" t="str">
        <x:v>Default</x:v>
      </x:c>
      <x:c r="G1688" s="71" t="str">
        <x:v>Label</x:v>
      </x:c>
      <x:c r="H1688" s="71" t="str">
        <x:v>Trip status</x:v>
      </x:c>
      <x:c r="I1688" s="71" t="str">
        <x:v>Trip status</x:v>
      </x:c>
      <x:c r="J1688" s="73"/>
      <x:c r="K1688" s="74" t="str">
        <x:f>IF(J1688="",H1688,IF(J1688=I1688,I1688,J1688))</x:f>
        <x:v>Trip status</x:v>
      </x:c>
      <x:c r="L1688" s="74" t="str">
        <x:f>IF(J1688="","Keep current",IF(J1688=I1688,"Use suggestion","Custom"))</x:f>
        <x:v>Keep current</x:v>
      </x:c>
      <x:c r="M1688" s="71" t="str">
        <x:v>Pending review</x:v>
      </x:c>
      <x:c r="N1688" s="71" t="str">
        <x:v>Normal</x:v>
      </x:c>
      <x:c r="O1688" s="71" t="str">
        <x:v>components/journey-map-planner-workspace.tsx</x:v>
      </x:c>
      <x:c r="P1688" s="71" t="str">
        <x:v>JourneyMapPlannerWorkspace:1779</x:v>
      </x:c>
      <x:c r="Q1688" s="71" t="str">
        <x:v>EN</x:v>
      </x:c>
      <x:c r="R1688" s="71" t="str">
        <x:v>Already clear and direct; suggested wording intentionally keeps the current copy. Duplicate wording: appears 2 times. Terminology watch: ‘trip’ and ‘journey’ both describe the same plan. Terminology watch: ‘stops’, ‘destinations’ and ‘places’ overlap.</x:v>
      </x:c>
      <x:c r="S1688" s="75" t="str">
        <x:v>Not applied — review required</x:v>
      </x:c>
    </x:row>
    <x:row r="1689">
      <x:c r="A1689" s="71" t="str">
        <x:v>MRV-9FE55F9E34</x:v>
      </x:c>
      <x:c r="B1689" s="71" t="str">
        <x:v>Planning</x:v>
      </x:c>
      <x:c r="C1689" s="71" t="str">
        <x:v>Planner recommendations</x:v>
      </x:c>
      <x:c r="D1689" s="71" t="str">
        <x:v>Shared planner output</x:v>
      </x:c>
      <x:c r="E1689" s="71" t="str">
        <x:v>JourneyMapPlannerWorkspace</x:v>
      </x:c>
      <x:c r="F1689" s="71" t="str">
        <x:v>Accessibility / input support</x:v>
      </x:c>
      <x:c r="G1689" s="71" t="str">
        <x:v>Accessibility label</x:v>
      </x:c>
      <x:c r="H1689" s="71" t="str">
        <x:v>{language === "es" ? "Enfocar destino" : "Fit destination"}: {selected.city}</x:v>
      </x:c>
      <x:c r="I1689" s="71" t="str">
        <x:v>{language === "es" ? "Enfocar destino" : "Fit destination"}: {selected.city}</x:v>
      </x:c>
      <x:c r="J1689" s="73"/>
      <x:c r="K1689" s="74" t="str">
        <x:f>IF(J1689="",H1689,IF(J1689=I1689,I1689,J1689))</x:f>
        <x:v>{language === "es" ? "Enfocar destino" : "Fit destination"}: {selected.city}</x:v>
      </x:c>
      <x:c r="L1689" s="74" t="str">
        <x:f>IF(J1689="","Keep current",IF(J1689=I1689,"Use suggestion","Custom"))</x:f>
        <x:v>Keep current</x:v>
      </x:c>
      <x:c r="M1689" s="71" t="str">
        <x:v>Pending review</x:v>
      </x:c>
      <x:c r="N1689" s="71" t="str">
        <x:v>Medium</x:v>
      </x:c>
      <x:c r="O1689" s="71" t="str">
        <x:v>components/journey-map-planner-workspace.tsx</x:v>
      </x:c>
      <x:c r="P1689" s="71" t="str">
        <x:v>JourneyMapPlannerWorkspace:1814</x:v>
      </x:c>
      <x:c r="Q1689" s="71" t="str">
        <x:v>EN (default / shared)</x:v>
      </x:c>
      <x:c r="R168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689" s="75" t="str">
        <x:v>Not applied — review required</x:v>
      </x:c>
    </x:row>
    <x:row r="1690">
      <x:c r="A1690" s="71" t="str">
        <x:v>MRV-484FE973A8</x:v>
      </x:c>
      <x:c r="B1690" s="71" t="str">
        <x:v>Planning</x:v>
      </x:c>
      <x:c r="C1690" s="71" t="str">
        <x:v>Planner recommendations</x:v>
      </x:c>
      <x:c r="D1690" s="71" t="str">
        <x:v>Shared planner output</x:v>
      </x:c>
      <x:c r="E1690" s="71" t="str">
        <x:v>JourneyMapPlannerWorkspace</x:v>
      </x:c>
      <x:c r="F1690" s="71" t="str">
        <x:v>Accessibility / input support</x:v>
      </x:c>
      <x:c r="G1690" s="71" t="str">
        <x:v>Accessibility label</x:v>
      </x:c>
      <x:c r="H1690" s="71" t="str">
        <x:v>Enfocar destino</x:v>
      </x:c>
      <x:c r="I1690" s="71" t="str">
        <x:v>Enfocar destino</x:v>
      </x:c>
      <x:c r="J1690" s="73"/>
      <x:c r="K1690" s="74" t="str">
        <x:f>IF(J1690="",H1690,IF(J1690=I1690,I1690,J1690))</x:f>
        <x:v>Enfocar destino</x:v>
      </x:c>
      <x:c r="L1690" s="74" t="str">
        <x:f>IF(J1690="","Keep current",IF(J1690=I1690,"Use suggestion","Custom"))</x:f>
        <x:v>Keep current</x:v>
      </x:c>
      <x:c r="M1690" s="71" t="str">
        <x:v>Pending review</x:v>
      </x:c>
      <x:c r="N1690" s="71" t="str">
        <x:v>Medium</x:v>
      </x:c>
      <x:c r="O1690" s="71" t="str">
        <x:v>components/journey-map-planner-workspace.tsx</x:v>
      </x:c>
      <x:c r="P1690" s="71" t="str">
        <x:v>JourneyMapPlannerWorkspace:1814</x:v>
      </x:c>
      <x:c r="Q1690" s="71" t="str">
        <x:v>ES</x:v>
      </x:c>
      <x:c r="R1690" s="71" t="str">
        <x:v>Already clear and direct; suggested wording intentionally keeps the current copy.</x:v>
      </x:c>
      <x:c r="S1690" s="75" t="str">
        <x:v>Not applied — review required</x:v>
      </x:c>
    </x:row>
    <x:row r="1691">
      <x:c r="A1691" s="71" t="str">
        <x:v>MRV-75D03B1EDB</x:v>
      </x:c>
      <x:c r="B1691" s="71" t="str">
        <x:v>Planning</x:v>
      </x:c>
      <x:c r="C1691" s="71" t="str">
        <x:v>Planner recommendations</x:v>
      </x:c>
      <x:c r="D1691" s="71" t="str">
        <x:v>Shared planner output</x:v>
      </x:c>
      <x:c r="E1691" s="71" t="str">
        <x:v>JourneyMapPlannerWorkspace</x:v>
      </x:c>
      <x:c r="F1691" s="71" t="str">
        <x:v>Accessibility / input support</x:v>
      </x:c>
      <x:c r="G1691" s="71" t="str">
        <x:v>Accessibility label</x:v>
      </x:c>
      <x:c r="H1691" s="71" t="str">
        <x:v>Fit destination</x:v>
      </x:c>
      <x:c r="I1691" s="71" t="str">
        <x:v>Fit destination</x:v>
      </x:c>
      <x:c r="J1691" s="73"/>
      <x:c r="K1691" s="74" t="str">
        <x:f>IF(J1691="",H1691,IF(J1691=I1691,I1691,J1691))</x:f>
        <x:v>Fit destination</x:v>
      </x:c>
      <x:c r="L1691" s="74" t="str">
        <x:f>IF(J1691="","Keep current",IF(J1691=I1691,"Use suggestion","Custom"))</x:f>
        <x:v>Keep current</x:v>
      </x:c>
      <x:c r="M1691" s="71" t="str">
        <x:v>Pending review</x:v>
      </x:c>
      <x:c r="N1691" s="71" t="str">
        <x:v>Medium</x:v>
      </x:c>
      <x:c r="O1691" s="71" t="str">
        <x:v>components/journey-map-planner-workspace.tsx</x:v>
      </x:c>
      <x:c r="P1691" s="71" t="str">
        <x:v>JourneyMapPlannerWorkspace:1814</x:v>
      </x:c>
      <x:c r="Q1691" s="71" t="str">
        <x:v>EN</x:v>
      </x:c>
      <x:c r="R1691" s="71" t="str">
        <x:v>Already clear and direct; suggested wording intentionally keeps the current copy. Duplicate wording: appears 2 times. Terminology watch: ‘trip’ and ‘journey’ both describe the same plan. Terminology watch: ‘stops’, ‘destinations’ and ‘places’ overlap.</x:v>
      </x:c>
      <x:c r="S1691" s="75" t="str">
        <x:v>Not applied — review required</x:v>
      </x:c>
    </x:row>
    <x:row r="1692">
      <x:c r="A1692" s="71" t="str">
        <x:v>MRV-DED92DF262</x:v>
      </x:c>
      <x:c r="B1692" s="71" t="str">
        <x:v>Planning</x:v>
      </x:c>
      <x:c r="C1692" s="71" t="str">
        <x:v>Planner recommendations</x:v>
      </x:c>
      <x:c r="D1692" s="71" t="str">
        <x:v>Shared planner output</x:v>
      </x:c>
      <x:c r="E1692" s="71" t="str">
        <x:v>JourneyMapPlannerWorkspace</x:v>
      </x:c>
      <x:c r="F1692" s="71" t="str">
        <x:v>Failure / recovery</x:v>
      </x:c>
      <x:c r="G1692" s="71" t="str">
        <x:v>Body copy</x:v>
      </x:c>
      <x:c r="H1692" s="71" t="str">
        <x:v>No se pudo preparar el PDF.</x:v>
      </x:c>
      <x:c r="I1692" s="71" t="str">
        <x:v>No pudimos preparar el PDF.</x:v>
      </x:c>
      <x:c r="J1692" s="73"/>
      <x:c r="K1692" s="74" t="str">
        <x:f>IF(J1692="",H1692,IF(J1692=I1692,I1692,J1692))</x:f>
        <x:v>No se pudo preparar el PDF.</x:v>
      </x:c>
      <x:c r="L1692" s="74" t="str">
        <x:f>IF(J1692="","Keep current",IF(J1692=I1692,"Use suggestion","Custom"))</x:f>
        <x:v>Keep current</x:v>
      </x:c>
      <x:c r="M1692" s="71" t="str">
        <x:v>Pending review</x:v>
      </x:c>
      <x:c r="N1692" s="71" t="str">
        <x:v>High</x:v>
      </x:c>
      <x:c r="O1692" s="71" t="str">
        <x:v>components/journey-map-planner-workspace.tsx</x:v>
      </x:c>
      <x:c r="P1692" s="71" t="str">
        <x:v>JourneyMapPlannerWorkspace:1819</x:v>
      </x:c>
      <x:c r="Q1692" s="71" t="str">
        <x:v>ES</x:v>
      </x:c>
      <x:c r="R1692" s="71" t="str">
        <x:v>Simplified for a warmer, more direct action or recovery message.</x:v>
      </x:c>
      <x:c r="S1692" s="75" t="str">
        <x:v>Not applied — review required</x:v>
      </x:c>
    </x:row>
    <x:row r="1693">
      <x:c r="A1693" s="71" t="str">
        <x:v>MRV-80BA3F53D6</x:v>
      </x:c>
      <x:c r="B1693" s="71" t="str">
        <x:v>Planning</x:v>
      </x:c>
      <x:c r="C1693" s="71" t="str">
        <x:v>Planner recommendations</x:v>
      </x:c>
      <x:c r="D1693" s="71" t="str">
        <x:v>Shared planner output</x:v>
      </x:c>
      <x:c r="E1693" s="71" t="str">
        <x:v>JourneyMapPlannerWorkspace</x:v>
      </x:c>
      <x:c r="F1693" s="71" t="str">
        <x:v>Failure / recovery</x:v>
      </x:c>
      <x:c r="G1693" s="71" t="str">
        <x:v>Body copy</x:v>
      </x:c>
      <x:c r="H1693" s="71" t="str">
        <x:v>The PDF could not be prepared.</x:v>
      </x:c>
      <x:c r="I1693" s="71" t="str">
        <x:v>The PDF could not be prepared.</x:v>
      </x:c>
      <x:c r="J1693" s="73"/>
      <x:c r="K1693" s="74" t="str">
        <x:f>IF(J1693="",H1693,IF(J1693=I1693,I1693,J1693))</x:f>
        <x:v>The PDF could not be prepared.</x:v>
      </x:c>
      <x:c r="L1693" s="74" t="str">
        <x:f>IF(J1693="","Keep current",IF(J1693=I1693,"Use suggestion","Custom"))</x:f>
        <x:v>Keep current</x:v>
      </x:c>
      <x:c r="M1693" s="71" t="str">
        <x:v>Pending review</x:v>
      </x:c>
      <x:c r="N1693" s="71" t="str">
        <x:v>High</x:v>
      </x:c>
      <x:c r="O1693" s="71" t="str">
        <x:v>components/journey-map-planner-workspace.tsx</x:v>
      </x:c>
      <x:c r="P1693" s="71" t="str">
        <x:v>JourneyMapPlannerWorkspace:1819</x:v>
      </x:c>
      <x:c r="Q1693" s="71" t="str">
        <x:v>EN</x:v>
      </x:c>
      <x:c r="R1693" s="71" t="str">
        <x:v>Already clear and direct; suggested wording intentionally keeps the current copy. Duplicate wording: appears 3 times.</x:v>
      </x:c>
      <x:c r="S1693" s="75" t="str">
        <x:v>Not applied — review required</x:v>
      </x:c>
    </x:row>
    <x:row r="1694">
      <x:c r="A1694" s="71" t="str">
        <x:v>MRV-D80CA9F8AF</x:v>
      </x:c>
      <x:c r="B1694" s="71" t="str">
        <x:v>Planning</x:v>
      </x:c>
      <x:c r="C1694" s="71" t="str">
        <x:v>Planner recommendations</x:v>
      </x:c>
      <x:c r="D1694" s="71" t="str">
        <x:v>Shared planner output</x:v>
      </x:c>
      <x:c r="E1694" s="71" t="str">
        <x:v>JourneyMapPlannerWorkspace</x:v>
      </x:c>
      <x:c r="F1694" s="71" t="str">
        <x:v>Default</x:v>
      </x:c>
      <x:c r="G1694" s="71" t="str">
        <x:v>Body copy</x:v>
      </x:c>
      <x:c r="H1694" s="71" t="str">
        <x:v>No se pudo guardar este viaje ahora. Tu plan sigue seguro en este dispositivo.</x:v>
      </x:c>
      <x:c r="I1694" s="71" t="str">
        <x:v>No pudimos guardar este viaje ahora. Tu plan sigue seguro en este dispositivo.</x:v>
      </x:c>
      <x:c r="J1694" s="73"/>
      <x:c r="K1694" s="74" t="str">
        <x:f>IF(J1694="",H1694,IF(J1694=I1694,I1694,J1694))</x:f>
        <x:v>No se pudo guardar este viaje ahora. Tu plan sigue seguro en este dispositivo.</x:v>
      </x:c>
      <x:c r="L1694" s="74" t="str">
        <x:f>IF(J1694="","Keep current",IF(J1694=I1694,"Use suggestion","Custom"))</x:f>
        <x:v>Keep current</x:v>
      </x:c>
      <x:c r="M1694" s="71" t="str">
        <x:v>Pending review</x:v>
      </x:c>
      <x:c r="N1694" s="71" t="str">
        <x:v>Normal</x:v>
      </x:c>
      <x:c r="O1694" s="71" t="str">
        <x:v>components/journey-map-planner-workspace.tsx</x:v>
      </x:c>
      <x:c r="P1694" s="71" t="str">
        <x:v>JourneyMapPlannerWorkspace:1820</x:v>
      </x:c>
      <x:c r="Q1694" s="71" t="str">
        <x:v>ES</x:v>
      </x:c>
      <x:c r="R1694" s="71" t="str">
        <x:v>Simplified for a warmer, more direct action or recovery message.</x:v>
      </x:c>
      <x:c r="S1694" s="75" t="str">
        <x:v>Not applied — review required</x:v>
      </x:c>
    </x:row>
    <x:row r="1695">
      <x:c r="A1695" s="71" t="str">
        <x:v>MRV-D3FB0F18BD</x:v>
      </x:c>
      <x:c r="B1695" s="71" t="str">
        <x:v>Planning</x:v>
      </x:c>
      <x:c r="C1695" s="71" t="str">
        <x:v>Planner recommendations</x:v>
      </x:c>
      <x:c r="D1695" s="71" t="str">
        <x:v>Shared planner output</x:v>
      </x:c>
      <x:c r="E1695" s="71" t="str">
        <x:v>JourneyMapPlannerWorkspace</x:v>
      </x:c>
      <x:c r="F1695" s="71" t="str">
        <x:v>Default</x:v>
      </x:c>
      <x:c r="G1695" s="71" t="str">
        <x:v>Body copy</x:v>
      </x:c>
      <x:c r="H1695" s="71" t="str">
        <x:v>Couldn’t save this trip just now. Your plan is still safe on this device.</x:v>
      </x:c>
      <x:c r="I1695" s="71" t="str">
        <x:v>Couldn’t save this trip just now. Your plan is still safe on this device.</x:v>
      </x:c>
      <x:c r="J1695" s="73"/>
      <x:c r="K1695" s="74" t="str">
        <x:f>IF(J1695="",H1695,IF(J1695=I1695,I1695,J1695))</x:f>
        <x:v>Couldn’t save this trip just now. Your plan is still safe on this device.</x:v>
      </x:c>
      <x:c r="L1695" s="74" t="str">
        <x:f>IF(J1695="","Keep current",IF(J1695=I1695,"Use suggestion","Custom"))</x:f>
        <x:v>Keep current</x:v>
      </x:c>
      <x:c r="M1695" s="71" t="str">
        <x:v>Pending review</x:v>
      </x:c>
      <x:c r="N1695" s="71" t="str">
        <x:v>Normal</x:v>
      </x:c>
      <x:c r="O1695" s="71" t="str">
        <x:v>components/journey-map-planner-workspace.tsx</x:v>
      </x:c>
      <x:c r="P1695" s="71" t="str">
        <x:v>JourneyMapPlannerWorkspace:1820</x:v>
      </x:c>
      <x:c r="Q1695" s="71" t="str">
        <x:v>EN</x:v>
      </x:c>
      <x:c r="R1695" s="71" t="str">
        <x:v>Already clear and direct; suggested wording intentionally keeps the current copy. Duplicate wording: appears 3 times. Terminology watch: ‘trip’ and ‘journey’ both describe the same plan. Terminology watch: ‘stops’, ‘destinations’ and ‘places’ overlap.</x:v>
      </x:c>
      <x:c r="S1695" s="75" t="str">
        <x:v>Not applied — review required</x:v>
      </x:c>
    </x:row>
    <x:row r="1696">
      <x:c r="A1696" s="71" t="str">
        <x:v>MRV-5410404AC3</x:v>
      </x:c>
      <x:c r="B1696" s="71" t="str">
        <x:v>Planning</x:v>
      </x:c>
      <x:c r="C1696" s="71" t="str">
        <x:v>Planner recommendations</x:v>
      </x:c>
      <x:c r="D1696" s="71" t="str">
        <x:v>Shared planner output</x:v>
      </x:c>
      <x:c r="E1696" s="71" t="str">
        <x:v>JourneyMapPlannerWorkspace</x:v>
      </x:c>
      <x:c r="F1696" s="71" t="str">
        <x:v>Default</x:v>
      </x:c>
      <x:c r="G1696" s="71" t="str">
        <x:v>Label</x:v>
      </x:c>
      <x:c r="H1696" s="71" t="str">
        <x:v>Recargar copia en la nube</x:v>
      </x:c>
      <x:c r="I1696" s="71" t="str">
        <x:v>Recargar copia en la nube</x:v>
      </x:c>
      <x:c r="J1696" s="73"/>
      <x:c r="K1696" s="74" t="str">
        <x:f>IF(J1696="",H1696,IF(J1696=I1696,I1696,J1696))</x:f>
        <x:v>Recargar copia en la nube</x:v>
      </x:c>
      <x:c r="L1696" s="74" t="str">
        <x:f>IF(J1696="","Keep current",IF(J1696=I1696,"Use suggestion","Custom"))</x:f>
        <x:v>Keep current</x:v>
      </x:c>
      <x:c r="M1696" s="71" t="str">
        <x:v>Pending review</x:v>
      </x:c>
      <x:c r="N1696" s="71" t="str">
        <x:v>Normal</x:v>
      </x:c>
      <x:c r="O1696" s="71" t="str">
        <x:v>components/journey-map-planner-workspace.tsx</x:v>
      </x:c>
      <x:c r="P1696" s="71" t="str">
        <x:v>JourneyMapPlannerWorkspace:1820</x:v>
      </x:c>
      <x:c r="Q1696" s="71" t="str">
        <x:v>ES</x:v>
      </x:c>
      <x:c r="R1696" s="71" t="str">
        <x:v>Already clear and direct; suggested wording intentionally keeps the current copy.</x:v>
      </x:c>
      <x:c r="S1696" s="75" t="str">
        <x:v>Not applied — review required</x:v>
      </x:c>
    </x:row>
    <x:row r="1697">
      <x:c r="A1697" s="71" t="str">
        <x:v>MRV-20D224C182</x:v>
      </x:c>
      <x:c r="B1697" s="71" t="str">
        <x:v>Planning</x:v>
      </x:c>
      <x:c r="C1697" s="71" t="str">
        <x:v>Planner recommendations</x:v>
      </x:c>
      <x:c r="D1697" s="71" t="str">
        <x:v>Shared planner output</x:v>
      </x:c>
      <x:c r="E1697" s="71" t="str">
        <x:v>JourneyMapPlannerWorkspace</x:v>
      </x:c>
      <x:c r="F1697" s="71" t="str">
        <x:v>Default</x:v>
      </x:c>
      <x:c r="G1697" s="71" t="str">
        <x:v>Label</x:v>
      </x:c>
      <x:c r="H1697" s="71" t="str">
        <x:v>Reload cloud copy</x:v>
      </x:c>
      <x:c r="I1697" s="71" t="str">
        <x:v>Reload cloud copy</x:v>
      </x:c>
      <x:c r="J1697" s="73"/>
      <x:c r="K1697" s="74" t="str">
        <x:f>IF(J1697="",H1697,IF(J1697=I1697,I1697,J1697))</x:f>
        <x:v>Reload cloud copy</x:v>
      </x:c>
      <x:c r="L1697" s="74" t="str">
        <x:f>IF(J1697="","Keep current",IF(J1697=I1697,"Use suggestion","Custom"))</x:f>
        <x:v>Keep current</x:v>
      </x:c>
      <x:c r="M1697" s="71" t="str">
        <x:v>Pending review</x:v>
      </x:c>
      <x:c r="N1697" s="71" t="str">
        <x:v>Normal</x:v>
      </x:c>
      <x:c r="O1697" s="71" t="str">
        <x:v>components/journey-map-planner-workspace.tsx</x:v>
      </x:c>
      <x:c r="P1697" s="71" t="str">
        <x:v>JourneyMapPlannerWorkspace:1820</x:v>
      </x:c>
      <x:c r="Q1697" s="71" t="str">
        <x:v>EN</x:v>
      </x:c>
      <x:c r="R1697" s="71" t="str">
        <x:v>Already clear and direct; suggested wording intentionally keeps the current copy. Duplicate wording: appears 2 times.</x:v>
      </x:c>
      <x:c r="S1697" s="75" t="str">
        <x:v>Not applied — review required</x:v>
      </x:c>
    </x:row>
    <x:row r="1698">
      <x:c r="A1698" s="71" t="str">
        <x:v>MRV-7C7C8F5556</x:v>
      </x:c>
      <x:c r="B1698" s="71" t="str">
        <x:v>Planning</x:v>
      </x:c>
      <x:c r="C1698" s="71" t="str">
        <x:v>Planner recommendations</x:v>
      </x:c>
      <x:c r="D1698" s="71" t="str">
        <x:v>Shared planner output</x:v>
      </x:c>
      <x:c r="E1698" s="71" t="str">
        <x:v>JourneyMapPlannerWorkspace</x:v>
      </x:c>
      <x:c r="F1698" s="71" t="str">
        <x:v>Default</x:v>
      </x:c>
      <x:c r="G1698" s="71" t="str">
        <x:v>Label</x:v>
      </x:c>
      <x:c r="H1698" s="71" t="str">
        <x:v>Abrir copia del dispositivo</x:v>
      </x:c>
      <x:c r="I1698" s="71" t="str">
        <x:v>Abrir copia del dispositivo</x:v>
      </x:c>
      <x:c r="J1698" s="73"/>
      <x:c r="K1698" s="74" t="str">
        <x:f>IF(J1698="",H1698,IF(J1698=I1698,I1698,J1698))</x:f>
        <x:v>Abrir copia del dispositivo</x:v>
      </x:c>
      <x:c r="L1698" s="74" t="str">
        <x:f>IF(J1698="","Keep current",IF(J1698=I1698,"Use suggestion","Custom"))</x:f>
        <x:v>Keep current</x:v>
      </x:c>
      <x:c r="M1698" s="71" t="str">
        <x:v>Pending review</x:v>
      </x:c>
      <x:c r="N1698" s="71" t="str">
        <x:v>Normal</x:v>
      </x:c>
      <x:c r="O1698" s="71" t="str">
        <x:v>components/journey-map-planner-workspace.tsx</x:v>
      </x:c>
      <x:c r="P1698" s="71" t="str">
        <x:v>JourneyMapPlannerWorkspace:1820</x:v>
      </x:c>
      <x:c r="Q1698" s="71" t="str">
        <x:v>ES</x:v>
      </x:c>
      <x:c r="R1698" s="71" t="str">
        <x:v>Already clear and direct; suggested wording intentionally keeps the current copy. Duplicate wording: appears 3 times.</x:v>
      </x:c>
      <x:c r="S1698" s="75" t="str">
        <x:v>Not applied — review required</x:v>
      </x:c>
    </x:row>
    <x:row r="1699">
      <x:c r="A1699" s="71" t="str">
        <x:v>MRV-11D46C01F6</x:v>
      </x:c>
      <x:c r="B1699" s="71" t="str">
        <x:v>Planning</x:v>
      </x:c>
      <x:c r="C1699" s="71" t="str">
        <x:v>Planner recommendations</x:v>
      </x:c>
      <x:c r="D1699" s="71" t="str">
        <x:v>Shared planner output</x:v>
      </x:c>
      <x:c r="E1699" s="71" t="str">
        <x:v>JourneyMapPlannerWorkspace</x:v>
      </x:c>
      <x:c r="F1699" s="71" t="str">
        <x:v>Default</x:v>
      </x:c>
      <x:c r="G1699" s="71" t="str">
        <x:v>CTA / button</x:v>
      </x:c>
      <x:c r="H1699" s="71" t="str">
        <x:v>Open device copy</x:v>
      </x:c>
      <x:c r="I1699" s="71" t="str">
        <x:v>Open device copy</x:v>
      </x:c>
      <x:c r="J1699" s="73"/>
      <x:c r="K1699" s="74" t="str">
        <x:f>IF(J1699="",H1699,IF(J1699=I1699,I1699,J1699))</x:f>
        <x:v>Open device copy</x:v>
      </x:c>
      <x:c r="L1699" s="74" t="str">
        <x:f>IF(J1699="","Keep current",IF(J1699=I1699,"Use suggestion","Custom"))</x:f>
        <x:v>Keep current</x:v>
      </x:c>
      <x:c r="M1699" s="71" t="str">
        <x:v>Pending review</x:v>
      </x:c>
      <x:c r="N1699" s="71" t="str">
        <x:v>Medium</x:v>
      </x:c>
      <x:c r="O1699" s="71" t="str">
        <x:v>components/journey-map-planner-workspace.tsx</x:v>
      </x:c>
      <x:c r="P1699" s="71" t="str">
        <x:v>JourneyMapPlannerWorkspace:1820</x:v>
      </x:c>
      <x:c r="Q1699" s="71" t="str">
        <x:v>EN</x:v>
      </x:c>
      <x:c r="R1699" s="71" t="str">
        <x:v>Already clear and direct; suggested wording intentionally keeps the current copy. Duplicate wording: appears 4 times.</x:v>
      </x:c>
      <x:c r="S1699" s="75" t="str">
        <x:v>Not applied — review required</x:v>
      </x:c>
    </x:row>
    <x:row r="1700">
      <x:c r="A1700" s="71" t="str">
        <x:v>MRV-15AC14855D</x:v>
      </x:c>
      <x:c r="B1700" s="71" t="str">
        <x:v>Planning</x:v>
      </x:c>
      <x:c r="C1700" s="71" t="str">
        <x:v>Planner recommendations</x:v>
      </x:c>
      <x:c r="D1700" s="71" t="str">
        <x:v>Shared planner output</x:v>
      </x:c>
      <x:c r="E1700" s="71" t="str">
        <x:v>JourneyMapPlannerWorkspace</x:v>
      </x:c>
      <x:c r="F1700" s="71" t="str">
        <x:v>Session expired</x:v>
      </x:c>
      <x:c r="G1700" s="71" t="str">
        <x:v>Label</x:v>
      </x:c>
      <x:c r="H1700" s="71" t="str">
        <x:v>Iniciar sesión de nuevo</x:v>
      </x:c>
      <x:c r="I1700" s="71" t="str">
        <x:v>Iniciar sesión de nuevo</x:v>
      </x:c>
      <x:c r="J1700" s="73"/>
      <x:c r="K1700" s="74" t="str">
        <x:f>IF(J1700="",H1700,IF(J1700=I1700,I1700,J1700))</x:f>
        <x:v>Iniciar sesión de nuevo</x:v>
      </x:c>
      <x:c r="L1700" s="74" t="str">
        <x:f>IF(J1700="","Keep current",IF(J1700=I1700,"Use suggestion","Custom"))</x:f>
        <x:v>Keep current</x:v>
      </x:c>
      <x:c r="M1700" s="71" t="str">
        <x:v>Pending review</x:v>
      </x:c>
      <x:c r="N1700" s="71" t="str">
        <x:v>High</x:v>
      </x:c>
      <x:c r="O1700" s="71" t="str">
        <x:v>components/journey-map-planner-workspace.tsx</x:v>
      </x:c>
      <x:c r="P1700" s="71" t="str">
        <x:v>JourneyMapPlannerWorkspace:1820</x:v>
      </x:c>
      <x:c r="Q1700" s="71" t="str">
        <x:v>ES</x:v>
      </x:c>
      <x:c r="R1700" s="71" t="str">
        <x:v>Already clear and direct; suggested wording intentionally keeps the current copy. Duplicate wording: appears 2 times.</x:v>
      </x:c>
      <x:c r="S1700" s="75" t="str">
        <x:v>Not applied — review required</x:v>
      </x:c>
    </x:row>
    <x:row r="1701">
      <x:c r="A1701" s="71" t="str">
        <x:v>MRV-8C9CF4BC20</x:v>
      </x:c>
      <x:c r="B1701" s="71" t="str">
        <x:v>Planning</x:v>
      </x:c>
      <x:c r="C1701" s="71" t="str">
        <x:v>Planner recommendations</x:v>
      </x:c>
      <x:c r="D1701" s="71" t="str">
        <x:v>Shared planner output</x:v>
      </x:c>
      <x:c r="E1701" s="71" t="str">
        <x:v>JourneyMapPlannerWorkspace</x:v>
      </x:c>
      <x:c r="F1701" s="71" t="str">
        <x:v>Session expired</x:v>
      </x:c>
      <x:c r="G1701" s="71" t="str">
        <x:v>CTA / button</x:v>
      </x:c>
      <x:c r="H1701" s="71" t="str">
        <x:v>Sign in again</x:v>
      </x:c>
      <x:c r="I1701" s="71" t="str">
        <x:v>Sign in again</x:v>
      </x:c>
      <x:c r="J1701" s="73"/>
      <x:c r="K1701" s="74" t="str">
        <x:f>IF(J1701="",H1701,IF(J1701=I1701,I1701,J1701))</x:f>
        <x:v>Sign in again</x:v>
      </x:c>
      <x:c r="L1701" s="74" t="str">
        <x:f>IF(J1701="","Keep current",IF(J1701=I1701,"Use suggestion","Custom"))</x:f>
        <x:v>Keep current</x:v>
      </x:c>
      <x:c r="M1701" s="71" t="str">
        <x:v>Pending review</x:v>
      </x:c>
      <x:c r="N1701" s="71" t="str">
        <x:v>High</x:v>
      </x:c>
      <x:c r="O1701" s="71" t="str">
        <x:v>components/journey-map-planner-workspace.tsx</x:v>
      </x:c>
      <x:c r="P1701" s="71" t="str">
        <x:v>JourneyMapPlannerWorkspace:1820</x:v>
      </x:c>
      <x:c r="Q1701" s="71" t="str">
        <x:v>EN</x:v>
      </x:c>
      <x:c r="R1701" s="71" t="str">
        <x:v>Already clear and direct; suggested wording intentionally keeps the current copy. Duplicate wording: appears 8 times.</x:v>
      </x:c>
      <x:c r="S1701" s="75" t="str">
        <x:v>Not applied — review required</x:v>
      </x:c>
    </x:row>
    <x:row r="1702">
      <x:c r="A1702" s="71" t="str">
        <x:v>MRV-9137E4C896</x:v>
      </x:c>
      <x:c r="B1702" s="71" t="str">
        <x:v>Planning</x:v>
      </x:c>
      <x:c r="C1702" s="71" t="str">
        <x:v>Planner recommendations</x:v>
      </x:c>
      <x:c r="D1702" s="71" t="str">
        <x:v>Shared planner output</x:v>
      </x:c>
      <x:c r="E1702" s="71" t="str">
        <x:v>JourneyMapPlannerWorkspace</x:v>
      </x:c>
      <x:c r="F1702" s="71" t="str">
        <x:v>Failure / recovery</x:v>
      </x:c>
      <x:c r="G1702" s="71" t="str">
        <x:v>Label</x:v>
      </x:c>
      <x:c r="H1702" s="71" t="str">
        <x:v>Reintentar</x:v>
      </x:c>
      <x:c r="I1702" s="71" t="str">
        <x:v>Reintentar</x:v>
      </x:c>
      <x:c r="J1702" s="73"/>
      <x:c r="K1702" s="74" t="str">
        <x:f>IF(J1702="",H1702,IF(J1702=I1702,I1702,J1702))</x:f>
        <x:v>Reintentar</x:v>
      </x:c>
      <x:c r="L1702" s="74" t="str">
        <x:f>IF(J1702="","Keep current",IF(J1702=I1702,"Use suggestion","Custom"))</x:f>
        <x:v>Keep current</x:v>
      </x:c>
      <x:c r="M1702" s="71" t="str">
        <x:v>Pending review</x:v>
      </x:c>
      <x:c r="N1702" s="71" t="str">
        <x:v>High</x:v>
      </x:c>
      <x:c r="O1702" s="71" t="str">
        <x:v>components/journey-map-planner-workspace.tsx</x:v>
      </x:c>
      <x:c r="P1702" s="71" t="str">
        <x:v>JourneyMapPlannerWorkspace:1820</x:v>
      </x:c>
      <x:c r="Q1702" s="71" t="str">
        <x:v>ES</x:v>
      </x:c>
      <x:c r="R1702" s="71" t="str">
        <x:v>Already clear and direct; suggested wording intentionally keeps the current copy. Duplicate wording: appears 4 times.</x:v>
      </x:c>
      <x:c r="S1702" s="75" t="str">
        <x:v>Not applied — review required</x:v>
      </x:c>
    </x:row>
    <x:row r="1703">
      <x:c r="A1703" s="71" t="str">
        <x:v>MRV-48FA4634B3</x:v>
      </x:c>
      <x:c r="B1703" s="71" t="str">
        <x:v>Planning</x:v>
      </x:c>
      <x:c r="C1703" s="71" t="str">
        <x:v>Planner recommendations</x:v>
      </x:c>
      <x:c r="D1703" s="71" t="str">
        <x:v>Shared planner output</x:v>
      </x:c>
      <x:c r="E1703" s="71" t="str">
        <x:v>JourneyMapPlannerWorkspace</x:v>
      </x:c>
      <x:c r="F1703" s="71" t="str">
        <x:v>Failure / recovery</x:v>
      </x:c>
      <x:c r="G1703" s="71" t="str">
        <x:v>CTA / button</x:v>
      </x:c>
      <x:c r="H1703" s="71" t="str">
        <x:v>Try again</x:v>
      </x:c>
      <x:c r="I1703" s="71" t="str">
        <x:v>Try again</x:v>
      </x:c>
      <x:c r="J1703" s="73"/>
      <x:c r="K1703" s="74" t="str">
        <x:f>IF(J1703="",H1703,IF(J1703=I1703,I1703,J1703))</x:f>
        <x:v>Try again</x:v>
      </x:c>
      <x:c r="L1703" s="74" t="str">
        <x:f>IF(J1703="","Keep current",IF(J1703=I1703,"Use suggestion","Custom"))</x:f>
        <x:v>Keep current</x:v>
      </x:c>
      <x:c r="M1703" s="71" t="str">
        <x:v>Pending review</x:v>
      </x:c>
      <x:c r="N1703" s="71" t="str">
        <x:v>High</x:v>
      </x:c>
      <x:c r="O1703" s="71" t="str">
        <x:v>components/journey-map-planner-workspace.tsx</x:v>
      </x:c>
      <x:c r="P1703" s="71" t="str">
        <x:v>JourneyMapPlannerWorkspace:1820</x:v>
      </x:c>
      <x:c r="Q1703" s="71" t="str">
        <x:v>EN</x:v>
      </x:c>
      <x:c r="R1703" s="71" t="str">
        <x:v>Already clear and direct; suggested wording intentionally keeps the current copy. Duplicate wording: appears 7 times.</x:v>
      </x:c>
      <x:c r="S1703" s="75" t="str">
        <x:v>Not applied — review required</x:v>
      </x:c>
    </x:row>
    <x:row r="1704">
      <x:c r="A1704" s="71" t="str">
        <x:v>MRV-257AB214F7</x:v>
      </x:c>
      <x:c r="B1704" s="71" t="str">
        <x:v>System</x:v>
      </x:c>
      <x:c r="C1704" s="71" t="str">
        <x:v>Shared recovery / system</x:v>
      </x:c>
      <x:c r="D1704" s="71" t="str">
        <x:v>Shared</x:v>
      </x:c>
      <x:c r="E1704" s="71" t="str">
        <x:v>PlanWorkspace</x:v>
      </x:c>
      <x:c r="F1704" s="71" t="str">
        <x:v>Accessibility / input support</x:v>
      </x:c>
      <x:c r="G1704" s="71" t="str">
        <x:v>Accessibility label</x:v>
      </x:c>
      <x:c r="H1704" s="71" t="str">
        <x:v>Selected day plan</x:v>
      </x:c>
      <x:c r="I1704" s="71" t="str">
        <x:v>Selected day plan</x:v>
      </x:c>
      <x:c r="J1704" s="73"/>
      <x:c r="K1704" s="74" t="str">
        <x:f>IF(J1704="",H1704,IF(J1704=I1704,I1704,J1704))</x:f>
        <x:v>Selected day plan</x:v>
      </x:c>
      <x:c r="L1704" s="74" t="str">
        <x:f>IF(J1704="","Keep current",IF(J1704=I1704,"Use suggestion","Custom"))</x:f>
        <x:v>Keep current</x:v>
      </x:c>
      <x:c r="M1704" s="71" t="str">
        <x:v>Pending review</x:v>
      </x:c>
      <x:c r="N1704" s="71" t="str">
        <x:v>Medium</x:v>
      </x:c>
      <x:c r="O1704" s="71" t="str">
        <x:v>components/journey-plan-workspace.tsx</x:v>
      </x:c>
      <x:c r="P1704" s="71" t="str">
        <x:v>PlanWorkspace:103</x:v>
      </x:c>
      <x:c r="Q1704" s="71" t="str">
        <x:v>EN (default / shared)</x:v>
      </x:c>
      <x:c r="R1704" s="71" t="str">
        <x:v>Already clear and direct; suggested wording intentionally keeps the current copy.</x:v>
      </x:c>
      <x:c r="S1704" s="75" t="str">
        <x:v>Not applied — review required</x:v>
      </x:c>
    </x:row>
    <x:row r="1705">
      <x:c r="A1705" s="71" t="str">
        <x:v>MRV-934AA98296</x:v>
      </x:c>
      <x:c r="B1705" s="71" t="str">
        <x:v>System</x:v>
      </x:c>
      <x:c r="C1705" s="71" t="str">
        <x:v>Shared recovery / system</x:v>
      </x:c>
      <x:c r="D1705" s="71" t="str">
        <x:v>Shared</x:v>
      </x:c>
      <x:c r="E1705" s="71" t="str">
        <x:v>PlanWorkspace</x:v>
      </x:c>
      <x:c r="F1705" s="71" t="str">
        <x:v>Default</x:v>
      </x:c>
      <x:c r="G1705" s="71" t="str">
        <x:v>Body copy</x:v>
      </x:c>
      <x:c r="H1705" s="71" t="str">
        <x:v>{transfer.from} → {selectedDay.city}</x:v>
      </x:c>
      <x:c r="I1705" s="71" t="str">
        <x:v>{transfer.from} → {selectedDay.city}</x:v>
      </x:c>
      <x:c r="J1705" s="73"/>
      <x:c r="K1705" s="74" t="str">
        <x:f>IF(J1705="",H1705,IF(J1705=I1705,I1705,J1705))</x:f>
        <x:v>{transfer.from} → {selectedDay.city}</x:v>
      </x:c>
      <x:c r="L1705" s="74" t="str">
        <x:f>IF(J1705="","Keep current",IF(J1705=I1705,"Use suggestion","Custom"))</x:f>
        <x:v>Keep current</x:v>
      </x:c>
      <x:c r="M1705" s="71" t="str">
        <x:v>Pending review</x:v>
      </x:c>
      <x:c r="N1705" s="71" t="str">
        <x:v>Normal</x:v>
      </x:c>
      <x:c r="O1705" s="71" t="str">
        <x:v>components/journey-plan-workspace.tsx</x:v>
      </x:c>
      <x:c r="P1705" s="71" t="str">
        <x:v>PlanWorkspace:105</x:v>
      </x:c>
      <x:c r="Q1705" s="71" t="str">
        <x:v>EN (default / shared)</x:v>
      </x:c>
      <x:c r="R1705" s="71" t="str">
        <x:v>Already clear and direct; suggested wording intentionally keeps the current copy. Dynamic traveller or trip value is represented as a token; user-generated values are excluded.</x:v>
      </x:c>
      <x:c r="S1705" s="75" t="str">
        <x:v>Not applied — review required</x:v>
      </x:c>
    </x:row>
    <x:row r="1706">
      <x:c r="A1706" s="71" t="str">
        <x:v>MRV-40717AB74F</x:v>
      </x:c>
      <x:c r="B1706" s="71" t="str">
        <x:v>System</x:v>
      </x:c>
      <x:c r="C1706" s="71" t="str">
        <x:v>Shared recovery / system</x:v>
      </x:c>
      <x:c r="D1706" s="71" t="str">
        <x:v>Shared</x:v>
      </x:c>
      <x:c r="E1706" s="71" t="str">
        <x:v>PlanWorkspace</x:v>
      </x:c>
      <x:c r="F1706" s="71" t="str">
        <x:v>Default</x:v>
      </x:c>
      <x:c r="G1706" s="71" t="str">
        <x:v>Label</x:v>
      </x:c>
      <x:c r="H1706" s="71" t="str">
        <x:v>Transfer details</x:v>
      </x:c>
      <x:c r="I1706" s="71" t="str">
        <x:v>Transfer details</x:v>
      </x:c>
      <x:c r="J1706" s="73"/>
      <x:c r="K1706" s="74" t="str">
        <x:f>IF(J1706="",H1706,IF(J1706=I1706,I1706,J1706))</x:f>
        <x:v>Transfer details</x:v>
      </x:c>
      <x:c r="L1706" s="74" t="str">
        <x:f>IF(J1706="","Keep current",IF(J1706=I1706,"Use suggestion","Custom"))</x:f>
        <x:v>Keep current</x:v>
      </x:c>
      <x:c r="M1706" s="71" t="str">
        <x:v>Pending review</x:v>
      </x:c>
      <x:c r="N1706" s="71" t="str">
        <x:v>Normal</x:v>
      </x:c>
      <x:c r="O1706" s="71" t="str">
        <x:v>components/journey-plan-workspace.tsx</x:v>
      </x:c>
      <x:c r="P1706" s="71" t="str">
        <x:v>PlanWorkspace:105</x:v>
      </x:c>
      <x:c r="Q1706" s="71" t="str">
        <x:v>EN (default / shared)</x:v>
      </x:c>
      <x:c r="R1706" s="71" t="str">
        <x:v>Already clear and direct; suggested wording intentionally keeps the current copy.</x:v>
      </x:c>
      <x:c r="S1706" s="75" t="str">
        <x:v>Not applied — review required</x:v>
      </x:c>
    </x:row>
    <x:row r="1707">
      <x:c r="A1707" s="71" t="str">
        <x:v>MRV-CEFC92A0BD</x:v>
      </x:c>
      <x:c r="B1707" s="71" t="str">
        <x:v>System</x:v>
      </x:c>
      <x:c r="C1707" s="71" t="str">
        <x:v>Shared recovery / system</x:v>
      </x:c>
      <x:c r="D1707" s="71" t="str">
        <x:v>Shared</x:v>
      </x:c>
      <x:c r="E1707" s="71" t="str">
        <x:v>PlanWorkspace</x:v>
      </x:c>
      <x:c r="F1707" s="71" t="str">
        <x:v>Accessibility / input support</x:v>
      </x:c>
      <x:c r="G1707" s="71" t="str">
        <x:v>Accessibility label</x:v>
      </x:c>
      <x:c r="H1707" s="71" t="str">
        <x:v>Day utilities</x:v>
      </x:c>
      <x:c r="I1707" s="71" t="str">
        <x:v>Day utilities</x:v>
      </x:c>
      <x:c r="J1707" s="73"/>
      <x:c r="K1707" s="74" t="str">
        <x:f>IF(J1707="",H1707,IF(J1707=I1707,I1707,J1707))</x:f>
        <x:v>Day utilities</x:v>
      </x:c>
      <x:c r="L1707" s="74" t="str">
        <x:f>IF(J1707="","Keep current",IF(J1707=I1707,"Use suggestion","Custom"))</x:f>
        <x:v>Keep current</x:v>
      </x:c>
      <x:c r="M1707" s="71" t="str">
        <x:v>Pending review</x:v>
      </x:c>
      <x:c r="N1707" s="71" t="str">
        <x:v>Medium</x:v>
      </x:c>
      <x:c r="O1707" s="71" t="str">
        <x:v>components/journey-plan-workspace.tsx</x:v>
      </x:c>
      <x:c r="P1707" s="71" t="str">
        <x:v>PlanWorkspace:112</x:v>
      </x:c>
      <x:c r="Q1707" s="71" t="str">
        <x:v>EN (default / shared)</x:v>
      </x:c>
      <x:c r="R1707" s="71" t="str">
        <x:v>Already clear and direct; suggested wording intentionally keeps the current copy.</x:v>
      </x:c>
      <x:c r="S1707" s="75" t="str">
        <x:v>Not applied — review required</x:v>
      </x:c>
    </x:row>
    <x:row r="1708">
      <x:c r="A1708" s="71" t="str">
        <x:v>MRV-D2BE65E200</x:v>
      </x:c>
      <x:c r="B1708" s="71" t="str">
        <x:v>System</x:v>
      </x:c>
      <x:c r="C1708" s="71" t="str">
        <x:v>Shared recovery / system</x:v>
      </x:c>
      <x:c r="D1708" s="71" t="str">
        <x:v>Shared</x:v>
      </x:c>
      <x:c r="E1708" s="71" t="str">
        <x:v>PlanWorkspace</x:v>
      </x:c>
      <x:c r="F1708" s="71" t="str">
        <x:v>Accessibility / input support</x:v>
      </x:c>
      <x:c r="G1708" s="71" t="str">
        <x:v>Accessibility label</x:v>
      </x:c>
      <x:c r="H1708" s="71" t="str">
        <x:v>Day notes</x:v>
      </x:c>
      <x:c r="I1708" s="71" t="str">
        <x:v>Day notes</x:v>
      </x:c>
      <x:c r="J1708" s="73"/>
      <x:c r="K1708" s="74" t="str">
        <x:f>IF(J1708="",H1708,IF(J1708=I1708,I1708,J1708))</x:f>
        <x:v>Day notes</x:v>
      </x:c>
      <x:c r="L1708" s="74" t="str">
        <x:f>IF(J1708="","Keep current",IF(J1708=I1708,"Use suggestion","Custom"))</x:f>
        <x:v>Keep current</x:v>
      </x:c>
      <x:c r="M1708" s="71" t="str">
        <x:v>Pending review</x:v>
      </x:c>
      <x:c r="N1708" s="71" t="str">
        <x:v>Medium</x:v>
      </x:c>
      <x:c r="O1708" s="71" t="str">
        <x:v>components/journey-plan-workspace.tsx</x:v>
      </x:c>
      <x:c r="P1708" s="71" t="str">
        <x:v>PlanWorkspace:114</x:v>
      </x:c>
      <x:c r="Q1708" s="71" t="str">
        <x:v>EN (default / shared)</x:v>
      </x:c>
      <x:c r="R1708" s="71" t="str">
        <x:v>Already clear and direct; suggested wording intentionally keeps the current copy.</x:v>
      </x:c>
      <x:c r="S1708" s="75" t="str">
        <x:v>Not applied — review required</x:v>
      </x:c>
    </x:row>
    <x:row r="1709">
      <x:c r="A1709" s="71" t="str">
        <x:v>MRV-8499350B9C</x:v>
      </x:c>
      <x:c r="B1709" s="71" t="str">
        <x:v>System</x:v>
      </x:c>
      <x:c r="C1709" s="71" t="str">
        <x:v>Shared recovery / system</x:v>
      </x:c>
      <x:c r="D1709" s="71" t="str">
        <x:v>Shared</x:v>
      </x:c>
      <x:c r="E1709" s="71" t="str">
        <x:v>PlanWorkspace</x:v>
      </x:c>
      <x:c r="F1709" s="71" t="str">
        <x:v>Accessibility / input support</x:v>
      </x:c>
      <x:c r="G1709" s="71" t="str">
        <x:v>Accessibility label</x:v>
      </x:c>
      <x:c r="H1709" s="71" t="str">
        <x:v>Move {item} earlier</x:v>
      </x:c>
      <x:c r="I1709" s="71" t="str">
        <x:v>Move {item} earlier</x:v>
      </x:c>
      <x:c r="J1709" s="73"/>
      <x:c r="K1709" s="74" t="str">
        <x:f>IF(J1709="",H1709,IF(J1709=I1709,I1709,J1709))</x:f>
        <x:v>Move {item} earlier</x:v>
      </x:c>
      <x:c r="L1709" s="74" t="str">
        <x:f>IF(J1709="","Keep current",IF(J1709=I1709,"Use suggestion","Custom"))</x:f>
        <x:v>Keep current</x:v>
      </x:c>
      <x:c r="M1709" s="71" t="str">
        <x:v>Pending review</x:v>
      </x:c>
      <x:c r="N1709" s="71" t="str">
        <x:v>Medium</x:v>
      </x:c>
      <x:c r="O1709" s="71" t="str">
        <x:v>components/journey-plan-workspace.tsx</x:v>
      </x:c>
      <x:c r="P1709" s="71" t="str">
        <x:v>PlanWorkspace:129</x:v>
      </x:c>
      <x:c r="Q1709" s="71" t="str">
        <x:v>EN (default / shared)</x:v>
      </x:c>
      <x:c r="R1709" s="71" t="str">
        <x:v>Already clear and direct; suggested wording intentionally keeps the current copy. Dynamic traveller or trip value is represented as a token; user-generated values are excluded.</x:v>
      </x:c>
      <x:c r="S1709" s="75" t="str">
        <x:v>Not applied — review required</x:v>
      </x:c>
    </x:row>
    <x:row r="1710">
      <x:c r="A1710" s="71" t="str">
        <x:v>MRV-46E4D6FCA1</x:v>
      </x:c>
      <x:c r="B1710" s="71" t="str">
        <x:v>System</x:v>
      </x:c>
      <x:c r="C1710" s="71" t="str">
        <x:v>Shared recovery / system</x:v>
      </x:c>
      <x:c r="D1710" s="71" t="str">
        <x:v>Shared</x:v>
      </x:c>
      <x:c r="E1710" s="71" t="str">
        <x:v>PlanWorkspace</x:v>
      </x:c>
      <x:c r="F1710" s="71" t="str">
        <x:v>Accessibility / input support</x:v>
      </x:c>
      <x:c r="G1710" s="71" t="str">
        <x:v>Accessibility label</x:v>
      </x:c>
      <x:c r="H1710" s="71" t="str">
        <x:v>Move {item} later</x:v>
      </x:c>
      <x:c r="I1710" s="71" t="str">
        <x:v>Move {item} later</x:v>
      </x:c>
      <x:c r="J1710" s="73"/>
      <x:c r="K1710" s="74" t="str">
        <x:f>IF(J1710="",H1710,IF(J1710=I1710,I1710,J1710))</x:f>
        <x:v>Move {item} later</x:v>
      </x:c>
      <x:c r="L1710" s="74" t="str">
        <x:f>IF(J1710="","Keep current",IF(J1710=I1710,"Use suggestion","Custom"))</x:f>
        <x:v>Keep current</x:v>
      </x:c>
      <x:c r="M1710" s="71" t="str">
        <x:v>Pending review</x:v>
      </x:c>
      <x:c r="N1710" s="71" t="str">
        <x:v>Medium</x:v>
      </x:c>
      <x:c r="O1710" s="71" t="str">
        <x:v>components/journey-plan-workspace.tsx</x:v>
      </x:c>
      <x:c r="P1710" s="71" t="str">
        <x:v>PlanWorkspace:129</x:v>
      </x:c>
      <x:c r="Q1710" s="71" t="str">
        <x:v>EN (default / shared)</x:v>
      </x:c>
      <x:c r="R1710" s="71" t="str">
        <x:v>Already clear and direct; suggested wording intentionally keeps the current copy. Dynamic traveller or trip value is represented as a token; user-generated values are excluded.</x:v>
      </x:c>
      <x:c r="S1710" s="75" t="str">
        <x:v>Not applied — review required</x:v>
      </x:c>
    </x:row>
    <x:row r="1711">
      <x:c r="A1711" s="71" t="str">
        <x:v>MRV-F4ABB740A9</x:v>
      </x:c>
      <x:c r="B1711" s="71" t="str">
        <x:v>System</x:v>
      </x:c>
      <x:c r="C1711" s="71" t="str">
        <x:v>Shared recovery / system</x:v>
      </x:c>
      <x:c r="D1711" s="71" t="str">
        <x:v>Shared</x:v>
      </x:c>
      <x:c r="E1711" s="71" t="str">
        <x:v>PlanWorkspace</x:v>
      </x:c>
      <x:c r="F1711" s="71" t="str">
        <x:v>Accessibility / input support</x:v>
      </x:c>
      <x:c r="G1711" s="71" t="str">
        <x:v>Accessibility label</x:v>
      </x:c>
      <x:c r="H1711" s="71" t="str">
        <x:v>Remove {item}</x:v>
      </x:c>
      <x:c r="I1711" s="71" t="str">
        <x:v>Remove {item}</x:v>
      </x:c>
      <x:c r="J1711" s="73"/>
      <x:c r="K1711" s="74" t="str">
        <x:f>IF(J1711="",H1711,IF(J1711=I1711,I1711,J1711))</x:f>
        <x:v>Remove {item}</x:v>
      </x:c>
      <x:c r="L1711" s="74" t="str">
        <x:f>IF(J1711="","Keep current",IF(J1711=I1711,"Use suggestion","Custom"))</x:f>
        <x:v>Keep current</x:v>
      </x:c>
      <x:c r="M1711" s="71" t="str">
        <x:v>Pending review</x:v>
      </x:c>
      <x:c r="N1711" s="71" t="str">
        <x:v>Medium</x:v>
      </x:c>
      <x:c r="O1711" s="71" t="str">
        <x:v>components/journey-plan-workspace.tsx</x:v>
      </x:c>
      <x:c r="P1711" s="71" t="str">
        <x:v>PlanWorkspace:130</x:v>
      </x:c>
      <x:c r="Q1711" s="71" t="str">
        <x:v>EN (default / shared)</x:v>
      </x:c>
      <x:c r="R1711" s="71" t="str">
        <x:v>Already clear and direct; suggested wording intentionally keeps the current copy. Dynamic traveller or trip value is represented as a token; user-generated values are excluded.</x:v>
      </x:c>
      <x:c r="S1711" s="75" t="str">
        <x:v>Not applied — review required</x:v>
      </x:c>
    </x:row>
    <x:row r="1712">
      <x:c r="A1712" s="71" t="str">
        <x:v>MRV-8521AC8174</x:v>
      </x:c>
      <x:c r="B1712" s="71" t="str">
        <x:v>System</x:v>
      </x:c>
      <x:c r="C1712" s="71" t="str">
        <x:v>Shared recovery / system</x:v>
      </x:c>
      <x:c r="D1712" s="71" t="str">
        <x:v>Shared</x:v>
      </x:c>
      <x:c r="E1712" s="71" t="str">
        <x:v>PlanWorkspace</x:v>
      </x:c>
      <x:c r="F1712" s="71" t="str">
        <x:v>Accessibility / input support</x:v>
      </x:c>
      <x:c r="G1712" s="71" t="str">
        <x:v>Accessibility label</x:v>
      </x:c>
      <x:c r="H1712" s="71" t="str">
        <x:v>Remove note {note}</x:v>
      </x:c>
      <x:c r="I1712" s="71" t="str">
        <x:v>Remove note {note}</x:v>
      </x:c>
      <x:c r="J1712" s="73"/>
      <x:c r="K1712" s="74" t="str">
        <x:f>IF(J1712="",H1712,IF(J1712=I1712,I1712,J1712))</x:f>
        <x:v>Remove note {note}</x:v>
      </x:c>
      <x:c r="L1712" s="74" t="str">
        <x:f>IF(J1712="","Keep current",IF(J1712=I1712,"Use suggestion","Custom"))</x:f>
        <x:v>Keep current</x:v>
      </x:c>
      <x:c r="M1712" s="71" t="str">
        <x:v>Pending review</x:v>
      </x:c>
      <x:c r="N1712" s="71" t="str">
        <x:v>Medium</x:v>
      </x:c>
      <x:c r="O1712" s="71" t="str">
        <x:v>components/journey-plan-workspace.tsx</x:v>
      </x:c>
      <x:c r="P1712" s="71" t="str">
        <x:v>PlanWorkspace:145</x:v>
      </x:c>
      <x:c r="Q1712" s="71" t="str">
        <x:v>EN (default / shared)</x:v>
      </x:c>
      <x:c r="R1712" s="71" t="str">
        <x:v>Already clear and direct; suggested wording intentionally keeps the current copy. Dynamic traveller or trip value is represented as a token; user-generated values are excluded.</x:v>
      </x:c>
      <x:c r="S1712" s="75" t="str">
        <x:v>Not applied — review required</x:v>
      </x:c>
    </x:row>
    <x:row r="1713">
      <x:c r="A1713" s="71" t="str">
        <x:v>MRV-2286B83249</x:v>
      </x:c>
      <x:c r="B1713" s="71" t="str">
        <x:v>Trip workspace</x:v>
      </x:c>
      <x:c r="C1713" s="71" t="str">
        <x:v>Map</x:v>
      </x:c>
      <x:c r="D1713" s="71" t="str">
        <x:v>Shared: Map</x:v>
      </x:c>
      <x:c r="E1713" s="71" t="str">
        <x:v>drawMarkers</x:v>
      </x:c>
      <x:c r="F1713" s="71" t="str">
        <x:v>Default</x:v>
      </x:c>
      <x:c r="G1713" s="71" t="str">
        <x:v>Body copy</x:v>
      </x:c>
      <x:c r="H1713" s="71" t="str">
        <x:v>Show {stop.city}</x:v>
      </x:c>
      <x:c r="I1713" s="71" t="str">
        <x:v>Show {stop.city}</x:v>
      </x:c>
      <x:c r="J1713" s="73"/>
      <x:c r="K1713" s="74" t="str">
        <x:f>IF(J1713="",H1713,IF(J1713=I1713,I1713,J1713))</x:f>
        <x:v>Show {stop.city}</x:v>
      </x:c>
      <x:c r="L1713" s="74" t="str">
        <x:f>IF(J1713="","Keep current",IF(J1713=I1713,"Use suggestion","Custom"))</x:f>
        <x:v>Keep current</x:v>
      </x:c>
      <x:c r="M1713" s="71" t="str">
        <x:v>Pending review</x:v>
      </x:c>
      <x:c r="N1713" s="71" t="str">
        <x:v>Normal</x:v>
      </x:c>
      <x:c r="O1713" s="71" t="str">
        <x:v>components/journey-planner-map.tsx</x:v>
      </x:c>
      <x:c r="P1713" s="71" t="str">
        <x:v>drawMarkers:195</x:v>
      </x:c>
      <x:c r="Q1713" s="71" t="str">
        <x:v>EN (default / shared)</x:v>
      </x:c>
      <x:c r="R1713"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713" s="75" t="str">
        <x:v>Not applied — review required</x:v>
      </x:c>
    </x:row>
    <x:row r="1714">
      <x:c r="A1714" s="71" t="str">
        <x:v>MRV-EBD2EDBCC7</x:v>
      </x:c>
      <x:c r="B1714" s="71" t="str">
        <x:v>Trip workspace</x:v>
      </x:c>
      <x:c r="C1714" s="71" t="str">
        <x:v>Map</x:v>
      </x:c>
      <x:c r="D1714" s="71" t="str">
        <x:v>Shared: Map</x:v>
      </x:c>
      <x:c r="E1714" s="71" t="str">
        <x:v>drawMarkers</x:v>
      </x:c>
      <x:c r="F1714" s="71" t="str">
        <x:v>Default</x:v>
      </x:c>
      <x:c r="G1714" s="71" t="str">
        <x:v>Body copy</x:v>
      </x:c>
      <x:c r="H1714" s="71" t="str">
        <x:v>&lt;span&gt;{String(index + 1).padStart(2, "0")}&lt;/span&gt;</x:v>
      </x:c>
      <x:c r="I1714" s="71" t="str">
        <x:v>&lt;span&gt;{String(index + 1).padStart(2, "0")}&lt;/span&gt;</x:v>
      </x:c>
      <x:c r="J1714" s="73"/>
      <x:c r="K1714" s="74" t="str">
        <x:f>IF(J1714="",H1714,IF(J1714=I1714,I1714,J1714))</x:f>
        <x:v>&lt;span&gt;{String(index + 1).padStart(2, "0")}&lt;/span&gt;</x:v>
      </x:c>
      <x:c r="L1714" s="74" t="str">
        <x:f>IF(J1714="","Keep current",IF(J1714=I1714,"Use suggestion","Custom"))</x:f>
        <x:v>Keep current</x:v>
      </x:c>
      <x:c r="M1714" s="71" t="str">
        <x:v>Pending review</x:v>
      </x:c>
      <x:c r="N1714" s="71" t="str">
        <x:v>Normal</x:v>
      </x:c>
      <x:c r="O1714" s="71" t="str">
        <x:v>components/journey-planner-map.tsx</x:v>
      </x:c>
      <x:c r="P1714" s="71" t="str">
        <x:v>drawMarkers:196</x:v>
      </x:c>
      <x:c r="Q1714" s="71" t="str">
        <x:v>EN (default / shared)</x:v>
      </x:c>
      <x:c r="R1714" s="71" t="str">
        <x:v>Already clear and direct; suggested wording intentionally keeps the current copy. Dynamic traveller or trip value is represented as a token; user-generated values are excluded.</x:v>
      </x:c>
      <x:c r="S1714" s="75" t="str">
        <x:v>Not applied — review required</x:v>
      </x:c>
    </x:row>
    <x:row r="1715">
      <x:c r="A1715" s="71" t="str">
        <x:v>MRV-3CD897ABC7</x:v>
      </x:c>
      <x:c r="B1715" s="71" t="str">
        <x:v>Trip workspace</x:v>
      </x:c>
      <x:c r="C1715" s="71" t="str">
        <x:v>Map</x:v>
      </x:c>
      <x:c r="D1715" s="71" t="str">
        <x:v>Shared: Map</x:v>
      </x:c>
      <x:c r="E1715" s="71" t="str">
        <x:v>drawPins</x:v>
      </x:c>
      <x:c r="F1715" s="71" t="str">
        <x:v>Default</x:v>
      </x:c>
      <x:c r="G1715" s="71" t="str">
        <x:v>Body copy</x:v>
      </x:c>
      <x:c r="H1715" s="71" t="str">
        <x:v>Show {pin.title}</x:v>
      </x:c>
      <x:c r="I1715" s="71" t="str">
        <x:v>Show {pin.title}</x:v>
      </x:c>
      <x:c r="J1715" s="73"/>
      <x:c r="K1715" s="74" t="str">
        <x:f>IF(J1715="",H1715,IF(J1715=I1715,I1715,J1715))</x:f>
        <x:v>Show {pin.title}</x:v>
      </x:c>
      <x:c r="L1715" s="74" t="str">
        <x:f>IF(J1715="","Keep current",IF(J1715=I1715,"Use suggestion","Custom"))</x:f>
        <x:v>Keep current</x:v>
      </x:c>
      <x:c r="M1715" s="71" t="str">
        <x:v>Pending review</x:v>
      </x:c>
      <x:c r="N1715" s="71" t="str">
        <x:v>Normal</x:v>
      </x:c>
      <x:c r="O1715" s="71" t="str">
        <x:v>components/journey-planner-map.tsx</x:v>
      </x:c>
      <x:c r="P1715" s="71" t="str">
        <x:v>drawPins:215</x:v>
      </x:c>
      <x:c r="Q1715" s="71" t="str">
        <x:v>EN (default / shared)</x:v>
      </x:c>
      <x:c r="R1715" s="71" t="str">
        <x:v>Already clear and direct; suggested wording intentionally keeps the current copy. Dynamic traveller or trip value is represented as a token; user-generated values are excluded.</x:v>
      </x:c>
      <x:c r="S1715" s="75" t="str">
        <x:v>Not applied — review required</x:v>
      </x:c>
    </x:row>
    <x:row r="1716">
      <x:c r="A1716" s="71" t="str">
        <x:v>MRV-66F0604BD5</x:v>
      </x:c>
      <x:c r="B1716" s="71" t="str">
        <x:v>Trip workspace</x:v>
      </x:c>
      <x:c r="C1716" s="71" t="str">
        <x:v>Map</x:v>
      </x:c>
      <x:c r="D1716" s="71" t="str">
        <x:v>Shared: Map</x:v>
      </x:c>
      <x:c r="E1716" s="71" t="str">
        <x:v>drawPins</x:v>
      </x:c>
      <x:c r="F1716" s="71" t="str">
        <x:v>Default</x:v>
      </x:c>
      <x:c r="G1716" s="71" t="str">
        <x:v>Body copy</x:v>
      </x:c>
      <x:c r="H1716" s="71" t="str">
        <x:v>&lt;span&gt;{pinSymbols[pin.category]}&lt;/span&gt;</x:v>
      </x:c>
      <x:c r="I1716" s="71" t="str">
        <x:v>&lt;span&gt;{pinSymbols[pin.category]}&lt;/span&gt;</x:v>
      </x:c>
      <x:c r="J1716" s="73"/>
      <x:c r="K1716" s="74" t="str">
        <x:f>IF(J1716="",H1716,IF(J1716=I1716,I1716,J1716))</x:f>
        <x:v>&lt;span&gt;{pinSymbols[pin.category]}&lt;/span&gt;</x:v>
      </x:c>
      <x:c r="L1716" s="74" t="str">
        <x:f>IF(J1716="","Keep current",IF(J1716=I1716,"Use suggestion","Custom"))</x:f>
        <x:v>Keep current</x:v>
      </x:c>
      <x:c r="M1716" s="71" t="str">
        <x:v>Pending review</x:v>
      </x:c>
      <x:c r="N1716" s="71" t="str">
        <x:v>Normal</x:v>
      </x:c>
      <x:c r="O1716" s="71" t="str">
        <x:v>components/journey-planner-map.tsx</x:v>
      </x:c>
      <x:c r="P1716" s="71" t="str">
        <x:v>drawPins:216</x:v>
      </x:c>
      <x:c r="Q1716" s="71" t="str">
        <x:v>EN (default / shared)</x:v>
      </x:c>
      <x:c r="R1716" s="71" t="str">
        <x:v>Already clear and direct; suggested wording intentionally keeps the current copy. Dynamic traveller or trip value is represented as a token; user-generated values are excluded.</x:v>
      </x:c>
      <x:c r="S1716" s="75" t="str">
        <x:v>Not applied — review required</x:v>
      </x:c>
    </x:row>
    <x:row r="1717">
      <x:c r="A1717" s="71" t="str">
        <x:v>MRV-5702979EA0</x:v>
      </x:c>
      <x:c r="B1717" s="71" t="str">
        <x:v>Trip workspace</x:v>
      </x:c>
      <x:c r="C1717" s="71" t="str">
        <x:v>Map</x:v>
      </x:c>
      <x:c r="D1717" s="71" t="str">
        <x:v>Shared: Map</x:v>
      </x:c>
      <x:c r="E1717" s="71" t="str">
        <x:v>drawLocalPlaces</x:v>
      </x:c>
      <x:c r="F1717" s="71" t="str">
        <x:v>Default</x:v>
      </x:c>
      <x:c r="G1717" s="71" t="str">
        <x:v>Body copy</x:v>
      </x:c>
      <x:c r="H1717" s="71" t="str">
        <x:v>Show {place.name}</x:v>
      </x:c>
      <x:c r="I1717" s="71" t="str">
        <x:v>Show {place.name}</x:v>
      </x:c>
      <x:c r="J1717" s="73"/>
      <x:c r="K1717" s="74" t="str">
        <x:f>IF(J1717="",H1717,IF(J1717=I1717,I1717,J1717))</x:f>
        <x:v>Show {place.name}</x:v>
      </x:c>
      <x:c r="L1717" s="74" t="str">
        <x:f>IF(J1717="","Keep current",IF(J1717=I1717,"Use suggestion","Custom"))</x:f>
        <x:v>Keep current</x:v>
      </x:c>
      <x:c r="M1717" s="71" t="str">
        <x:v>Pending review</x:v>
      </x:c>
      <x:c r="N1717" s="71" t="str">
        <x:v>Normal</x:v>
      </x:c>
      <x:c r="O1717" s="71" t="str">
        <x:v>components/journey-planner-map.tsx</x:v>
      </x:c>
      <x:c r="P1717" s="71" t="str">
        <x:v>drawLocalPlaces:237</x:v>
      </x:c>
      <x:c r="Q1717" s="71" t="str">
        <x:v>EN (default / shared)</x:v>
      </x:c>
      <x:c r="R1717"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717" s="75" t="str">
        <x:v>Not applied — review required</x:v>
      </x:c>
    </x:row>
    <x:row r="1718">
      <x:c r="A1718" s="71" t="str">
        <x:v>MRV-0FF0495D2B</x:v>
      </x:c>
      <x:c r="B1718" s="71" t="str">
        <x:v>Trip workspace</x:v>
      </x:c>
      <x:c r="C1718" s="71" t="str">
        <x:v>Map</x:v>
      </x:c>
      <x:c r="D1718" s="71" t="str">
        <x:v>Shared: Map</x:v>
      </x:c>
      <x:c r="E1718" s="71" t="str">
        <x:v>drawLocalPlaces</x:v>
      </x:c>
      <x:c r="F1718" s="71" t="str">
        <x:v>Default</x:v>
      </x:c>
      <x:c r="G1718" s="71" t="str">
        <x:v>Body copy</x:v>
      </x:c>
      <x:c r="H1718" s="71" t="str">
        <x:v>{place.price.currency} {Math.round(place.price.total)}</x:v>
      </x:c>
      <x:c r="I1718" s="71" t="str">
        <x:v>{place.price.currency} {Math.round(place.price.total)}</x:v>
      </x:c>
      <x:c r="J1718" s="73"/>
      <x:c r="K1718" s="74" t="str">
        <x:f>IF(J1718="",H1718,IF(J1718=I1718,I1718,J1718))</x:f>
        <x:v>{place.price.currency} {Math.round(place.price.total)}</x:v>
      </x:c>
      <x:c r="L1718" s="74" t="str">
        <x:f>IF(J1718="","Keep current",IF(J1718=I1718,"Use suggestion","Custom"))</x:f>
        <x:v>Keep current</x:v>
      </x:c>
      <x:c r="M1718" s="71" t="str">
        <x:v>Pending review</x:v>
      </x:c>
      <x:c r="N1718" s="71" t="str">
        <x:v>Normal</x:v>
      </x:c>
      <x:c r="O1718" s="71" t="str">
        <x:v>components/journey-planner-map.tsx</x:v>
      </x:c>
      <x:c r="P1718" s="71" t="str">
        <x:v>drawLocalPlaces:240</x:v>
      </x:c>
      <x:c r="Q1718" s="71" t="str">
        <x:v>EN (default / shared)</x:v>
      </x:c>
      <x:c r="R171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718" s="75" t="str">
        <x:v>Not applied — review required</x:v>
      </x:c>
    </x:row>
    <x:row r="1719">
      <x:c r="A1719" s="71" t="str">
        <x:v>MRV-D1FA71DC25</x:v>
      </x:c>
      <x:c r="B1719" s="71" t="str">
        <x:v>Trip workspace</x:v>
      </x:c>
      <x:c r="C1719" s="71" t="str">
        <x:v>Map</x:v>
      </x:c>
      <x:c r="D1719" s="71" t="str">
        <x:v>Shared: Map</x:v>
      </x:c>
      <x:c r="E1719" s="71" t="str">
        <x:v>drawLocalPlaces</x:v>
      </x:c>
      <x:c r="F1719" s="71" t="str">
        <x:v>Default</x:v>
      </x:c>
      <x:c r="G1719" s="71" t="str">
        <x:v>Label</x:v>
      </x:c>
      <x:c r="H1719" s="71" t="str">
        <x:v>Stay</x:v>
      </x:c>
      <x:c r="I1719" s="71" t="str">
        <x:v>Stay</x:v>
      </x:c>
      <x:c r="J1719" s="73"/>
      <x:c r="K1719" s="74" t="str">
        <x:f>IF(J1719="",H1719,IF(J1719=I1719,I1719,J1719))</x:f>
        <x:v>Stay</x:v>
      </x:c>
      <x:c r="L1719" s="74" t="str">
        <x:f>IF(J1719="","Keep current",IF(J1719=I1719,"Use suggestion","Custom"))</x:f>
        <x:v>Keep current</x:v>
      </x:c>
      <x:c r="M1719" s="71" t="str">
        <x:v>Pending review</x:v>
      </x:c>
      <x:c r="N1719" s="71" t="str">
        <x:v>Normal</x:v>
      </x:c>
      <x:c r="O1719" s="71" t="str">
        <x:v>components/journey-planner-map.tsx</x:v>
      </x:c>
      <x:c r="P1719" s="71" t="str">
        <x:v>drawLocalPlaces:240</x:v>
      </x:c>
      <x:c r="Q1719" s="71" t="str">
        <x:v>EN (default / shared)</x:v>
      </x:c>
      <x:c r="R1719" s="71" t="str">
        <x:v>Already clear and direct; suggested wording intentionally keeps the current copy. Duplicate wording: appears 6 times.</x:v>
      </x:c>
      <x:c r="S1719" s="75" t="str">
        <x:v>Not applied — review required</x:v>
      </x:c>
    </x:row>
    <x:row r="1720">
      <x:c r="A1720" s="71" t="str">
        <x:v>MRV-C53F986BC5</x:v>
      </x:c>
      <x:c r="B1720" s="71" t="str">
        <x:v>Trip workspace</x:v>
      </x:c>
      <x:c r="C1720" s="71" t="str">
        <x:v>Map</x:v>
      </x:c>
      <x:c r="D1720" s="71" t="str">
        <x:v>Shared: Map</x:v>
      </x:c>
      <x:c r="E1720" s="71" t="str">
        <x:v>drawDraftPin</x:v>
      </x:c>
      <x:c r="F1720" s="71" t="str">
        <x:v>Default</x:v>
      </x:c>
      <x:c r="G1720" s="71" t="str">
        <x:v>Label</x:v>
      </x:c>
      <x:c r="H1720" s="71" t="str">
        <x:v>Selected pin location</x:v>
      </x:c>
      <x:c r="I1720" s="71" t="str">
        <x:v>Selected pin location</x:v>
      </x:c>
      <x:c r="J1720" s="73"/>
      <x:c r="K1720" s="74" t="str">
        <x:f>IF(J1720="",H1720,IF(J1720=I1720,I1720,J1720))</x:f>
        <x:v>Selected pin location</x:v>
      </x:c>
      <x:c r="L1720" s="74" t="str">
        <x:f>IF(J1720="","Keep current",IF(J1720=I1720,"Use suggestion","Custom"))</x:f>
        <x:v>Keep current</x:v>
      </x:c>
      <x:c r="M1720" s="71" t="str">
        <x:v>Pending review</x:v>
      </x:c>
      <x:c r="N1720" s="71" t="str">
        <x:v>Normal</x:v>
      </x:c>
      <x:c r="O1720" s="71" t="str">
        <x:v>components/journey-planner-map.tsx</x:v>
      </x:c>
      <x:c r="P1720" s="71" t="str">
        <x:v>drawDraftPin:266</x:v>
      </x:c>
      <x:c r="Q1720" s="71" t="str">
        <x:v>EN (default / shared)</x:v>
      </x:c>
      <x:c r="R1720" s="71" t="str">
        <x:v>Already clear and direct; suggested wording intentionally keeps the current copy.</x:v>
      </x:c>
      <x:c r="S1720" s="75" t="str">
        <x:v>Not applied — review required</x:v>
      </x:c>
    </x:row>
    <x:row r="1721">
      <x:c r="A1721" s="71" t="str">
        <x:v>MRV-F83F56CE1D</x:v>
      </x:c>
      <x:c r="B1721" s="71" t="str">
        <x:v>Trip workspace</x:v>
      </x:c>
      <x:c r="C1721" s="71" t="str">
        <x:v>Map</x:v>
      </x:c>
      <x:c r="D1721" s="71" t="str">
        <x:v>Shared: Map</x:v>
      </x:c>
      <x:c r="E1721" s="71" t="str">
        <x:v>drawDraftPin</x:v>
      </x:c>
      <x:c r="F1721" s="71" t="str">
        <x:v>Default</x:v>
      </x:c>
      <x:c r="G1721" s="71" t="str">
        <x:v>Label</x:v>
      </x:c>
      <x:c r="H1721" s="71" t="str">
        <x:v>&lt;span&gt;+&lt;/span&gt;</x:v>
      </x:c>
      <x:c r="I1721" s="71" t="str">
        <x:v>&lt;span&gt;+&lt;/span&gt;</x:v>
      </x:c>
      <x:c r="J1721" s="73"/>
      <x:c r="K1721" s="74" t="str">
        <x:f>IF(J1721="",H1721,IF(J1721=I1721,I1721,J1721))</x:f>
        <x:v>&lt;span&gt;+&lt;/span&gt;</x:v>
      </x:c>
      <x:c r="L1721" s="74" t="str">
        <x:f>IF(J1721="","Keep current",IF(J1721=I1721,"Use suggestion","Custom"))</x:f>
        <x:v>Keep current</x:v>
      </x:c>
      <x:c r="M1721" s="71" t="str">
        <x:v>Pending review</x:v>
      </x:c>
      <x:c r="N1721" s="71" t="str">
        <x:v>Normal</x:v>
      </x:c>
      <x:c r="O1721" s="71" t="str">
        <x:v>components/journey-planner-map.tsx</x:v>
      </x:c>
      <x:c r="P1721" s="71" t="str">
        <x:v>drawDraftPin:267</x:v>
      </x:c>
      <x:c r="Q1721" s="71" t="str">
        <x:v>EN (default / shared)</x:v>
      </x:c>
      <x:c r="R1721" s="71" t="str">
        <x:v>Already clear and direct; suggested wording intentionally keeps the current copy.</x:v>
      </x:c>
      <x:c r="S1721" s="75" t="str">
        <x:v>Not applied — review required</x:v>
      </x:c>
    </x:row>
    <x:row r="1722">
      <x:c r="A1722" s="71" t="str">
        <x:v>MRV-E50F563426</x:v>
      </x:c>
      <x:c r="B1722" s="71" t="str">
        <x:v>Trip workspace</x:v>
      </x:c>
      <x:c r="C1722" s="71" t="str">
        <x:v>Map</x:v>
      </x:c>
      <x:c r="D1722" s="71" t="str">
        <x:v>Shared: Map</x:v>
      </x:c>
      <x:c r="E1722" s="71" t="str">
        <x:v>JourneyPlannerMap</x:v>
      </x:c>
      <x:c r="F1722" s="71" t="str">
        <x:v>Accessibility / input support</x:v>
      </x:c>
      <x:c r="G1722" s="71" t="str">
        <x:v>Accessibility label</x:v>
      </x:c>
      <x:c r="H1722" s="71" t="str">
        <x:v>Interactive trip map</x:v>
      </x:c>
      <x:c r="I1722" s="71" t="str">
        <x:v>Interactive trip map</x:v>
      </x:c>
      <x:c r="J1722" s="73"/>
      <x:c r="K1722" s="74" t="str">
        <x:f>IF(J1722="",H1722,IF(J1722=I1722,I1722,J1722))</x:f>
        <x:v>Interactive trip map</x:v>
      </x:c>
      <x:c r="L1722" s="74" t="str">
        <x:f>IF(J1722="","Keep current",IF(J1722=I1722,"Use suggestion","Custom"))</x:f>
        <x:v>Keep current</x:v>
      </x:c>
      <x:c r="M1722" s="71" t="str">
        <x:v>Pending review</x:v>
      </x:c>
      <x:c r="N1722" s="71" t="str">
        <x:v>Medium</x:v>
      </x:c>
      <x:c r="O1722" s="71" t="str">
        <x:v>components/journey-planner-map.tsx</x:v>
      </x:c>
      <x:c r="P1722" s="71" t="str">
        <x:v>JourneyPlannerMap:317</x:v>
      </x:c>
      <x:c r="Q1722" s="71" t="str">
        <x:v>EN (default / shared)</x:v>
      </x:c>
      <x:c r="R1722" s="71" t="str">
        <x:v>Already clear and direct; suggested wording intentionally keeps the current copy. Duplicate wording: appears 2 times. Terminology watch: ‘trip’ and ‘journey’ both describe the same plan. Terminology watch: ‘stops’, ‘destinations’ and ‘places’ overlap.</x:v>
      </x:c>
      <x:c r="S1722" s="75" t="str">
        <x:v>Not applied — review required</x:v>
      </x:c>
    </x:row>
    <x:row r="1723">
      <x:c r="A1723" s="71" t="str">
        <x:v>MRV-1B93802404</x:v>
      </x:c>
      <x:c r="B1723" s="71" t="str">
        <x:v>Planning</x:v>
      </x:c>
      <x:c r="C1723" s="71" t="str">
        <x:v>Planner recommendations</x:v>
      </x:c>
      <x:c r="D1723" s="71" t="str">
        <x:v>Shared planner output</x:v>
      </x:c>
      <x:c r="E1723" s="71" t="str">
        <x:v>JourneyPlannerStrip</x:v>
      </x:c>
      <x:c r="F1723" s="71" t="str">
        <x:v>Default</x:v>
      </x:c>
      <x:c r="G1723" s="71" t="str">
        <x:v>CTA / button</x:v>
      </x:c>
      <x:c r="H1723" s="71" t="str">
        <x:v>View full trip</x:v>
      </x:c>
      <x:c r="I1723" s="71" t="str">
        <x:v>View full trip</x:v>
      </x:c>
      <x:c r="J1723" s="73"/>
      <x:c r="K1723" s="74" t="str">
        <x:f>IF(J1723="",H1723,IF(J1723=I1723,I1723,J1723))</x:f>
        <x:v>View full trip</x:v>
      </x:c>
      <x:c r="L1723" s="74" t="str">
        <x:f>IF(J1723="","Keep current",IF(J1723=I1723,"Use suggestion","Custom"))</x:f>
        <x:v>Keep current</x:v>
      </x:c>
      <x:c r="M1723" s="71" t="str">
        <x:v>Pending review</x:v>
      </x:c>
      <x:c r="N1723" s="71" t="str">
        <x:v>Medium</x:v>
      </x:c>
      <x:c r="O1723" s="71" t="str">
        <x:v>components/journey-planner-strip.tsx</x:v>
      </x:c>
      <x:c r="P1723" s="71" t="str">
        <x:v>JourneyPlannerStrip:21</x:v>
      </x:c>
      <x:c r="Q1723" s="71" t="str">
        <x:v>EN (default / shared)</x:v>
      </x:c>
      <x:c r="R1723" s="71" t="str">
        <x:v>Already clear and direct; suggested wording intentionally keeps the current copy. Terminology watch: ‘trip’ and ‘journey’ both describe the same plan. Terminology watch: ‘stops’, ‘destinations’ and ‘places’ overlap.</x:v>
      </x:c>
      <x:c r="S1723" s="75" t="str">
        <x:v>Not applied — review required</x:v>
      </x:c>
    </x:row>
    <x:row r="1724">
      <x:c r="A1724" s="71" t="str">
        <x:v>MRV-53ECAF7477</x:v>
      </x:c>
      <x:c r="B1724" s="71" t="str">
        <x:v>Planning</x:v>
      </x:c>
      <x:c r="C1724" s="71" t="str">
        <x:v>Planner recommendations</x:v>
      </x:c>
      <x:c r="D1724" s="71" t="str">
        <x:v>Shared planner output</x:v>
      </x:c>
      <x:c r="E1724" s="71" t="str">
        <x:v>JourneyPlannerStrip</x:v>
      </x:c>
      <x:c r="F1724" s="71" t="str">
        <x:v>Accessibility / input support</x:v>
      </x:c>
      <x:c r="G1724" s="71" t="str">
        <x:v>Accessibility label</x:v>
      </x:c>
      <x:c r="H1724" s="71" t="str">
        <x:v>Morrovia home</x:v>
      </x:c>
      <x:c r="I1724" s="71" t="str">
        <x:v>Morrovia home</x:v>
      </x:c>
      <x:c r="J1724" s="73"/>
      <x:c r="K1724" s="74" t="str">
        <x:f>IF(J1724="",H1724,IF(J1724=I1724,I1724,J1724))</x:f>
        <x:v>Morrovia home</x:v>
      </x:c>
      <x:c r="L1724" s="74" t="str">
        <x:f>IF(J1724="","Keep current",IF(J1724=I1724,"Use suggestion","Custom"))</x:f>
        <x:v>Keep current</x:v>
      </x:c>
      <x:c r="M1724" s="71" t="str">
        <x:v>Pending review</x:v>
      </x:c>
      <x:c r="N1724" s="71" t="str">
        <x:v>Medium</x:v>
      </x:c>
      <x:c r="O1724" s="71" t="str">
        <x:v>components/journey-planner-strip.tsx</x:v>
      </x:c>
      <x:c r="P1724" s="71" t="str">
        <x:v>JourneyPlannerStrip:37</x:v>
      </x:c>
      <x:c r="Q1724" s="71" t="str">
        <x:v>EN (default / shared)</x:v>
      </x:c>
      <x:c r="R1724" s="71" t="str">
        <x:v>Already clear and direct; suggested wording intentionally keeps the current copy. Duplicate wording: appears 3 times.</x:v>
      </x:c>
      <x:c r="S1724" s="75" t="str">
        <x:v>Not applied — review required</x:v>
      </x:c>
    </x:row>
    <x:row r="1725">
      <x:c r="A1725" s="71" t="str">
        <x:v>MRV-BEA066616D</x:v>
      </x:c>
      <x:c r="B1725" s="71" t="str">
        <x:v>Planning</x:v>
      </x:c>
      <x:c r="C1725" s="71" t="str">
        <x:v>Planner recommendations</x:v>
      </x:c>
      <x:c r="D1725" s="71" t="str">
        <x:v>Shared planner output</x:v>
      </x:c>
      <x:c r="E1725" s="71" t="str">
        <x:v>JourneyPlannerStrip</x:v>
      </x:c>
      <x:c r="F1725" s="71" t="str">
        <x:v>Default</x:v>
      </x:c>
      <x:c r="G1725" s="71" t="str">
        <x:v>Label</x:v>
      </x:c>
      <x:c r="H1725" s="71" t="str">
        <x:v>Your trip</x:v>
      </x:c>
      <x:c r="I1725" s="71" t="str">
        <x:v>Your trip</x:v>
      </x:c>
      <x:c r="J1725" s="73"/>
      <x:c r="K1725" s="74" t="str">
        <x:f>IF(J1725="",H1725,IF(J1725=I1725,I1725,J1725))</x:f>
        <x:v>Your trip</x:v>
      </x:c>
      <x:c r="L1725" s="74" t="str">
        <x:f>IF(J1725="","Keep current",IF(J1725=I1725,"Use suggestion","Custom"))</x:f>
        <x:v>Keep current</x:v>
      </x:c>
      <x:c r="M1725" s="71" t="str">
        <x:v>Pending review</x:v>
      </x:c>
      <x:c r="N1725" s="71" t="str">
        <x:v>Normal</x:v>
      </x:c>
      <x:c r="O1725" s="71" t="str">
        <x:v>components/journey-planner-strip.tsx</x:v>
      </x:c>
      <x:c r="P1725" s="71" t="str">
        <x:v>JourneyPlannerStrip:42</x:v>
      </x:c>
      <x:c r="Q1725" s="71" t="str">
        <x:v>EN (default / shared)</x:v>
      </x:c>
      <x:c r="R1725" s="71" t="str">
        <x:v>Already clear and direct; suggested wording intentionally keeps the current copy. Duplicate wording: appears 3 times. Terminology watch: ‘trip’ and ‘journey’ both describe the same plan. Terminology watch: ‘stops’, ‘destinations’ and ‘places’ overlap.</x:v>
      </x:c>
      <x:c r="S1725" s="75" t="str">
        <x:v>Not applied — review required</x:v>
      </x:c>
    </x:row>
    <x:row r="1726">
      <x:c r="A1726" s="71" t="str">
        <x:v>MRV-2C0F4D7B2D</x:v>
      </x:c>
      <x:c r="B1726" s="71" t="str">
        <x:v>Planning</x:v>
      </x:c>
      <x:c r="C1726" s="71" t="str">
        <x:v>Planner recommendations</x:v>
      </x:c>
      <x:c r="D1726" s="71" t="str">
        <x:v>Shared planner output</x:v>
      </x:c>
      <x:c r="E1726" s="71" t="str">
        <x:v>JourneyPlannerStrip</x:v>
      </x:c>
      <x:c r="F1726" s="71" t="str">
        <x:v>Accessibility / input support</x:v>
      </x:c>
      <x:c r="G1726" s="71" t="str">
        <x:v>Accessibility label</x:v>
      </x:c>
      <x:c r="H1726" s="71" t="str">
        <x:v>Trip stops</x:v>
      </x:c>
      <x:c r="I1726" s="71" t="str">
        <x:v>Trip stops</x:v>
      </x:c>
      <x:c r="J1726" s="73"/>
      <x:c r="K1726" s="74" t="str">
        <x:f>IF(J1726="",H1726,IF(J1726=I1726,I1726,J1726))</x:f>
        <x:v>Trip stops</x:v>
      </x:c>
      <x:c r="L1726" s="74" t="str">
        <x:f>IF(J1726="","Keep current",IF(J1726=I1726,"Use suggestion","Custom"))</x:f>
        <x:v>Keep current</x:v>
      </x:c>
      <x:c r="M1726" s="71" t="str">
        <x:v>Pending review</x:v>
      </x:c>
      <x:c r="N1726" s="71" t="str">
        <x:v>Medium</x:v>
      </x:c>
      <x:c r="O1726" s="71" t="str">
        <x:v>components/journey-planner-strip.tsx</x:v>
      </x:c>
      <x:c r="P1726" s="71" t="str">
        <x:v>JourneyPlannerStrip:46</x:v>
      </x:c>
      <x:c r="Q1726" s="71" t="str">
        <x:v>EN (default / shared)</x:v>
      </x:c>
      <x:c r="R1726" s="71" t="str">
        <x:v>Already clear and direct; suggested wording intentionally keeps the current copy. Terminology watch: ‘trip’ and ‘journey’ both describe the same plan. Terminology watch: ‘stops’, ‘destinations’ and ‘places’ overlap.</x:v>
      </x:c>
      <x:c r="S1726" s="75" t="str">
        <x:v>Not applied — review required</x:v>
      </x:c>
    </x:row>
    <x:row r="1727">
      <x:c r="A1727" s="71" t="str">
        <x:v>MRV-D7444D552F</x:v>
      </x:c>
      <x:c r="B1727" s="71" t="str">
        <x:v>Planning</x:v>
      </x:c>
      <x:c r="C1727" s="71" t="str">
        <x:v>Planner recommendations</x:v>
      </x:c>
      <x:c r="D1727" s="71" t="str">
        <x:v>Shared planner output</x:v>
      </x:c>
      <x:c r="E1727" s="71" t="str">
        <x:v>JourneyPlannerStrip</x:v>
      </x:c>
      <x:c r="F1727" s="71" t="str">
        <x:v>Accessibility / input support</x:v>
      </x:c>
      <x:c r="G1727" s="71" t="str">
        <x:v>Accessibility label</x:v>
      </x:c>
      <x:c r="H1727" s="71" t="str">
        <x:v>Trip actions</x:v>
      </x:c>
      <x:c r="I1727" s="71" t="str">
        <x:v>Trip actions</x:v>
      </x:c>
      <x:c r="J1727" s="73"/>
      <x:c r="K1727" s="74" t="str">
        <x:f>IF(J1727="",H1727,IF(J1727=I1727,I1727,J1727))</x:f>
        <x:v>Trip actions</x:v>
      </x:c>
      <x:c r="L1727" s="74" t="str">
        <x:f>IF(J1727="","Keep current",IF(J1727=I1727,"Use suggestion","Custom"))</x:f>
        <x:v>Keep current</x:v>
      </x:c>
      <x:c r="M1727" s="71" t="str">
        <x:v>Pending review</x:v>
      </x:c>
      <x:c r="N1727" s="71" t="str">
        <x:v>Medium</x:v>
      </x:c>
      <x:c r="O1727" s="71" t="str">
        <x:v>components/journey-planner-strip.tsx</x:v>
      </x:c>
      <x:c r="P1727" s="71" t="str">
        <x:v>JourneyPlannerStrip:67</x:v>
      </x:c>
      <x:c r="Q1727" s="71" t="str">
        <x:v>EN (default / shared)</x:v>
      </x:c>
      <x:c r="R1727" s="71" t="str">
        <x:v>Already clear and direct; suggested wording intentionally keeps the current copy. Terminology watch: ‘trip’ and ‘journey’ both describe the same plan. Terminology watch: ‘stops’, ‘destinations’ and ‘places’ overlap.</x:v>
      </x:c>
      <x:c r="S1727" s="75" t="str">
        <x:v>Not applied — review required</x:v>
      </x:c>
    </x:row>
    <x:row r="1728">
      <x:c r="A1728" s="71" t="str">
        <x:v>MRV-13BD075277</x:v>
      </x:c>
      <x:c r="B1728" s="71" t="str">
        <x:v>System</x:v>
      </x:c>
      <x:c r="C1728" s="71" t="str">
        <x:v>Shared recovery / system</x:v>
      </x:c>
      <x:c r="D1728" s="71" t="str">
        <x:v>Shared</x:v>
      </x:c>
      <x:c r="E1728" s="71" t="str">
        <x:v>questions</x:v>
      </x:c>
      <x:c r="F1728" s="71" t="str">
        <x:v>Default</x:v>
      </x:c>
      <x:c r="G1728" s="71" t="str">
        <x:v>Tooltip</x:v>
      </x:c>
      <x:c r="H1728" s="71" t="str">
        <x:v>How should the meal feel?</x:v>
      </x:c>
      <x:c r="I1728" s="71" t="str">
        <x:v>How should the meal feel?</x:v>
      </x:c>
      <x:c r="J1728" s="73"/>
      <x:c r="K1728" s="74" t="str">
        <x:f>IF(J1728="",H1728,IF(J1728=I1728,I1728,J1728))</x:f>
        <x:v>How should the meal feel?</x:v>
      </x:c>
      <x:c r="L1728" s="74" t="str">
        <x:f>IF(J1728="","Keep current",IF(J1728=I1728,"Use suggestion","Custom"))</x:f>
        <x:v>Keep current</x:v>
      </x:c>
      <x:c r="M1728" s="71" t="str">
        <x:v>Pending review</x:v>
      </x:c>
      <x:c r="N1728" s="71" t="str">
        <x:v>Normal</x:v>
      </x:c>
      <x:c r="O1728" s="71" t="str">
        <x:v>components/journey-restaurant-finder.tsx</x:v>
      </x:c>
      <x:c r="P1728" s="71" t="str">
        <x:v>questions:40</x:v>
      </x:c>
      <x:c r="Q1728" s="71" t="str">
        <x:v>EN (default / shared)</x:v>
      </x:c>
      <x:c r="R1728" s="71" t="str">
        <x:v>Already clear and direct; suggested wording intentionally keeps the current copy.</x:v>
      </x:c>
      <x:c r="S1728" s="75" t="str">
        <x:v>Not applied — review required</x:v>
      </x:c>
    </x:row>
    <x:row r="1729">
      <x:c r="A1729" s="71" t="str">
        <x:v>MRV-5ED273C7FF</x:v>
      </x:c>
      <x:c r="B1729" s="71" t="str">
        <x:v>System</x:v>
      </x:c>
      <x:c r="C1729" s="71" t="str">
        <x:v>Shared recovery / system</x:v>
      </x:c>
      <x:c r="D1729" s="71" t="str">
        <x:v>Shared</x:v>
      </x:c>
      <x:c r="E1729" s="71" t="str">
        <x:v>questions</x:v>
      </x:c>
      <x:c r="F1729" s="71" t="str">
        <x:v>Default</x:v>
      </x:c>
      <x:c r="G1729" s="71" t="str">
        <x:v>Label</x:v>
      </x:c>
      <x:c r="H1729" s="71" t="str">
        <x:v>Quick &amp; easy</x:v>
      </x:c>
      <x:c r="I1729" s="71" t="str">
        <x:v>Quick &amp; easy</x:v>
      </x:c>
      <x:c r="J1729" s="73"/>
      <x:c r="K1729" s="74" t="str">
        <x:f>IF(J1729="",H1729,IF(J1729=I1729,I1729,J1729))</x:f>
        <x:v>Quick &amp; easy</x:v>
      </x:c>
      <x:c r="L1729" s="74" t="str">
        <x:f>IF(J1729="","Keep current",IF(J1729=I1729,"Use suggestion","Custom"))</x:f>
        <x:v>Keep current</x:v>
      </x:c>
      <x:c r="M1729" s="71" t="str">
        <x:v>Pending review</x:v>
      </x:c>
      <x:c r="N1729" s="71" t="str">
        <x:v>Normal</x:v>
      </x:c>
      <x:c r="O1729" s="71" t="str">
        <x:v>components/journey-restaurant-finder.tsx</x:v>
      </x:c>
      <x:c r="P1729" s="71" t="str">
        <x:v>questions:40</x:v>
      </x:c>
      <x:c r="Q1729" s="71" t="str">
        <x:v>EN (default / shared)</x:v>
      </x:c>
      <x:c r="R1729" s="71" t="str">
        <x:v>Already clear and direct; suggested wording intentionally keeps the current copy.</x:v>
      </x:c>
      <x:c r="S1729" s="75" t="str">
        <x:v>Not applied — review required</x:v>
      </x:c>
    </x:row>
    <x:row r="1730">
      <x:c r="A1730" s="71" t="str">
        <x:v>MRV-28CCD26549</x:v>
      </x:c>
      <x:c r="B1730" s="71" t="str">
        <x:v>System</x:v>
      </x:c>
      <x:c r="C1730" s="71" t="str">
        <x:v>Shared recovery / system</x:v>
      </x:c>
      <x:c r="D1730" s="71" t="str">
        <x:v>Shared</x:v>
      </x:c>
      <x:c r="E1730" s="71" t="str">
        <x:v>questions</x:v>
      </x:c>
      <x:c r="F1730" s="71" t="str">
        <x:v>Default</x:v>
      </x:c>
      <x:c r="G1730" s="71" t="str">
        <x:v>Label</x:v>
      </x:c>
      <x:c r="H1730" s="71" t="str">
        <x:v>Take our time</x:v>
      </x:c>
      <x:c r="I1730" s="71" t="str">
        <x:v>Take our time</x:v>
      </x:c>
      <x:c r="J1730" s="73"/>
      <x:c r="K1730" s="74" t="str">
        <x:f>IF(J1730="",H1730,IF(J1730=I1730,I1730,J1730))</x:f>
        <x:v>Take our time</x:v>
      </x:c>
      <x:c r="L1730" s="74" t="str">
        <x:f>IF(J1730="","Keep current",IF(J1730=I1730,"Use suggestion","Custom"))</x:f>
        <x:v>Keep current</x:v>
      </x:c>
      <x:c r="M1730" s="71" t="str">
        <x:v>Pending review</x:v>
      </x:c>
      <x:c r="N1730" s="71" t="str">
        <x:v>Normal</x:v>
      </x:c>
      <x:c r="O1730" s="71" t="str">
        <x:v>components/journey-restaurant-finder.tsx</x:v>
      </x:c>
      <x:c r="P1730" s="71" t="str">
        <x:v>questions:40</x:v>
      </x:c>
      <x:c r="Q1730" s="71" t="str">
        <x:v>EN (default / shared)</x:v>
      </x:c>
      <x:c r="R1730" s="71" t="str">
        <x:v>Already clear and direct; suggested wording intentionally keeps the current copy.</x:v>
      </x:c>
      <x:c r="S1730" s="75" t="str">
        <x:v>Not applied — review required</x:v>
      </x:c>
    </x:row>
    <x:row r="1731">
      <x:c r="A1731" s="71" t="str">
        <x:v>MRV-89221F345E</x:v>
      </x:c>
      <x:c r="B1731" s="71" t="str">
        <x:v>System</x:v>
      </x:c>
      <x:c r="C1731" s="71" t="str">
        <x:v>Shared recovery / system</x:v>
      </x:c>
      <x:c r="D1731" s="71" t="str">
        <x:v>Shared</x:v>
      </x:c>
      <x:c r="E1731" s="71" t="str">
        <x:v>questions</x:v>
      </x:c>
      <x:c r="F1731" s="71" t="str">
        <x:v>Default</x:v>
      </x:c>
      <x:c r="G1731" s="71" t="str">
        <x:v>Label</x:v>
      </x:c>
      <x:c r="H1731" s="71" t="str">
        <x:v>A trip highlight</x:v>
      </x:c>
      <x:c r="I1731" s="71" t="str">
        <x:v>A trip highlight</x:v>
      </x:c>
      <x:c r="J1731" s="73"/>
      <x:c r="K1731" s="74" t="str">
        <x:f>IF(J1731="",H1731,IF(J1731=I1731,I1731,J1731))</x:f>
        <x:v>A trip highlight</x:v>
      </x:c>
      <x:c r="L1731" s="74" t="str">
        <x:f>IF(J1731="","Keep current",IF(J1731=I1731,"Use suggestion","Custom"))</x:f>
        <x:v>Keep current</x:v>
      </x:c>
      <x:c r="M1731" s="71" t="str">
        <x:v>Pending review</x:v>
      </x:c>
      <x:c r="N1731" s="71" t="str">
        <x:v>Normal</x:v>
      </x:c>
      <x:c r="O1731" s="71" t="str">
        <x:v>components/journey-restaurant-finder.tsx</x:v>
      </x:c>
      <x:c r="P1731" s="71" t="str">
        <x:v>questions:40</x:v>
      </x:c>
      <x:c r="Q1731" s="71" t="str">
        <x:v>EN (default / shared)</x:v>
      </x:c>
      <x:c r="R1731" s="71" t="str">
        <x:v>Already clear and direct; suggested wording intentionally keeps the current copy. Terminology watch: ‘trip’ and ‘journey’ both describe the same plan. Terminology watch: ‘stops’, ‘destinations’ and ‘places’ overlap.</x:v>
      </x:c>
      <x:c r="S1731" s="75" t="str">
        <x:v>Not applied — review required</x:v>
      </x:c>
    </x:row>
    <x:row r="1732">
      <x:c r="A1732" s="71" t="str">
        <x:v>MRV-2494C5DF6F</x:v>
      </x:c>
      <x:c r="B1732" s="71" t="str">
        <x:v>System</x:v>
      </x:c>
      <x:c r="C1732" s="71" t="str">
        <x:v>Shared recovery / system</x:v>
      </x:c>
      <x:c r="D1732" s="71" t="str">
        <x:v>Shared</x:v>
      </x:c>
      <x:c r="E1732" s="71" t="str">
        <x:v>questions</x:v>
      </x:c>
      <x:c r="F1732" s="71" t="str">
        <x:v>Default</x:v>
      </x:c>
      <x:c r="G1732" s="71" t="str">
        <x:v>Tooltip</x:v>
      </x:c>
      <x:c r="H1732" s="71" t="str">
        <x:v>What sounds best?</x:v>
      </x:c>
      <x:c r="I1732" s="71" t="str">
        <x:v>What sounds best?</x:v>
      </x:c>
      <x:c r="J1732" s="73"/>
      <x:c r="K1732" s="74" t="str">
        <x:f>IF(J1732="",H1732,IF(J1732=I1732,I1732,J1732))</x:f>
        <x:v>What sounds best?</x:v>
      </x:c>
      <x:c r="L1732" s="74" t="str">
        <x:f>IF(J1732="","Keep current",IF(J1732=I1732,"Use suggestion","Custom"))</x:f>
        <x:v>Keep current</x:v>
      </x:c>
      <x:c r="M1732" s="71" t="str">
        <x:v>Pending review</x:v>
      </x:c>
      <x:c r="N1732" s="71" t="str">
        <x:v>Normal</x:v>
      </x:c>
      <x:c r="O1732" s="71" t="str">
        <x:v>components/journey-restaurant-finder.tsx</x:v>
      </x:c>
      <x:c r="P1732" s="71" t="str">
        <x:v>questions:41</x:v>
      </x:c>
      <x:c r="Q1732" s="71" t="str">
        <x:v>EN (default / shared)</x:v>
      </x:c>
      <x:c r="R1732" s="71" t="str">
        <x:v>Already clear and direct; suggested wording intentionally keeps the current copy.</x:v>
      </x:c>
      <x:c r="S1732" s="75" t="str">
        <x:v>Not applied — review required</x:v>
      </x:c>
    </x:row>
    <x:row r="1733">
      <x:c r="A1733" s="71" t="str">
        <x:v>MRV-F26C4B927F</x:v>
      </x:c>
      <x:c r="B1733" s="71" t="str">
        <x:v>System</x:v>
      </x:c>
      <x:c r="C1733" s="71" t="str">
        <x:v>Shared recovery / system</x:v>
      </x:c>
      <x:c r="D1733" s="71" t="str">
        <x:v>Shared</x:v>
      </x:c>
      <x:c r="E1733" s="71" t="str">
        <x:v>questions</x:v>
      </x:c>
      <x:c r="F1733" s="71" t="str">
        <x:v>Default</x:v>
      </x:c>
      <x:c r="G1733" s="71" t="str">
        <x:v>Label</x:v>
      </x:c>
      <x:c r="H1733" s="71" t="str">
        <x:v>Local signature</x:v>
      </x:c>
      <x:c r="I1733" s="71" t="str">
        <x:v>Local signature</x:v>
      </x:c>
      <x:c r="J1733" s="73"/>
      <x:c r="K1733" s="74" t="str">
        <x:f>IF(J1733="",H1733,IF(J1733=I1733,I1733,J1733))</x:f>
        <x:v>Local signature</x:v>
      </x:c>
      <x:c r="L1733" s="74" t="str">
        <x:f>IF(J1733="","Keep current",IF(J1733=I1733,"Use suggestion","Custom"))</x:f>
        <x:v>Keep current</x:v>
      </x:c>
      <x:c r="M1733" s="71" t="str">
        <x:v>Pending review</x:v>
      </x:c>
      <x:c r="N1733" s="71" t="str">
        <x:v>Normal</x:v>
      </x:c>
      <x:c r="O1733" s="71" t="str">
        <x:v>components/journey-restaurant-finder.tsx</x:v>
      </x:c>
      <x:c r="P1733" s="71" t="str">
        <x:v>questions:41</x:v>
      </x:c>
      <x:c r="Q1733" s="71" t="str">
        <x:v>EN (default / shared)</x:v>
      </x:c>
      <x:c r="R1733" s="71" t="str">
        <x:v>Already clear and direct; suggested wording intentionally keeps the current copy.</x:v>
      </x:c>
      <x:c r="S1733" s="75" t="str">
        <x:v>Not applied — review required</x:v>
      </x:c>
    </x:row>
    <x:row r="1734">
      <x:c r="A1734" s="71" t="str">
        <x:v>MRV-5F2FF3D506</x:v>
      </x:c>
      <x:c r="B1734" s="71" t="str">
        <x:v>System</x:v>
      </x:c>
      <x:c r="C1734" s="71" t="str">
        <x:v>Shared recovery / system</x:v>
      </x:c>
      <x:c r="D1734" s="71" t="str">
        <x:v>Shared</x:v>
      </x:c>
      <x:c r="E1734" s="71" t="str">
        <x:v>questions</x:v>
      </x:c>
      <x:c r="F1734" s="71" t="str">
        <x:v>Default</x:v>
      </x:c>
      <x:c r="G1734" s="71" t="str">
        <x:v>Label</x:v>
      </x:c>
      <x:c r="H1734" s="71" t="str">
        <x:v>Comfort food</x:v>
      </x:c>
      <x:c r="I1734" s="71" t="str">
        <x:v>Comfort food</x:v>
      </x:c>
      <x:c r="J1734" s="73"/>
      <x:c r="K1734" s="74" t="str">
        <x:f>IF(J1734="",H1734,IF(J1734=I1734,I1734,J1734))</x:f>
        <x:v>Comfort food</x:v>
      </x:c>
      <x:c r="L1734" s="74" t="str">
        <x:f>IF(J1734="","Keep current",IF(J1734=I1734,"Use suggestion","Custom"))</x:f>
        <x:v>Keep current</x:v>
      </x:c>
      <x:c r="M1734" s="71" t="str">
        <x:v>Pending review</x:v>
      </x:c>
      <x:c r="N1734" s="71" t="str">
        <x:v>Normal</x:v>
      </x:c>
      <x:c r="O1734" s="71" t="str">
        <x:v>components/journey-restaurant-finder.tsx</x:v>
      </x:c>
      <x:c r="P1734" s="71" t="str">
        <x:v>questions:41</x:v>
      </x:c>
      <x:c r="Q1734" s="71" t="str">
        <x:v>EN (default / shared)</x:v>
      </x:c>
      <x:c r="R1734" s="71" t="str">
        <x:v>Already clear and direct; suggested wording intentionally keeps the current copy.</x:v>
      </x:c>
      <x:c r="S1734" s="75" t="str">
        <x:v>Not applied — review required</x:v>
      </x:c>
    </x:row>
    <x:row r="1735">
      <x:c r="A1735" s="71" t="str">
        <x:v>MRV-E30DC4ED00</x:v>
      </x:c>
      <x:c r="B1735" s="71" t="str">
        <x:v>System</x:v>
      </x:c>
      <x:c r="C1735" s="71" t="str">
        <x:v>Shared recovery / system</x:v>
      </x:c>
      <x:c r="D1735" s="71" t="str">
        <x:v>Shared</x:v>
      </x:c>
      <x:c r="E1735" s="71" t="str">
        <x:v>questions</x:v>
      </x:c>
      <x:c r="F1735" s="71" t="str">
        <x:v>Default</x:v>
      </x:c>
      <x:c r="G1735" s="71" t="str">
        <x:v>Label</x:v>
      </x:c>
      <x:c r="H1735" s="71" t="str">
        <x:v>Surprise me</x:v>
      </x:c>
      <x:c r="I1735" s="71" t="str">
        <x:v>Surprise me</x:v>
      </x:c>
      <x:c r="J1735" s="73"/>
      <x:c r="K1735" s="74" t="str">
        <x:f>IF(J1735="",H1735,IF(J1735=I1735,I1735,J1735))</x:f>
        <x:v>Surprise me</x:v>
      </x:c>
      <x:c r="L1735" s="74" t="str">
        <x:f>IF(J1735="","Keep current",IF(J1735=I1735,"Use suggestion","Custom"))</x:f>
        <x:v>Keep current</x:v>
      </x:c>
      <x:c r="M1735" s="71" t="str">
        <x:v>Pending review</x:v>
      </x:c>
      <x:c r="N1735" s="71" t="str">
        <x:v>Normal</x:v>
      </x:c>
      <x:c r="O1735" s="71" t="str">
        <x:v>components/journey-restaurant-finder.tsx</x:v>
      </x:c>
      <x:c r="P1735" s="71" t="str">
        <x:v>questions:41</x:v>
      </x:c>
      <x:c r="Q1735" s="71" t="str">
        <x:v>EN (default / shared)</x:v>
      </x:c>
      <x:c r="R1735" s="71" t="str">
        <x:v>Already clear and direct; suggested wording intentionally keeps the current copy.</x:v>
      </x:c>
      <x:c r="S1735" s="75" t="str">
        <x:v>Not applied — review required</x:v>
      </x:c>
    </x:row>
    <x:row r="1736">
      <x:c r="A1736" s="71" t="str">
        <x:v>MRV-F1DB806BDF</x:v>
      </x:c>
      <x:c r="B1736" s="71" t="str">
        <x:v>System</x:v>
      </x:c>
      <x:c r="C1736" s="71" t="str">
        <x:v>Shared recovery / system</x:v>
      </x:c>
      <x:c r="D1736" s="71" t="str">
        <x:v>Shared</x:v>
      </x:c>
      <x:c r="E1736" s="71" t="str">
        <x:v>questions</x:v>
      </x:c>
      <x:c r="F1736" s="71" t="str">
        <x:v>Default</x:v>
      </x:c>
      <x:c r="G1736" s="71" t="str">
        <x:v>Tooltip</x:v>
      </x:c>
      <x:c r="H1736" s="71" t="str">
        <x:v>What kind of budget?</x:v>
      </x:c>
      <x:c r="I1736" s="71" t="str">
        <x:v>What kind of budget?</x:v>
      </x:c>
      <x:c r="J1736" s="73"/>
      <x:c r="K1736" s="74" t="str">
        <x:f>IF(J1736="",H1736,IF(J1736=I1736,I1736,J1736))</x:f>
        <x:v>What kind of budget?</x:v>
      </x:c>
      <x:c r="L1736" s="74" t="str">
        <x:f>IF(J1736="","Keep current",IF(J1736=I1736,"Use suggestion","Custom"))</x:f>
        <x:v>Keep current</x:v>
      </x:c>
      <x:c r="M1736" s="71" t="str">
        <x:v>Pending review</x:v>
      </x:c>
      <x:c r="N1736" s="71" t="str">
        <x:v>Normal</x:v>
      </x:c>
      <x:c r="O1736" s="71" t="str">
        <x:v>components/journey-restaurant-finder.tsx</x:v>
      </x:c>
      <x:c r="P1736" s="71" t="str">
        <x:v>questions:42</x:v>
      </x:c>
      <x:c r="Q1736" s="71" t="str">
        <x:v>EN (default / shared)</x:v>
      </x:c>
      <x:c r="R1736" s="71" t="str">
        <x:v>Already clear and direct; suggested wording intentionally keeps the current copy.</x:v>
      </x:c>
      <x:c r="S1736" s="75" t="str">
        <x:v>Not applied — review required</x:v>
      </x:c>
    </x:row>
    <x:row r="1737">
      <x:c r="A1737" s="71" t="str">
        <x:v>MRV-36E62BA6F9</x:v>
      </x:c>
      <x:c r="B1737" s="71" t="str">
        <x:v>System</x:v>
      </x:c>
      <x:c r="C1737" s="71" t="str">
        <x:v>Shared recovery / system</x:v>
      </x:c>
      <x:c r="D1737" s="71" t="str">
        <x:v>Shared</x:v>
      </x:c>
      <x:c r="E1737" s="71" t="str">
        <x:v>questions</x:v>
      </x:c>
      <x:c r="F1737" s="71" t="str">
        <x:v>Default</x:v>
      </x:c>
      <x:c r="G1737" s="71" t="str">
        <x:v>Label</x:v>
      </x:c>
      <x:c r="H1737" s="71" t="str">
        <x:v>Keep it cheap</x:v>
      </x:c>
      <x:c r="I1737" s="71" t="str">
        <x:v>Keep it cheap</x:v>
      </x:c>
      <x:c r="J1737" s="73"/>
      <x:c r="K1737" s="74" t="str">
        <x:f>IF(J1737="",H1737,IF(J1737=I1737,I1737,J1737))</x:f>
        <x:v>Keep it cheap</x:v>
      </x:c>
      <x:c r="L1737" s="74" t="str">
        <x:f>IF(J1737="","Keep current",IF(J1737=I1737,"Use suggestion","Custom"))</x:f>
        <x:v>Keep current</x:v>
      </x:c>
      <x:c r="M1737" s="71" t="str">
        <x:v>Pending review</x:v>
      </x:c>
      <x:c r="N1737" s="71" t="str">
        <x:v>Normal</x:v>
      </x:c>
      <x:c r="O1737" s="71" t="str">
        <x:v>components/journey-restaurant-finder.tsx</x:v>
      </x:c>
      <x:c r="P1737" s="71" t="str">
        <x:v>questions:42</x:v>
      </x:c>
      <x:c r="Q1737" s="71" t="str">
        <x:v>EN (default / shared)</x:v>
      </x:c>
      <x:c r="R1737" s="71" t="str">
        <x:v>Already clear and direct; suggested wording intentionally keeps the current copy.</x:v>
      </x:c>
      <x:c r="S1737" s="75" t="str">
        <x:v>Not applied — review required</x:v>
      </x:c>
    </x:row>
    <x:row r="1738">
      <x:c r="A1738" s="71" t="str">
        <x:v>MRV-8C17350C8B</x:v>
      </x:c>
      <x:c r="B1738" s="71" t="str">
        <x:v>System</x:v>
      </x:c>
      <x:c r="C1738" s="71" t="str">
        <x:v>Shared recovery / system</x:v>
      </x:c>
      <x:c r="D1738" s="71" t="str">
        <x:v>Shared</x:v>
      </x:c>
      <x:c r="E1738" s="71" t="str">
        <x:v>questions</x:v>
      </x:c>
      <x:c r="F1738" s="71" t="str">
        <x:v>Default</x:v>
      </x:c>
      <x:c r="G1738" s="71" t="str">
        <x:v>Label</x:v>
      </x:c>
      <x:c r="H1738" s="71" t="str">
        <x:v>Mid-range</x:v>
      </x:c>
      <x:c r="I1738" s="71" t="str">
        <x:v>Mid-range</x:v>
      </x:c>
      <x:c r="J1738" s="73"/>
      <x:c r="K1738" s="74" t="str">
        <x:f>IF(J1738="",H1738,IF(J1738=I1738,I1738,J1738))</x:f>
        <x:v>Mid-range</x:v>
      </x:c>
      <x:c r="L1738" s="74" t="str">
        <x:f>IF(J1738="","Keep current",IF(J1738=I1738,"Use suggestion","Custom"))</x:f>
        <x:v>Keep current</x:v>
      </x:c>
      <x:c r="M1738" s="71" t="str">
        <x:v>Pending review</x:v>
      </x:c>
      <x:c r="N1738" s="71" t="str">
        <x:v>Normal</x:v>
      </x:c>
      <x:c r="O1738" s="71" t="str">
        <x:v>components/journey-restaurant-finder.tsx</x:v>
      </x:c>
      <x:c r="P1738" s="71" t="str">
        <x:v>questions:42</x:v>
      </x:c>
      <x:c r="Q1738" s="71" t="str">
        <x:v>EN (default / shared)</x:v>
      </x:c>
      <x:c r="R1738" s="71" t="str">
        <x:v>Already clear and direct; suggested wording intentionally keeps the current copy. Duplicate wording: appears 2 times.</x:v>
      </x:c>
      <x:c r="S1738" s="75" t="str">
        <x:v>Not applied — review required</x:v>
      </x:c>
    </x:row>
    <x:row r="1739">
      <x:c r="A1739" s="71" t="str">
        <x:v>MRV-D5060868A3</x:v>
      </x:c>
      <x:c r="B1739" s="71" t="str">
        <x:v>System</x:v>
      </x:c>
      <x:c r="C1739" s="71" t="str">
        <x:v>Shared recovery / system</x:v>
      </x:c>
      <x:c r="D1739" s="71" t="str">
        <x:v>Shared</x:v>
      </x:c>
      <x:c r="E1739" s="71" t="str">
        <x:v>questions</x:v>
      </x:c>
      <x:c r="F1739" s="71" t="str">
        <x:v>Default</x:v>
      </x:c>
      <x:c r="G1739" s="71" t="str">
        <x:v>Label</x:v>
      </x:c>
      <x:c r="H1739" s="71" t="str">
        <x:v>Worth a treat</x:v>
      </x:c>
      <x:c r="I1739" s="71" t="str">
        <x:v>Worth a treat</x:v>
      </x:c>
      <x:c r="J1739" s="73"/>
      <x:c r="K1739" s="74" t="str">
        <x:f>IF(J1739="",H1739,IF(J1739=I1739,I1739,J1739))</x:f>
        <x:v>Worth a treat</x:v>
      </x:c>
      <x:c r="L1739" s="74" t="str">
        <x:f>IF(J1739="","Keep current",IF(J1739=I1739,"Use suggestion","Custom"))</x:f>
        <x:v>Keep current</x:v>
      </x:c>
      <x:c r="M1739" s="71" t="str">
        <x:v>Pending review</x:v>
      </x:c>
      <x:c r="N1739" s="71" t="str">
        <x:v>Normal</x:v>
      </x:c>
      <x:c r="O1739" s="71" t="str">
        <x:v>components/journey-restaurant-finder.tsx</x:v>
      </x:c>
      <x:c r="P1739" s="71" t="str">
        <x:v>questions:42</x:v>
      </x:c>
      <x:c r="Q1739" s="71" t="str">
        <x:v>EN (default / shared)</x:v>
      </x:c>
      <x:c r="R1739" s="71" t="str">
        <x:v>Already clear and direct; suggested wording intentionally keeps the current copy.</x:v>
      </x:c>
      <x:c r="S1739" s="75" t="str">
        <x:v>Not applied — review required</x:v>
      </x:c>
    </x:row>
    <x:row r="1740">
      <x:c r="A1740" s="71" t="str">
        <x:v>MRV-4262DF24AE</x:v>
      </x:c>
      <x:c r="B1740" s="71" t="str">
        <x:v>System</x:v>
      </x:c>
      <x:c r="C1740" s="71" t="str">
        <x:v>Shared recovery / system</x:v>
      </x:c>
      <x:c r="D1740" s="71" t="str">
        <x:v>Shared</x:v>
      </x:c>
      <x:c r="E1740" s="71" t="str">
        <x:v>JourneyRestaurantFinder</x:v>
      </x:c>
      <x:c r="F1740" s="71" t="str">
        <x:v>Accessibility / input support</x:v>
      </x:c>
      <x:c r="G1740" s="71" t="str">
        <x:v>Accessibility label</x:v>
      </x:c>
      <x:c r="H1740" s="71" t="str">
        <x:v>Restaurant finder for {city}</x:v>
      </x:c>
      <x:c r="I1740" s="71" t="str">
        <x:v>Restaurant finder for {city}</x:v>
      </x:c>
      <x:c r="J1740" s="73"/>
      <x:c r="K1740" s="74" t="str">
        <x:f>IF(J1740="",H1740,IF(J1740=I1740,I1740,J1740))</x:f>
        <x:v>Restaurant finder for {city}</x:v>
      </x:c>
      <x:c r="L1740" s="74" t="str">
        <x:f>IF(J1740="","Keep current",IF(J1740=I1740,"Use suggestion","Custom"))</x:f>
        <x:v>Keep current</x:v>
      </x:c>
      <x:c r="M1740" s="71" t="str">
        <x:v>Pending review</x:v>
      </x:c>
      <x:c r="N1740" s="71" t="str">
        <x:v>Medium</x:v>
      </x:c>
      <x:c r="O1740" s="71" t="str">
        <x:v>components/journey-restaurant-finder.tsx</x:v>
      </x:c>
      <x:c r="P1740" s="71" t="str">
        <x:v>JourneyRestaurantFinder:156</x:v>
      </x:c>
      <x:c r="Q1740" s="71" t="str">
        <x:v>EN (default / shared)</x:v>
      </x:c>
      <x:c r="R1740" s="71" t="str">
        <x:v>Already clear and direct; suggested wording intentionally keeps the current copy. Dynamic traveller or trip value is represented as a token; user-generated values are excluded.</x:v>
      </x:c>
      <x:c r="S1740" s="75" t="str">
        <x:v>Not applied — review required</x:v>
      </x:c>
    </x:row>
    <x:row r="1741">
      <x:c r="A1741" s="71" t="str">
        <x:v>MRV-ED6C37BF06</x:v>
      </x:c>
      <x:c r="B1741" s="71" t="str">
        <x:v>System</x:v>
      </x:c>
      <x:c r="C1741" s="71" t="str">
        <x:v>Shared recovery / system</x:v>
      </x:c>
      <x:c r="D1741" s="71" t="str">
        <x:v>Shared</x:v>
      </x:c>
      <x:c r="E1741" s="71" t="str">
        <x:v>JourneyRestaurantFinder</x:v>
      </x:c>
      <x:c r="F1741" s="71" t="str">
        <x:v>Default</x:v>
      </x:c>
      <x:c r="G1741" s="71" t="str">
        <x:v>Label</x:v>
      </x:c>
      <x:c r="H1741" s="71" t="str">
        <x:v>Taste finder</x:v>
      </x:c>
      <x:c r="I1741" s="71" t="str">
        <x:v>Taste finder</x:v>
      </x:c>
      <x:c r="J1741" s="73"/>
      <x:c r="K1741" s="74" t="str">
        <x:f>IF(J1741="",H1741,IF(J1741=I1741,I1741,J1741))</x:f>
        <x:v>Taste finder</x:v>
      </x:c>
      <x:c r="L1741" s="74" t="str">
        <x:f>IF(J1741="","Keep current",IF(J1741=I1741,"Use suggestion","Custom"))</x:f>
        <x:v>Keep current</x:v>
      </x:c>
      <x:c r="M1741" s="71" t="str">
        <x:v>Pending review</x:v>
      </x:c>
      <x:c r="N1741" s="71" t="str">
        <x:v>Normal</x:v>
      </x:c>
      <x:c r="O1741" s="71" t="str">
        <x:v>components/journey-restaurant-finder.tsx</x:v>
      </x:c>
      <x:c r="P1741" s="71" t="str">
        <x:v>JourneyRestaurantFinder:157</x:v>
      </x:c>
      <x:c r="Q1741" s="71" t="str">
        <x:v>EN (default / shared)</x:v>
      </x:c>
      <x:c r="R1741" s="71" t="str">
        <x:v>Already clear and direct; suggested wording intentionally keeps the current copy.</x:v>
      </x:c>
      <x:c r="S1741" s="75" t="str">
        <x:v>Not applied — review required</x:v>
      </x:c>
    </x:row>
    <x:row r="1742">
      <x:c r="A1742" s="71" t="str">
        <x:v>MRV-EEE33AB497</x:v>
      </x:c>
      <x:c r="B1742" s="71" t="str">
        <x:v>System</x:v>
      </x:c>
      <x:c r="C1742" s="71" t="str">
        <x:v>Shared recovery / system</x:v>
      </x:c>
      <x:c r="D1742" s="71" t="str">
        <x:v>Shared</x:v>
      </x:c>
      <x:c r="E1742" s="71" t="str">
        <x:v>JourneyRestaurantFinder</x:v>
      </x:c>
      <x:c r="F1742" s="71" t="str">
        <x:v>Default</x:v>
      </x:c>
      <x:c r="G1742" s="71" t="str">
        <x:v>CTA / button</x:v>
      </x:c>
      <x:c r="H1742" s="71" t="str">
        <x:v>Find a meal</x:v>
      </x:c>
      <x:c r="I1742" s="71" t="str">
        <x:v>Find a meal</x:v>
      </x:c>
      <x:c r="J1742" s="73"/>
      <x:c r="K1742" s="74" t="str">
        <x:f>IF(J1742="",H1742,IF(J1742=I1742,I1742,J1742))</x:f>
        <x:v>Find a meal</x:v>
      </x:c>
      <x:c r="L1742" s="74" t="str">
        <x:f>IF(J1742="","Keep current",IF(J1742=I1742,"Use suggestion","Custom"))</x:f>
        <x:v>Keep current</x:v>
      </x:c>
      <x:c r="M1742" s="71" t="str">
        <x:v>Pending review</x:v>
      </x:c>
      <x:c r="N1742" s="71" t="str">
        <x:v>Medium</x:v>
      </x:c>
      <x:c r="O1742" s="71" t="str">
        <x:v>components/journey-restaurant-finder.tsx</x:v>
      </x:c>
      <x:c r="P1742" s="71" t="str">
        <x:v>JourneyRestaurantFinder:161</x:v>
      </x:c>
      <x:c r="Q1742" s="71" t="str">
        <x:v>EN (default / shared)</x:v>
      </x:c>
      <x:c r="R1742" s="71" t="str">
        <x:v>Already clear and direct; suggested wording intentionally keeps the current copy.</x:v>
      </x:c>
      <x:c r="S1742" s="75" t="str">
        <x:v>Not applied — review required</x:v>
      </x:c>
    </x:row>
    <x:row r="1743">
      <x:c r="A1743" s="71" t="str">
        <x:v>MRV-C60385E7C6</x:v>
      </x:c>
      <x:c r="B1743" s="71" t="str">
        <x:v>System</x:v>
      </x:c>
      <x:c r="C1743" s="71" t="str">
        <x:v>Shared recovery / system</x:v>
      </x:c>
      <x:c r="D1743" s="71" t="str">
        <x:v>Shared</x:v>
      </x:c>
      <x:c r="E1743" s="71" t="str">
        <x:v>JourneyRestaurantFinder</x:v>
      </x:c>
      <x:c r="F1743" s="71" t="str">
        <x:v>Accessibility / input support</x:v>
      </x:c>
      <x:c r="G1743" s="71" t="str">
        <x:v>Accessibility label</x:v>
      </x:c>
      <x:c r="H1743" s="71" t="str">
        <x:v>Choose lunch or dinner</x:v>
      </x:c>
      <x:c r="I1743" s="71" t="str">
        <x:v>Choose lunch or dinner</x:v>
      </x:c>
      <x:c r="J1743" s="73"/>
      <x:c r="K1743" s="74" t="str">
        <x:f>IF(J1743="",H1743,IF(J1743=I1743,I1743,J1743))</x:f>
        <x:v>Choose lunch or dinner</x:v>
      </x:c>
      <x:c r="L1743" s="74" t="str">
        <x:f>IF(J1743="","Keep current",IF(J1743=I1743,"Use suggestion","Custom"))</x:f>
        <x:v>Keep current</x:v>
      </x:c>
      <x:c r="M1743" s="71" t="str">
        <x:v>Pending review</x:v>
      </x:c>
      <x:c r="N1743" s="71" t="str">
        <x:v>Medium</x:v>
      </x:c>
      <x:c r="O1743" s="71" t="str">
        <x:v>components/journey-restaurant-finder.tsx</x:v>
      </x:c>
      <x:c r="P1743" s="71" t="str">
        <x:v>JourneyRestaurantFinder:162</x:v>
      </x:c>
      <x:c r="Q1743" s="71" t="str">
        <x:v>EN (default / shared)</x:v>
      </x:c>
      <x:c r="R1743" s="71" t="str">
        <x:v>Already clear and direct; suggested wording intentionally keeps the current copy.</x:v>
      </x:c>
      <x:c r="S1743" s="75" t="str">
        <x:v>Not applied — review required</x:v>
      </x:c>
    </x:row>
    <x:row r="1744">
      <x:c r="A1744" s="71" t="str">
        <x:v>MRV-653BF99FC9</x:v>
      </x:c>
      <x:c r="B1744" s="71" t="str">
        <x:v>System</x:v>
      </x:c>
      <x:c r="C1744" s="71" t="str">
        <x:v>Shared recovery / system</x:v>
      </x:c>
      <x:c r="D1744" s="71" t="str">
        <x:v>Shared</x:v>
      </x:c>
      <x:c r="E1744" s="71" t="str">
        <x:v>JourneyRestaurantFinder</x:v>
      </x:c>
      <x:c r="F1744" s="71" t="str">
        <x:v>Default</x:v>
      </x:c>
      <x:c r="G1744" s="71" t="str">
        <x:v>Label</x:v>
      </x:c>
      <x:c r="H1744" s="71" t="str">
        <x:v>Finally, choose a direction</x:v>
      </x:c>
      <x:c r="I1744" s="71" t="str">
        <x:v>Finally, choose a direction</x:v>
      </x:c>
      <x:c r="J1744" s="73"/>
      <x:c r="K1744" s="74" t="str">
        <x:f>IF(J1744="",H1744,IF(J1744=I1744,I1744,J1744))</x:f>
        <x:v>Finally, choose a direction</x:v>
      </x:c>
      <x:c r="L1744" s="74" t="str">
        <x:f>IF(J1744="","Keep current",IF(J1744=I1744,"Use suggestion","Custom"))</x:f>
        <x:v>Keep current</x:v>
      </x:c>
      <x:c r="M1744" s="71" t="str">
        <x:v>Pending review</x:v>
      </x:c>
      <x:c r="N1744" s="71" t="str">
        <x:v>Normal</x:v>
      </x:c>
      <x:c r="O1744" s="71" t="str">
        <x:v>components/journey-restaurant-finder.tsx</x:v>
      </x:c>
      <x:c r="P1744" s="71" t="str">
        <x:v>JourneyRestaurantFinder:172</x:v>
      </x:c>
      <x:c r="Q1744" s="71" t="str">
        <x:v>EN (default / shared)</x:v>
      </x:c>
      <x:c r="R1744" s="71" t="str">
        <x:v>Already clear and direct; suggested wording intentionally keeps the current copy.</x:v>
      </x:c>
      <x:c r="S1744" s="75" t="str">
        <x:v>Not applied — review required</x:v>
      </x:c>
    </x:row>
    <x:row r="1745">
      <x:c r="A1745" s="71" t="str">
        <x:v>MRV-B30FB086E4</x:v>
      </x:c>
      <x:c r="B1745" s="71" t="str">
        <x:v>System</x:v>
      </x:c>
      <x:c r="C1745" s="71" t="str">
        <x:v>Shared recovery / system</x:v>
      </x:c>
      <x:c r="D1745" s="71" t="str">
        <x:v>Shared</x:v>
      </x:c>
      <x:c r="E1745" s="71" t="str">
        <x:v>JourneyRestaurantFinder</x:v>
      </x:c>
      <x:c r="F1745" s="71" t="str">
        <x:v>Default</x:v>
      </x:c>
      <x:c r="G1745" s="71" t="str">
        <x:v>Prompt / question</x:v>
      </x:c>
      <x:c r="H1745" s="71" t="str">
        <x:v>What do you actually want to eat?</x:v>
      </x:c>
      <x:c r="I1745" s="71" t="str">
        <x:v>What do you want to eat?</x:v>
      </x:c>
      <x:c r="J1745" s="73"/>
      <x:c r="K1745" s="74" t="str">
        <x:f>IF(J1745="",H1745,IF(J1745=I1745,I1745,J1745))</x:f>
        <x:v>What do you actually want to eat?</x:v>
      </x:c>
      <x:c r="L1745" s="74" t="str">
        <x:f>IF(J1745="","Keep current",IF(J1745=I1745,"Use suggestion","Custom"))</x:f>
        <x:v>Keep current</x:v>
      </x:c>
      <x:c r="M1745" s="71" t="str">
        <x:v>Pending review</x:v>
      </x:c>
      <x:c r="N1745" s="71" t="str">
        <x:v>Normal</x:v>
      </x:c>
      <x:c r="O1745" s="71" t="str">
        <x:v>components/journey-restaurant-finder.tsx</x:v>
      </x:c>
      <x:c r="P1745" s="71" t="str">
        <x:v>JourneyRestaurantFinder:173</x:v>
      </x:c>
      <x:c r="Q1745" s="71" t="str">
        <x:v>EN (default / shared)</x:v>
      </x:c>
      <x:c r="R1745" s="71" t="str">
        <x:v>Simplified for a warmer, more direct action or recovery message.</x:v>
      </x:c>
      <x:c r="S1745" s="75" t="str">
        <x:v>Not applied — review required</x:v>
      </x:c>
    </x:row>
    <x:row r="1746">
      <x:c r="A1746" s="71" t="str">
        <x:v>MRV-400DC411AE</x:v>
      </x:c>
      <x:c r="B1746" s="71" t="str">
        <x:v>System</x:v>
      </x:c>
      <x:c r="C1746" s="71" t="str">
        <x:v>Shared recovery / system</x:v>
      </x:c>
      <x:c r="D1746" s="71" t="str">
        <x:v>Shared</x:v>
      </x:c>
      <x:c r="E1746" s="71" t="str">
        <x:v>JourneyRestaurantFinder</x:v>
      </x:c>
      <x:c r="F1746" s="71" t="str">
        <x:v>Default</x:v>
      </x:c>
      <x:c r="G1746" s="71" t="str">
        <x:v>Label</x:v>
      </x:c>
      <x:c r="H1746" s="71" t="str">
        <x:v>Your {activeMeal} pick</x:v>
      </x:c>
      <x:c r="I1746" s="71" t="str">
        <x:v>Your {activeMeal} pick</x:v>
      </x:c>
      <x:c r="J1746" s="73"/>
      <x:c r="K1746" s="74" t="str">
        <x:f>IF(J1746="",H1746,IF(J1746=I1746,I1746,J1746))</x:f>
        <x:v>Your {activeMeal} pick</x:v>
      </x:c>
      <x:c r="L1746" s="74" t="str">
        <x:f>IF(J1746="","Keep current",IF(J1746=I1746,"Use suggestion","Custom"))</x:f>
        <x:v>Keep current</x:v>
      </x:c>
      <x:c r="M1746" s="71" t="str">
        <x:v>Pending review</x:v>
      </x:c>
      <x:c r="N1746" s="71" t="str">
        <x:v>Normal</x:v>
      </x:c>
      <x:c r="O1746" s="71" t="str">
        <x:v>components/journey-restaurant-finder.tsx</x:v>
      </x:c>
      <x:c r="P1746" s="71" t="str">
        <x:v>JourneyRestaurantFinder:177</x:v>
      </x:c>
      <x:c r="Q1746" s="71" t="str">
        <x:v>EN (default / shared)</x:v>
      </x:c>
      <x:c r="R1746" s="71" t="str">
        <x:v>Already clear and direct; suggested wording intentionally keeps the current copy. Dynamic traveller or trip value is represented as a token; user-generated values are excluded.</x:v>
      </x:c>
      <x:c r="S1746" s="75" t="str">
        <x:v>Not applied — review required</x:v>
      </x:c>
    </x:row>
    <x:row r="1747">
      <x:c r="A1747" s="71" t="str">
        <x:v>MRV-D4D749A51B</x:v>
      </x:c>
      <x:c r="B1747" s="71" t="str">
        <x:v>System</x:v>
      </x:c>
      <x:c r="C1747" s="71" t="str">
        <x:v>Shared recovery / system</x:v>
      </x:c>
      <x:c r="D1747" s="71" t="str">
        <x:v>Shared</x:v>
      </x:c>
      <x:c r="E1747" s="71" t="str">
        <x:v>JourneyRestaurantFinder</x:v>
      </x:c>
      <x:c r="F1747" s="71" t="str">
        <x:v>Default</x:v>
      </x:c>
      <x:c r="G1747" s="71" t="str">
        <x:v>Label</x:v>
      </x:c>
      <x:c r="H1747" s="71" t="str">
        <x:v>Suggested {activeMeal} pick</x:v>
      </x:c>
      <x:c r="I1747" s="71" t="str">
        <x:v>Suggested {activeMeal} pick</x:v>
      </x:c>
      <x:c r="J1747" s="73"/>
      <x:c r="K1747" s="74" t="str">
        <x:f>IF(J1747="",H1747,IF(J1747=I1747,I1747,J1747))</x:f>
        <x:v>Suggested {activeMeal} pick</x:v>
      </x:c>
      <x:c r="L1747" s="74" t="str">
        <x:f>IF(J1747="","Keep current",IF(J1747=I1747,"Use suggestion","Custom"))</x:f>
        <x:v>Keep current</x:v>
      </x:c>
      <x:c r="M1747" s="71" t="str">
        <x:v>Pending review</x:v>
      </x:c>
      <x:c r="N1747" s="71" t="str">
        <x:v>Normal</x:v>
      </x:c>
      <x:c r="O1747" s="71" t="str">
        <x:v>components/journey-restaurant-finder.tsx</x:v>
      </x:c>
      <x:c r="P1747" s="71" t="str">
        <x:v>JourneyRestaurantFinder:177</x:v>
      </x:c>
      <x:c r="Q1747" s="71" t="str">
        <x:v>EN (default / shared)</x:v>
      </x:c>
      <x:c r="R1747" s="71" t="str">
        <x:v>Already clear and direct; suggested wording intentionally keeps the current copy. Dynamic traveller or trip value is represented as a token; user-generated values are excluded.</x:v>
      </x:c>
      <x:c r="S1747" s="75" t="str">
        <x:v>Not applied — review required</x:v>
      </x:c>
    </x:row>
    <x:row r="1748">
      <x:c r="A1748" s="71" t="str">
        <x:v>MRV-E51750320D</x:v>
      </x:c>
      <x:c r="B1748" s="71" t="str">
        <x:v>System</x:v>
      </x:c>
      <x:c r="C1748" s="71" t="str">
        <x:v>Shared recovery / system</x:v>
      </x:c>
      <x:c r="D1748" s="71" t="str">
        <x:v>Shared</x:v>
      </x:c>
      <x:c r="E1748" s="71" t="str">
        <x:v>JourneyRestaurantFinder</x:v>
      </x:c>
      <x:c r="F1748" s="71" t="str">
        <x:v>Default</x:v>
      </x:c>
      <x:c r="G1748" s="71" t="str">
        <x:v>Label</x:v>
      </x:c>
      <x:c r="H1748" s="71" t="str">
        <x:v>In today’s itinerary ↑</x:v>
      </x:c>
      <x:c r="I1748" s="71" t="str">
        <x:v>In today’s itinerary ↑</x:v>
      </x:c>
      <x:c r="J1748" s="73"/>
      <x:c r="K1748" s="74" t="str">
        <x:f>IF(J1748="",H1748,IF(J1748=I1748,I1748,J1748))</x:f>
        <x:v>In today’s itinerary ↑</x:v>
      </x:c>
      <x:c r="L1748" s="74" t="str">
        <x:f>IF(J1748="","Keep current",IF(J1748=I1748,"Use suggestion","Custom"))</x:f>
        <x:v>Keep current</x:v>
      </x:c>
      <x:c r="M1748" s="71" t="str">
        <x:v>Pending review</x:v>
      </x:c>
      <x:c r="N1748" s="71" t="str">
        <x:v>Normal</x:v>
      </x:c>
      <x:c r="O1748" s="71" t="str">
        <x:v>components/journey-restaurant-finder.tsx</x:v>
      </x:c>
      <x:c r="P1748" s="71" t="str">
        <x:v>JourneyRestaurantFinder:177</x:v>
      </x:c>
      <x:c r="Q1748" s="71" t="str">
        <x:v>EN (default / shared)</x:v>
      </x:c>
      <x:c r="R1748" s="71" t="str">
        <x:v>Already clear and direct; suggested wording intentionally keeps the current copy.</x:v>
      </x:c>
      <x:c r="S1748" s="75" t="str">
        <x:v>Not applied — review required</x:v>
      </x:c>
    </x:row>
    <x:row r="1749">
      <x:c r="A1749" s="71" t="str">
        <x:v>MRV-B69A9CF4B2</x:v>
      </x:c>
      <x:c r="B1749" s="71" t="str">
        <x:v>System</x:v>
      </x:c>
      <x:c r="C1749" s="71" t="str">
        <x:v>Shared recovery / system</x:v>
      </x:c>
      <x:c r="D1749" s="71" t="str">
        <x:v>Shared</x:v>
      </x:c>
      <x:c r="E1749" s="71" t="str">
        <x:v>JourneyRestaurantFinder</x:v>
      </x:c>
      <x:c r="F1749" s="71" t="str">
        <x:v>Default</x:v>
      </x:c>
      <x:c r="G1749" s="71" t="str">
        <x:v>Label</x:v>
      </x:c>
      <x:c r="H1749" s="71" t="str">
        <x:v>Not saved yet</x:v>
      </x:c>
      <x:c r="I1749" s="71" t="str">
        <x:v>Not saved yet</x:v>
      </x:c>
      <x:c r="J1749" s="73"/>
      <x:c r="K1749" s="74" t="str">
        <x:f>IF(J1749="",H1749,IF(J1749=I1749,I1749,J1749))</x:f>
        <x:v>Not saved yet</x:v>
      </x:c>
      <x:c r="L1749" s="74" t="str">
        <x:f>IF(J1749="","Keep current",IF(J1749=I1749,"Use suggestion","Custom"))</x:f>
        <x:v>Keep current</x:v>
      </x:c>
      <x:c r="M1749" s="71" t="str">
        <x:v>Pending review</x:v>
      </x:c>
      <x:c r="N1749" s="71" t="str">
        <x:v>Normal</x:v>
      </x:c>
      <x:c r="O1749" s="71" t="str">
        <x:v>components/journey-restaurant-finder.tsx</x:v>
      </x:c>
      <x:c r="P1749" s="71" t="str">
        <x:v>JourneyRestaurantFinder:177</x:v>
      </x:c>
      <x:c r="Q1749" s="71" t="str">
        <x:v>EN (default / shared)</x:v>
      </x:c>
      <x:c r="R1749" s="71" t="str">
        <x:v>Already clear and direct; suggested wording intentionally keeps the current copy.</x:v>
      </x:c>
      <x:c r="S1749" s="75" t="str">
        <x:v>Not applied — review required</x:v>
      </x:c>
    </x:row>
    <x:row r="1750">
      <x:c r="A1750" s="71" t="str">
        <x:v>MRV-6839CE7F54</x:v>
      </x:c>
      <x:c r="B1750" s="71" t="str">
        <x:v>System</x:v>
      </x:c>
      <x:c r="C1750" s="71" t="str">
        <x:v>Shared recovery / system</x:v>
      </x:c>
      <x:c r="D1750" s="71" t="str">
        <x:v>Shared</x:v>
      </x:c>
      <x:c r="E1750" s="71" t="str">
        <x:v>JourneyRestaurantFinder</x:v>
      </x:c>
      <x:c r="F1750" s="71" t="str">
        <x:v>Default</x:v>
      </x:c>
      <x:c r="G1750" s="71" t="str">
        <x:v>Label</x:v>
      </x:c>
      <x:c r="H1750" s="71" t="str">
        <x:v>Order</x:v>
      </x:c>
      <x:c r="I1750" s="71" t="str">
        <x:v>Order</x:v>
      </x:c>
      <x:c r="J1750" s="73"/>
      <x:c r="K1750" s="74" t="str">
        <x:f>IF(J1750="",H1750,IF(J1750=I1750,I1750,J1750))</x:f>
        <x:v>Order</x:v>
      </x:c>
      <x:c r="L1750" s="74" t="str">
        <x:f>IF(J1750="","Keep current",IF(J1750=I1750,"Use suggestion","Custom"))</x:f>
        <x:v>Keep current</x:v>
      </x:c>
      <x:c r="M1750" s="71" t="str">
        <x:v>Pending review</x:v>
      </x:c>
      <x:c r="N1750" s="71" t="str">
        <x:v>Normal</x:v>
      </x:c>
      <x:c r="O1750" s="71" t="str">
        <x:v>components/journey-restaurant-finder.tsx</x:v>
      </x:c>
      <x:c r="P1750" s="71" t="str">
        <x:v>JourneyRestaurantFinder:182</x:v>
      </x:c>
      <x:c r="Q1750" s="71" t="str">
        <x:v>EN (default / shared)</x:v>
      </x:c>
      <x:c r="R1750" s="71" t="str">
        <x:v>Already clear and direct; suggested wording intentionally keeps the current copy.</x:v>
      </x:c>
      <x:c r="S1750" s="75" t="str">
        <x:v>Not applied — review required</x:v>
      </x:c>
    </x:row>
    <x:row r="1751">
      <x:c r="A1751" s="71" t="str">
        <x:v>MRV-DFFD00A9C6</x:v>
      </x:c>
      <x:c r="B1751" s="71" t="str">
        <x:v>System</x:v>
      </x:c>
      <x:c r="C1751" s="71" t="str">
        <x:v>Shared recovery / system</x:v>
      </x:c>
      <x:c r="D1751" s="71" t="str">
        <x:v>Shared</x:v>
      </x:c>
      <x:c r="E1751" s="71" t="str">
        <x:v>JourneyRestaurantFinder</x:v>
      </x:c>
      <x:c r="F1751" s="71" t="str">
        <x:v>Default</x:v>
      </x:c>
      <x:c r="G1751" s="71" t="str">
        <x:v>CTA / button</x:v>
      </x:c>
      <x:c r="H1751" s="71" t="str">
        <x:v>Open in Maps</x:v>
      </x:c>
      <x:c r="I1751" s="71" t="str">
        <x:v>Open in Maps</x:v>
      </x:c>
      <x:c r="J1751" s="73"/>
      <x:c r="K1751" s="74" t="str">
        <x:f>IF(J1751="",H1751,IF(J1751=I1751,I1751,J1751))</x:f>
        <x:v>Open in Maps</x:v>
      </x:c>
      <x:c r="L1751" s="74" t="str">
        <x:f>IF(J1751="","Keep current",IF(J1751=I1751,"Use suggestion","Custom"))</x:f>
        <x:v>Keep current</x:v>
      </x:c>
      <x:c r="M1751" s="71" t="str">
        <x:v>Pending review</x:v>
      </x:c>
      <x:c r="N1751" s="71" t="str">
        <x:v>Medium</x:v>
      </x:c>
      <x:c r="O1751" s="71" t="str">
        <x:v>components/journey-restaurant-finder.tsx</x:v>
      </x:c>
      <x:c r="P1751" s="71" t="str">
        <x:v>JourneyRestaurantFinder:184</x:v>
      </x:c>
      <x:c r="Q1751" s="71" t="str">
        <x:v>EN (default / shared)</x:v>
      </x:c>
      <x:c r="R1751" s="71" t="str">
        <x:v>Already clear and direct; suggested wording intentionally keeps the current copy. Duplicate wording: appears 2 times.</x:v>
      </x:c>
      <x:c r="S1751" s="75" t="str">
        <x:v>Not applied — review required</x:v>
      </x:c>
    </x:row>
    <x:row r="1752">
      <x:c r="A1752" s="71" t="str">
        <x:v>MRV-8EBBE0E0F5</x:v>
      </x:c>
      <x:c r="B1752" s="71" t="str">
        <x:v>System</x:v>
      </x:c>
      <x:c r="C1752" s="71" t="str">
        <x:v>Shared recovery / system</x:v>
      </x:c>
      <x:c r="D1752" s="71" t="str">
        <x:v>Shared</x:v>
      </x:c>
      <x:c r="E1752" s="71" t="str">
        <x:v>JourneyRestaurantFinder</x:v>
      </x:c>
      <x:c r="F1752" s="71" t="str">
        <x:v>Default</x:v>
      </x:c>
      <x:c r="G1752" s="71" t="str">
        <x:v>CTA / button</x:v>
      </x:c>
      <x:c r="H1752" s="71" t="str">
        <x:v>Saved to itinerary</x:v>
      </x:c>
      <x:c r="I1752" s="71" t="str">
        <x:v>Saved to itinerary</x:v>
      </x:c>
      <x:c r="J1752" s="73"/>
      <x:c r="K1752" s="74" t="str">
        <x:f>IF(J1752="",H1752,IF(J1752=I1752,I1752,J1752))</x:f>
        <x:v>Saved to itinerary</x:v>
      </x:c>
      <x:c r="L1752" s="74" t="str">
        <x:f>IF(J1752="","Keep current",IF(J1752=I1752,"Use suggestion","Custom"))</x:f>
        <x:v>Keep current</x:v>
      </x:c>
      <x:c r="M1752" s="71" t="str">
        <x:v>Pending review</x:v>
      </x:c>
      <x:c r="N1752" s="71" t="str">
        <x:v>Medium</x:v>
      </x:c>
      <x:c r="O1752" s="71" t="str">
        <x:v>components/journey-restaurant-finder.tsx</x:v>
      </x:c>
      <x:c r="P1752" s="71" t="str">
        <x:v>JourneyRestaurantFinder:185</x:v>
      </x:c>
      <x:c r="Q1752" s="71" t="str">
        <x:v>EN (default / shared)</x:v>
      </x:c>
      <x:c r="R1752" s="71" t="str">
        <x:v>Already clear and direct; suggested wording intentionally keeps the current copy. Duplicate wording: appears 2 times.</x:v>
      </x:c>
      <x:c r="S1752" s="75" t="str">
        <x:v>Not applied — review required</x:v>
      </x:c>
    </x:row>
    <x:row r="1753">
      <x:c r="A1753" s="71" t="str">
        <x:v>MRV-F699E97023</x:v>
      </x:c>
      <x:c r="B1753" s="71" t="str">
        <x:v>System</x:v>
      </x:c>
      <x:c r="C1753" s="71" t="str">
        <x:v>Shared recovery / system</x:v>
      </x:c>
      <x:c r="D1753" s="71" t="str">
        <x:v>Shared</x:v>
      </x:c>
      <x:c r="E1753" s="71" t="str">
        <x:v>JourneyRestaurantFinder</x:v>
      </x:c>
      <x:c r="F1753" s="71" t="str">
        <x:v>Default</x:v>
      </x:c>
      <x:c r="G1753" s="71" t="str">
        <x:v>CTA / button</x:v>
      </x:c>
      <x:c r="H1753" s="71" t="str">
        <x:v>Add to today</x:v>
      </x:c>
      <x:c r="I1753" s="71" t="str">
        <x:v>Add to today</x:v>
      </x:c>
      <x:c r="J1753" s="73"/>
      <x:c r="K1753" s="74" t="str">
        <x:f>IF(J1753="",H1753,IF(J1753=I1753,I1753,J1753))</x:f>
        <x:v>Add to today</x:v>
      </x:c>
      <x:c r="L1753" s="74" t="str">
        <x:f>IF(J1753="","Keep current",IF(J1753=I1753,"Use suggestion","Custom"))</x:f>
        <x:v>Keep current</x:v>
      </x:c>
      <x:c r="M1753" s="71" t="str">
        <x:v>Pending review</x:v>
      </x:c>
      <x:c r="N1753" s="71" t="str">
        <x:v>Medium</x:v>
      </x:c>
      <x:c r="O1753" s="71" t="str">
        <x:v>components/journey-restaurant-finder.tsx</x:v>
      </x:c>
      <x:c r="P1753" s="71" t="str">
        <x:v>JourneyRestaurantFinder:185</x:v>
      </x:c>
      <x:c r="Q1753" s="71" t="str">
        <x:v>EN (default / shared)</x:v>
      </x:c>
      <x:c r="R1753" s="71" t="str">
        <x:v>Already clear and direct; suggested wording intentionally keeps the current copy.</x:v>
      </x:c>
      <x:c r="S1753" s="75" t="str">
        <x:v>Not applied — review required</x:v>
      </x:c>
    </x:row>
    <x:row r="1754">
      <x:c r="A1754" s="71" t="str">
        <x:v>MRV-07B733DD4A</x:v>
      </x:c>
      <x:c r="B1754" s="71" t="str">
        <x:v>System</x:v>
      </x:c>
      <x:c r="C1754" s="71" t="str">
        <x:v>Shared recovery / system</x:v>
      </x:c>
      <x:c r="D1754" s="71" t="str">
        <x:v>Shared</x:v>
      </x:c>
      <x:c r="E1754" s="71" t="str">
        <x:v>JourneyRestaurantFinder</x:v>
      </x:c>
      <x:c r="F1754" s="71" t="str">
        <x:v>Default</x:v>
      </x:c>
      <x:c r="G1754" s="71" t="str">
        <x:v>CTA / button</x:v>
      </x:c>
      <x:c r="H1754" s="71" t="str">
        <x:v>Change pick</x:v>
      </x:c>
      <x:c r="I1754" s="71" t="str">
        <x:v>Change pick</x:v>
      </x:c>
      <x:c r="J1754" s="73"/>
      <x:c r="K1754" s="74" t="str">
        <x:f>IF(J1754="",H1754,IF(J1754=I1754,I1754,J1754))</x:f>
        <x:v>Change pick</x:v>
      </x:c>
      <x:c r="L1754" s="74" t="str">
        <x:f>IF(J1754="","Keep current",IF(J1754=I1754,"Use suggestion","Custom"))</x:f>
        <x:v>Keep current</x:v>
      </x:c>
      <x:c r="M1754" s="71" t="str">
        <x:v>Pending review</x:v>
      </x:c>
      <x:c r="N1754" s="71" t="str">
        <x:v>Medium</x:v>
      </x:c>
      <x:c r="O1754" s="71" t="str">
        <x:v>components/journey-restaurant-finder.tsx</x:v>
      </x:c>
      <x:c r="P1754" s="71" t="str">
        <x:v>JourneyRestaurantFinder:186</x:v>
      </x:c>
      <x:c r="Q1754" s="71" t="str">
        <x:v>EN (default / shared)</x:v>
      </x:c>
      <x:c r="R1754" s="71" t="str">
        <x:v>Already clear and direct; suggested wording intentionally keeps the current copy.</x:v>
      </x:c>
      <x:c r="S1754" s="75" t="str">
        <x:v>Not applied — review required</x:v>
      </x:c>
    </x:row>
    <x:row r="1755">
      <x:c r="A1755" s="71" t="str">
        <x:v>MRV-A512A5537E</x:v>
      </x:c>
      <x:c r="B1755" s="71" t="str">
        <x:v>System</x:v>
      </x:c>
      <x:c r="C1755" s="71" t="str">
        <x:v>Shared recovery / system</x:v>
      </x:c>
      <x:c r="D1755" s="71" t="str">
        <x:v>Shared</x:v>
      </x:c>
      <x:c r="E1755" s="71" t="str">
        <x:v>JourneyRestaurantFinder</x:v>
      </x:c>
      <x:c r="F1755" s="71" t="str">
        <x:v>Default</x:v>
      </x:c>
      <x:c r="G1755" s="71" t="str">
        <x:v>Label</x:v>
      </x:c>
      <x:c r="H1755" s="71" t="str">
        <x:v>Try another</x:v>
      </x:c>
      <x:c r="I1755" s="71" t="str">
        <x:v>Try another</x:v>
      </x:c>
      <x:c r="J1755" s="73"/>
      <x:c r="K1755" s="74" t="str">
        <x:f>IF(J1755="",H1755,IF(J1755=I1755,I1755,J1755))</x:f>
        <x:v>Try another</x:v>
      </x:c>
      <x:c r="L1755" s="74" t="str">
        <x:f>IF(J1755="","Keep current",IF(J1755=I1755,"Use suggestion","Custom"))</x:f>
        <x:v>Keep current</x:v>
      </x:c>
      <x:c r="M1755" s="71" t="str">
        <x:v>Pending review</x:v>
      </x:c>
      <x:c r="N1755" s="71" t="str">
        <x:v>Normal</x:v>
      </x:c>
      <x:c r="O1755" s="71" t="str">
        <x:v>components/journey-restaurant-finder.tsx</x:v>
      </x:c>
      <x:c r="P1755" s="71" t="str">
        <x:v>JourneyRestaurantFinder:186</x:v>
      </x:c>
      <x:c r="Q1755" s="71" t="str">
        <x:v>EN (default / shared)</x:v>
      </x:c>
      <x:c r="R1755" s="71" t="str">
        <x:v>Already clear and direct; suggested wording intentionally keeps the current copy.</x:v>
      </x:c>
      <x:c r="S1755" s="75" t="str">
        <x:v>Not applied — review required</x:v>
      </x:c>
    </x:row>
    <x:row r="1756">
      <x:c r="A1756" s="71" t="str">
        <x:v>MRV-5C2FEB2E22</x:v>
      </x:c>
      <x:c r="B1756" s="71" t="str">
        <x:v>System</x:v>
      </x:c>
      <x:c r="C1756" s="71" t="str">
        <x:v>Shared recovery / system</x:v>
      </x:c>
      <x:c r="D1756" s="71" t="str">
        <x:v>Shared</x:v>
      </x:c>
      <x:c r="E1756" s="71" t="str">
        <x:v>JourneyRestaurantFinder</x:v>
      </x:c>
      <x:c r="F1756" s="71" t="str">
        <x:v>Accessibility / input support</x:v>
      </x:c>
      <x:c r="G1756" s="71" t="str">
        <x:v>Accessibility label</x:v>
      </x:c>
      <x:c r="H1756" s="71" t="str">
        <x:v>Change restaurant preferences</x:v>
      </x:c>
      <x:c r="I1756" s="71" t="str">
        <x:v>Change restaurant preferences</x:v>
      </x:c>
      <x:c r="J1756" s="73"/>
      <x:c r="K1756" s="74" t="str">
        <x:f>IF(J1756="",H1756,IF(J1756=I1756,I1756,J1756))</x:f>
        <x:v>Change restaurant preferences</x:v>
      </x:c>
      <x:c r="L1756" s="74" t="str">
        <x:f>IF(J1756="","Keep current",IF(J1756=I1756,"Use suggestion","Custom"))</x:f>
        <x:v>Keep current</x:v>
      </x:c>
      <x:c r="M1756" s="71" t="str">
        <x:v>Pending review</x:v>
      </x:c>
      <x:c r="N1756" s="71" t="str">
        <x:v>Medium</x:v>
      </x:c>
      <x:c r="O1756" s="71" t="str">
        <x:v>components/journey-restaurant-finder.tsx</x:v>
      </x:c>
      <x:c r="P1756" s="71" t="str">
        <x:v>JourneyRestaurantFinder:187</x:v>
      </x:c>
      <x:c r="Q1756" s="71" t="str">
        <x:v>EN (default / shared)</x:v>
      </x:c>
      <x:c r="R1756" s="71" t="str">
        <x:v>Already clear and direct; suggested wording intentionally keeps the current copy.</x:v>
      </x:c>
      <x:c r="S1756" s="75" t="str">
        <x:v>Not applied — review required</x:v>
      </x:c>
    </x:row>
    <x:row r="1757">
      <x:c r="A1757" s="71" t="str">
        <x:v>MRV-B51965EF4A</x:v>
      </x:c>
      <x:c r="B1757" s="71" t="str">
        <x:v>System</x:v>
      </x:c>
      <x:c r="C1757" s="71" t="str">
        <x:v>Shared recovery / system</x:v>
      </x:c>
      <x:c r="D1757" s="71" t="str">
        <x:v>Shared</x:v>
      </x:c>
      <x:c r="E1757" s="71" t="str">
        <x:v>JourneyRestaurantFinder</x:v>
      </x:c>
      <x:c r="F1757" s="71" t="str">
        <x:v>Default</x:v>
      </x:c>
      <x:c r="G1757" s="71" t="str">
        <x:v>Body copy</x:v>
      </x:c>
      <x:c r="H1757" s="71" t="str">
        <x:v>Shortlist for March 2027 — confirm hours closer to travel.</x:v>
      </x:c>
      <x:c r="I1757" s="71" t="str">
        <x:v>Shortlist for March 2027 — confirm hours closer to travel.</x:v>
      </x:c>
      <x:c r="J1757" s="73"/>
      <x:c r="K1757" s="74" t="str">
        <x:f>IF(J1757="",H1757,IF(J1757=I1757,I1757,J1757))</x:f>
        <x:v>Shortlist for March 2027 — confirm hours closer to travel.</x:v>
      </x:c>
      <x:c r="L1757" s="74" t="str">
        <x:f>IF(J1757="","Keep current",IF(J1757=I1757,"Use suggestion","Custom"))</x:f>
        <x:v>Keep current</x:v>
      </x:c>
      <x:c r="M1757" s="71" t="str">
        <x:v>Pending review</x:v>
      </x:c>
      <x:c r="N1757" s="71" t="str">
        <x:v>Normal</x:v>
      </x:c>
      <x:c r="O1757" s="71" t="str">
        <x:v>components/journey-restaurant-finder.tsx</x:v>
      </x:c>
      <x:c r="P1757" s="71" t="str">
        <x:v>JourneyRestaurantFinder:189</x:v>
      </x:c>
      <x:c r="Q1757" s="71" t="str">
        <x:v>EN (default / shared)</x:v>
      </x:c>
      <x:c r="R1757" s="71" t="str">
        <x:v>Already clear and direct; suggested wording intentionally keeps the current copy.</x:v>
      </x:c>
      <x:c r="S1757" s="75" t="str">
        <x:v>Not applied — review required</x:v>
      </x:c>
    </x:row>
    <x:row r="1758">
      <x:c r="A1758" s="71" t="str">
        <x:v>MRV-A75DE91859</x:v>
      </x:c>
      <x:c r="B1758" s="71" t="str">
        <x:v>Trip workspace</x:v>
      </x:c>
      <x:c r="C1758" s="71" t="str">
        <x:v>Prep</x:v>
      </x:c>
      <x:c r="D1758" s="71" t="str">
        <x:v>Shared: Prep</x:v>
      </x:c>
      <x:c r="E1758" s="71" t="str">
        <x:v>accommodationDateLabel</x:v>
      </x:c>
      <x:c r="F1758" s="71" t="str">
        <x:v>Default</x:v>
      </x:c>
      <x:c r="G1758" s="71" t="str">
        <x:v>Label</x:v>
      </x:c>
      <x:c r="H1758" s="71" t="str">
        <x:v>Dates to confirm</x:v>
      </x:c>
      <x:c r="I1758" s="71" t="str">
        <x:v>Dates to confirm</x:v>
      </x:c>
      <x:c r="J1758" s="73"/>
      <x:c r="K1758" s="74" t="str">
        <x:f>IF(J1758="",H1758,IF(J1758=I1758,I1758,J1758))</x:f>
        <x:v>Dates to confirm</x:v>
      </x:c>
      <x:c r="L1758" s="74" t="str">
        <x:f>IF(J1758="","Keep current",IF(J1758=I1758,"Use suggestion","Custom"))</x:f>
        <x:v>Keep current</x:v>
      </x:c>
      <x:c r="M1758" s="71" t="str">
        <x:v>Pending review</x:v>
      </x:c>
      <x:c r="N1758" s="71" t="str">
        <x:v>Normal</x:v>
      </x:c>
      <x:c r="O1758" s="71" t="str">
        <x:v>components/journey-trip-prep-accommodation.tsx</x:v>
      </x:c>
      <x:c r="P1758" s="71" t="str">
        <x:v>accommodationDateLabel:14</x:v>
      </x:c>
      <x:c r="Q1758" s="71" t="str">
        <x:v>EN (default / shared)</x:v>
      </x:c>
      <x:c r="R1758" s="71" t="str">
        <x:v>Already clear and direct; suggested wording intentionally keeps the current copy. Duplicate wording: appears 5 times.</x:v>
      </x:c>
      <x:c r="S1758" s="75" t="str">
        <x:v>Not applied — review required</x:v>
      </x:c>
    </x:row>
    <x:row r="1759">
      <x:c r="A1759" s="71" t="str">
        <x:v>MRV-5AF4EB315C</x:v>
      </x:c>
      <x:c r="B1759" s="71" t="str">
        <x:v>Trip workspace</x:v>
      </x:c>
      <x:c r="C1759" s="71" t="str">
        <x:v>Prep</x:v>
      </x:c>
      <x:c r="D1759" s="71" t="str">
        <x:v>Shared: Prep</x:v>
      </x:c>
      <x:c r="E1759" s="71" t="str">
        <x:v>accommodationDateLabel</x:v>
      </x:c>
      <x:c r="F1759" s="71" t="str">
        <x:v>Default</x:v>
      </x:c>
      <x:c r="G1759" s="71" t="str">
        <x:v>Label</x:v>
      </x:c>
      <x:c r="H1759" s="71" t="str">
        <x:v>{arrival}–{departure}</x:v>
      </x:c>
      <x:c r="I1759" s="71" t="str">
        <x:v>{arrival}–{departure}</x:v>
      </x:c>
      <x:c r="J1759" s="73"/>
      <x:c r="K1759" s="74" t="str">
        <x:f>IF(J1759="",H1759,IF(J1759=I1759,I1759,J1759))</x:f>
        <x:v>{arrival}–{departure}</x:v>
      </x:c>
      <x:c r="L1759" s="74" t="str">
        <x:f>IF(J1759="","Keep current",IF(J1759=I1759,"Use suggestion","Custom"))</x:f>
        <x:v>Keep current</x:v>
      </x:c>
      <x:c r="M1759" s="71" t="str">
        <x:v>Pending review</x:v>
      </x:c>
      <x:c r="N1759" s="71" t="str">
        <x:v>Normal</x:v>
      </x:c>
      <x:c r="O1759" s="71" t="str">
        <x:v>components/journey-trip-prep-accommodation.tsx</x:v>
      </x:c>
      <x:c r="P1759" s="71" t="str">
        <x:v>accommodationDateLabel:17</x:v>
      </x:c>
      <x:c r="Q1759" s="71" t="str">
        <x:v>EN (default / shared)</x:v>
      </x:c>
      <x:c r="R1759" s="71" t="str">
        <x:v>Already clear and direct; suggested wording intentionally keeps the current copy. Duplicate wording: appears 2 times. Dynamic traveller or trip value is represented as a token; user-generated values are excluded.</x:v>
      </x:c>
      <x:c r="S1759" s="75" t="str">
        <x:v>Not applied — review required</x:v>
      </x:c>
    </x:row>
    <x:row r="1760">
      <x:c r="A1760" s="71" t="str">
        <x:v>MRV-80B34AABBF</x:v>
      </x:c>
      <x:c r="B1760" s="71" t="str">
        <x:v>Trip workspace</x:v>
      </x:c>
      <x:c r="C1760" s="71" t="str">
        <x:v>Prep</x:v>
      </x:c>
      <x:c r="D1760" s="71" t="str">
        <x:v>Shared: Prep</x:v>
      </x:c>
      <x:c r="E1760" s="71" t="str">
        <x:v>accommodationDateLabel</x:v>
      </x:c>
      <x:c r="F1760" s="71" t="str">
        <x:v>Default</x:v>
      </x:c>
      <x:c r="G1760" s="71" t="str">
        <x:v>Label</x:v>
      </x:c>
      <x:c r="H1760" s="71" t="str">
        <x:v>Dates to confirm</x:v>
      </x:c>
      <x:c r="I1760" s="71" t="str">
        <x:v>Dates to confirm</x:v>
      </x:c>
      <x:c r="J1760" s="73"/>
      <x:c r="K1760" s="74" t="str">
        <x:f>IF(J1760="",H1760,IF(J1760=I1760,I1760,J1760))</x:f>
        <x:v>Dates to confirm</x:v>
      </x:c>
      <x:c r="L1760" s="74" t="str">
        <x:f>IF(J1760="","Keep current",IF(J1760=I1760,"Use suggestion","Custom"))</x:f>
        <x:v>Keep current</x:v>
      </x:c>
      <x:c r="M1760" s="71" t="str">
        <x:v>Pending review</x:v>
      </x:c>
      <x:c r="N1760" s="71" t="str">
        <x:v>Normal</x:v>
      </x:c>
      <x:c r="O1760" s="71" t="str">
        <x:v>components/journey-trip-prep-accommodation.tsx</x:v>
      </x:c>
      <x:c r="P1760" s="71" t="str">
        <x:v>accommodationDateLabel:17</x:v>
      </x:c>
      <x:c r="Q1760" s="71" t="str">
        <x:v>EN (default / shared)</x:v>
      </x:c>
      <x:c r="R1760" s="71" t="str">
        <x:v>Already clear and direct; suggested wording intentionally keeps the current copy. Duplicate wording: appears 5 times.</x:v>
      </x:c>
      <x:c r="S1760" s="75" t="str">
        <x:v>Not applied — review required</x:v>
      </x:c>
    </x:row>
    <x:row r="1761">
      <x:c r="A1761" s="71" t="str">
        <x:v>MRV-AD6C849F6A</x:v>
      </x:c>
      <x:c r="B1761" s="71" t="str">
        <x:v>Trip workspace</x:v>
      </x:c>
      <x:c r="C1761" s="71" t="str">
        <x:v>Prep</x:v>
      </x:c>
      <x:c r="D1761" s="71" t="str">
        <x:v>Shared: Prep</x:v>
      </x:c>
      <x:c r="E1761" s="71" t="str">
        <x:v>JourneyTripPrepAccommodation</x:v>
      </x:c>
      <x:c r="F1761" s="71" t="str">
        <x:v>Default</x:v>
      </x:c>
      <x:c r="G1761" s="71" t="str">
        <x:v>Label</x:v>
      </x:c>
      <x:c r="H1761" s="71" t="str">
        <x:v>stays sorted</x:v>
      </x:c>
      <x:c r="I1761" s="71" t="str">
        <x:v>stays sorted</x:v>
      </x:c>
      <x:c r="J1761" s="73"/>
      <x:c r="K1761" s="74" t="str">
        <x:f>IF(J1761="",H1761,IF(J1761=I1761,I1761,J1761))</x:f>
        <x:v>stays sorted</x:v>
      </x:c>
      <x:c r="L1761" s="74" t="str">
        <x:f>IF(J1761="","Keep current",IF(J1761=I1761,"Use suggestion","Custom"))</x:f>
        <x:v>Keep current</x:v>
      </x:c>
      <x:c r="M1761" s="71" t="str">
        <x:v>Pending review</x:v>
      </x:c>
      <x:c r="N1761" s="71" t="str">
        <x:v>Normal</x:v>
      </x:c>
      <x:c r="O1761" s="71" t="str">
        <x:v>components/journey-trip-prep-accommodation.tsx</x:v>
      </x:c>
      <x:c r="P1761" s="71" t="str">
        <x:v>JourneyTripPrepAccommodation:35</x:v>
      </x:c>
      <x:c r="Q1761" s="71" t="str">
        <x:v>EN (default / shared)</x:v>
      </x:c>
      <x:c r="R1761" s="71" t="str">
        <x:v>Already clear and direct; suggested wording intentionally keeps the current copy. Duplicate wording: appears 3 times.</x:v>
      </x:c>
      <x:c r="S1761" s="75" t="str">
        <x:v>Not applied — review required</x:v>
      </x:c>
    </x:row>
    <x:row r="1762">
      <x:c r="A1762" s="71" t="str">
        <x:v>MRV-1015DB6968</x:v>
      </x:c>
      <x:c r="B1762" s="71" t="str">
        <x:v>Trip workspace</x:v>
      </x:c>
      <x:c r="C1762" s="71" t="str">
        <x:v>Prep</x:v>
      </x:c>
      <x:c r="D1762" s="71" t="str">
        <x:v>Shared: Prep</x:v>
      </x:c>
      <x:c r="E1762" s="71" t="str">
        <x:v>JourneyTripPrepAccommodation</x:v>
      </x:c>
      <x:c r="F1762" s="71" t="str">
        <x:v>Default</x:v>
      </x:c>
      <x:c r="G1762" s="71" t="str">
        <x:v>Body copy</x:v>
      </x:c>
      <x:c r="H1762" s="71" t="str">
        <x:v>All overnight stops have a saved stay in your trip.</x:v>
      </x:c>
      <x:c r="I1762" s="71" t="str">
        <x:v>All overnight stops have a saved stay in your trip.</x:v>
      </x:c>
      <x:c r="J1762" s="73"/>
      <x:c r="K1762" s="74" t="str">
        <x:f>IF(J1762="",H1762,IF(J1762=I1762,I1762,J1762))</x:f>
        <x:v>All overnight stops have a saved stay in your trip.</x:v>
      </x:c>
      <x:c r="L1762" s="74" t="str">
        <x:f>IF(J1762="","Keep current",IF(J1762=I1762,"Use suggestion","Custom"))</x:f>
        <x:v>Keep current</x:v>
      </x:c>
      <x:c r="M1762" s="71" t="str">
        <x:v>Pending review</x:v>
      </x:c>
      <x:c r="N1762" s="71" t="str">
        <x:v>Normal</x:v>
      </x:c>
      <x:c r="O1762" s="71" t="str">
        <x:v>components/journey-trip-prep-accommodation.tsx</x:v>
      </x:c>
      <x:c r="P1762" s="71" t="str">
        <x:v>JourneyTripPrepAccommodation:35</x:v>
      </x:c>
      <x:c r="Q1762" s="71" t="str">
        <x:v>EN (default / shared)</x:v>
      </x:c>
      <x:c r="R1762" s="71" t="str">
        <x:v>Already clear and direct; suggested wording intentionally keeps the current copy. Terminology watch: ‘trip’ and ‘journey’ both describe the same plan. Terminology watch: ‘stops’, ‘destinations’ and ‘places’ overlap.</x:v>
      </x:c>
      <x:c r="S1762" s="75" t="str">
        <x:v>Not applied — review required</x:v>
      </x:c>
    </x:row>
    <x:row r="1763">
      <x:c r="A1763" s="71" t="str">
        <x:v>MRV-85441DE3DF</x:v>
      </x:c>
      <x:c r="B1763" s="71" t="str">
        <x:v>Trip workspace</x:v>
      </x:c>
      <x:c r="C1763" s="71" t="str">
        <x:v>Prep</x:v>
      </x:c>
      <x:c r="D1763" s="71" t="str">
        <x:v>Shared: Prep</x:v>
      </x:c>
      <x:c r="E1763" s="71" t="str">
        <x:v>JourneyTripPrepAccommodation</x:v>
      </x:c>
      <x:c r="F1763" s="71" t="str">
        <x:v>Default</x:v>
      </x:c>
      <x:c r="G1763" s="71" t="str">
        <x:v>CTA / button</x:v>
      </x:c>
      <x:c r="H1763" s="71" t="str">
        <x:v>Save a stay for each overnight stop as you make the trip bookable.</x:v>
      </x:c>
      <x:c r="I1763" s="71" t="str">
        <x:v>Save a stay for each overnight stop as you make the trip bookable.</x:v>
      </x:c>
      <x:c r="J1763" s="73"/>
      <x:c r="K1763" s="74" t="str">
        <x:f>IF(J1763="",H1763,IF(J1763=I1763,I1763,J1763))</x:f>
        <x:v>Save a stay for each overnight stop as you make the trip bookable.</x:v>
      </x:c>
      <x:c r="L1763" s="74" t="str">
        <x:f>IF(J1763="","Keep current",IF(J1763=I1763,"Use suggestion","Custom"))</x:f>
        <x:v>Keep current</x:v>
      </x:c>
      <x:c r="M1763" s="71" t="str">
        <x:v>Pending review</x:v>
      </x:c>
      <x:c r="N1763" s="71" t="str">
        <x:v>Medium</x:v>
      </x:c>
      <x:c r="O1763" s="71" t="str">
        <x:v>components/journey-trip-prep-accommodation.tsx</x:v>
      </x:c>
      <x:c r="P1763" s="71" t="str">
        <x:v>JourneyTripPrepAccommodation:35</x:v>
      </x:c>
      <x:c r="Q1763" s="71" t="str">
        <x:v>EN (default / shared)</x:v>
      </x:c>
      <x:c r="R1763" s="71" t="str">
        <x:v>Already clear and direct; suggested wording intentionally keeps the current copy. Terminology watch: ‘trip’ and ‘journey’ both describe the same plan. Terminology watch: ‘stops’, ‘destinations’ and ‘places’ overlap.</x:v>
      </x:c>
      <x:c r="S1763" s="75" t="str">
        <x:v>Not applied — review required</x:v>
      </x:c>
    </x:row>
    <x:row r="1764">
      <x:c r="A1764" s="71" t="str">
        <x:v>MRV-7B407AEEF2</x:v>
      </x:c>
      <x:c r="B1764" s="71" t="str">
        <x:v>Trip workspace</x:v>
      </x:c>
      <x:c r="C1764" s="71" t="str">
        <x:v>Prep</x:v>
      </x:c>
      <x:c r="D1764" s="71" t="str">
        <x:v>Shared: Prep</x:v>
      </x:c>
      <x:c r="E1764" s="71" t="str">
        <x:v>JourneyTripPrepAccommodation</x:v>
      </x:c>
      <x:c r="F1764" s="71" t="str">
        <x:v>Default</x:v>
      </x:c>
      <x:c r="G1764" s="71" t="str">
        <x:v>Label</x:v>
      </x:c>
      <x:c r="H1764" s="71" t="str">
        <x:v>Stay sorted</x:v>
      </x:c>
      <x:c r="I1764" s="71" t="str">
        <x:v>Stay sorted</x:v>
      </x:c>
      <x:c r="J1764" s="73"/>
      <x:c r="K1764" s="74" t="str">
        <x:f>IF(J1764="",H1764,IF(J1764=I1764,I1764,J1764))</x:f>
        <x:v>Stay sorted</x:v>
      </x:c>
      <x:c r="L1764" s="74" t="str">
        <x:f>IF(J1764="","Keep current",IF(J1764=I1764,"Use suggestion","Custom"))</x:f>
        <x:v>Keep current</x:v>
      </x:c>
      <x:c r="M1764" s="71" t="str">
        <x:v>Pending review</x:v>
      </x:c>
      <x:c r="N1764" s="71" t="str">
        <x:v>Normal</x:v>
      </x:c>
      <x:c r="O1764" s="71" t="str">
        <x:v>components/journey-trip-prep-accommodation.tsx</x:v>
      </x:c>
      <x:c r="P1764" s="71" t="str">
        <x:v>JourneyTripPrepAccommodation:43</x:v>
      </x:c>
      <x:c r="Q1764" s="71" t="str">
        <x:v>EN (default / shared)</x:v>
      </x:c>
      <x:c r="R1764" s="71" t="str">
        <x:v>Already clear and direct; suggested wording intentionally keeps the current copy. Duplicate wording: appears 2 times.</x:v>
      </x:c>
      <x:c r="S1764" s="75" t="str">
        <x:v>Not applied — review required</x:v>
      </x:c>
    </x:row>
    <x:row r="1765">
      <x:c r="A1765" s="71" t="str">
        <x:v>MRV-74254A62CC</x:v>
      </x:c>
      <x:c r="B1765" s="71" t="str">
        <x:v>Trip workspace</x:v>
      </x:c>
      <x:c r="C1765" s="71" t="str">
        <x:v>Prep</x:v>
      </x:c>
      <x:c r="D1765" s="71" t="str">
        <x:v>Shared: Prep</x:v>
      </x:c>
      <x:c r="E1765" s="71" t="str">
        <x:v>JourneyTripPrepAccommodation</x:v>
      </x:c>
      <x:c r="F1765" s="71" t="str">
        <x:v>Default</x:v>
      </x:c>
      <x:c r="G1765" s="71" t="str">
        <x:v>Label</x:v>
      </x:c>
      <x:c r="H1765" s="71" t="str">
        <x:v>Needs a stay</x:v>
      </x:c>
      <x:c r="I1765" s="71" t="str">
        <x:v>Needs a stay</x:v>
      </x:c>
      <x:c r="J1765" s="73"/>
      <x:c r="K1765" s="74" t="str">
        <x:f>IF(J1765="",H1765,IF(J1765=I1765,I1765,J1765))</x:f>
        <x:v>Needs a stay</x:v>
      </x:c>
      <x:c r="L1765" s="74" t="str">
        <x:f>IF(J1765="","Keep current",IF(J1765=I1765,"Use suggestion","Custom"))</x:f>
        <x:v>Keep current</x:v>
      </x:c>
      <x:c r="M1765" s="71" t="str">
        <x:v>Pending review</x:v>
      </x:c>
      <x:c r="N1765" s="71" t="str">
        <x:v>Normal</x:v>
      </x:c>
      <x:c r="O1765" s="71" t="str">
        <x:v>components/journey-trip-prep-accommodation.tsx</x:v>
      </x:c>
      <x:c r="P1765" s="71" t="str">
        <x:v>JourneyTripPrepAccommodation:43</x:v>
      </x:c>
      <x:c r="Q1765" s="71" t="str">
        <x:v>EN (default / shared)</x:v>
      </x:c>
      <x:c r="R1765" s="71" t="str">
        <x:v>Already clear and direct; suggested wording intentionally keeps the current copy. Duplicate wording: appears 2 times.</x:v>
      </x:c>
      <x:c r="S1765" s="75" t="str">
        <x:v>Not applied — review required</x:v>
      </x:c>
    </x:row>
    <x:row r="1766">
      <x:c r="A1766" s="71" t="str">
        <x:v>MRV-88552CC2F9</x:v>
      </x:c>
      <x:c r="B1766" s="71" t="str">
        <x:v>Trip workspace</x:v>
      </x:c>
      <x:c r="C1766" s="71" t="str">
        <x:v>Prep</x:v>
      </x:c>
      <x:c r="D1766" s="71" t="str">
        <x:v>Shared: Prep</x:v>
      </x:c>
      <x:c r="E1766" s="71" t="str">
        <x:v>JourneyTripPrepAccommodation</x:v>
      </x:c>
      <x:c r="F1766" s="71" t="str">
        <x:v>Default</x:v>
      </x:c>
      <x:c r="G1766" s="71" t="str">
        <x:v>Label</x:v>
      </x:c>
      <x:c r="H1766" s="71" t="str">
        <x:v>Accommodation saved</x:v>
      </x:c>
      <x:c r="I1766" s="71" t="str">
        <x:v>Accommodation saved</x:v>
      </x:c>
      <x:c r="J1766" s="73"/>
      <x:c r="K1766" s="74" t="str">
        <x:f>IF(J1766="",H1766,IF(J1766=I1766,I1766,J1766))</x:f>
        <x:v>Accommodation saved</x:v>
      </x:c>
      <x:c r="L1766" s="74" t="str">
        <x:f>IF(J1766="","Keep current",IF(J1766=I1766,"Use suggestion","Custom"))</x:f>
        <x:v>Keep current</x:v>
      </x:c>
      <x:c r="M1766" s="71" t="str">
        <x:v>Pending review</x:v>
      </x:c>
      <x:c r="N1766" s="71" t="str">
        <x:v>Normal</x:v>
      </x:c>
      <x:c r="O1766" s="71" t="str">
        <x:v>components/journey-trip-prep-accommodation.tsx</x:v>
      </x:c>
      <x:c r="P1766" s="71" t="str">
        <x:v>JourneyTripPrepAccommodation:44</x:v>
      </x:c>
      <x:c r="Q1766" s="71" t="str">
        <x:v>EN (default / shared)</x:v>
      </x:c>
      <x:c r="R1766" s="71" t="str">
        <x:v>Already clear and direct; suggested wording intentionally keeps the current copy. Duplicate wording: appears 2 times.</x:v>
      </x:c>
      <x:c r="S1766" s="75" t="str">
        <x:v>Not applied — review required</x:v>
      </x:c>
    </x:row>
    <x:row r="1767">
      <x:c r="A1767" s="71" t="str">
        <x:v>MRV-9E6E3B72CF</x:v>
      </x:c>
      <x:c r="B1767" s="71" t="str">
        <x:v>Trip workspace</x:v>
      </x:c>
      <x:c r="C1767" s="71" t="str">
        <x:v>Prep</x:v>
      </x:c>
      <x:c r="D1767" s="71" t="str">
        <x:v>Shared: Prep</x:v>
      </x:c>
      <x:c r="E1767" s="71" t="str">
        <x:v>JourneyTripPrepAccommodation</x:v>
      </x:c>
      <x:c r="F1767" s="71" t="str">
        <x:v>Default</x:v>
      </x:c>
      <x:c r="G1767" s="71" t="str">
        <x:v>CTA / button</x:v>
      </x:c>
      <x:c r="H1767" s="71" t="str">
        <x:v>Manage stay</x:v>
      </x:c>
      <x:c r="I1767" s="71" t="str">
        <x:v>Manage stay</x:v>
      </x:c>
      <x:c r="J1767" s="73"/>
      <x:c r="K1767" s="74" t="str">
        <x:f>IF(J1767="",H1767,IF(J1767=I1767,I1767,J1767))</x:f>
        <x:v>Manage stay</x:v>
      </x:c>
      <x:c r="L1767" s="74" t="str">
        <x:f>IF(J1767="","Keep current",IF(J1767=I1767,"Use suggestion","Custom"))</x:f>
        <x:v>Keep current</x:v>
      </x:c>
      <x:c r="M1767" s="71" t="str">
        <x:v>Pending review</x:v>
      </x:c>
      <x:c r="N1767" s="71" t="str">
        <x:v>Medium</x:v>
      </x:c>
      <x:c r="O1767" s="71" t="str">
        <x:v>components/journey-trip-prep-accommodation.tsx</x:v>
      </x:c>
      <x:c r="P1767" s="71" t="str">
        <x:v>JourneyTripPrepAccommodation:46</x:v>
      </x:c>
      <x:c r="Q1767" s="71" t="str">
        <x:v>EN (default / shared)</x:v>
      </x:c>
      <x:c r="R1767" s="71" t="str">
        <x:v>Already clear and direct; suggested wording intentionally keeps the current copy.</x:v>
      </x:c>
      <x:c r="S1767" s="75" t="str">
        <x:v>Not applied — review required</x:v>
      </x:c>
    </x:row>
    <x:row r="1768">
      <x:c r="A1768" s="71" t="str">
        <x:v>MRV-C32AAB2B1D</x:v>
      </x:c>
      <x:c r="B1768" s="71" t="str">
        <x:v>Trip workspace</x:v>
      </x:c>
      <x:c r="C1768" s="71" t="str">
        <x:v>Prep</x:v>
      </x:c>
      <x:c r="D1768" s="71" t="str">
        <x:v>Shared: Prep</x:v>
      </x:c>
      <x:c r="E1768" s="71" t="str">
        <x:v>JourneyTripPrepAccommodation</x:v>
      </x:c>
      <x:c r="F1768" s="71" t="str">
        <x:v>Default</x:v>
      </x:c>
      <x:c r="G1768" s="71" t="str">
        <x:v>CTA / button</x:v>
      </x:c>
      <x:c r="H1768" s="71" t="str">
        <x:v>Find a stay</x:v>
      </x:c>
      <x:c r="I1768" s="71" t="str">
        <x:v>Find a stay</x:v>
      </x:c>
      <x:c r="J1768" s="73"/>
      <x:c r="K1768" s="74" t="str">
        <x:f>IF(J1768="",H1768,IF(J1768=I1768,I1768,J1768))</x:f>
        <x:v>Find a stay</x:v>
      </x:c>
      <x:c r="L1768" s="74" t="str">
        <x:f>IF(J1768="","Keep current",IF(J1768=I1768,"Use suggestion","Custom"))</x:f>
        <x:v>Keep current</x:v>
      </x:c>
      <x:c r="M1768" s="71" t="str">
        <x:v>Pending review</x:v>
      </x:c>
      <x:c r="N1768" s="71" t="str">
        <x:v>Medium</x:v>
      </x:c>
      <x:c r="O1768" s="71" t="str">
        <x:v>components/journey-trip-prep-accommodation.tsx</x:v>
      </x:c>
      <x:c r="P1768" s="71" t="str">
        <x:v>JourneyTripPrepAccommodation:46</x:v>
      </x:c>
      <x:c r="Q1768" s="71" t="str">
        <x:v>EN (default / shared)</x:v>
      </x:c>
      <x:c r="R1768" s="71" t="str">
        <x:v>Already clear and direct; suggested wording intentionally keeps the current copy. Duplicate wording: appears 3 times.</x:v>
      </x:c>
      <x:c r="S1768" s="75" t="str">
        <x:v>Not applied — review required</x:v>
      </x:c>
    </x:row>
    <x:row r="1769">
      <x:c r="A1769" s="71" t="str">
        <x:v>MRV-9ABA425B33</x:v>
      </x:c>
      <x:c r="B1769" s="71" t="str">
        <x:v>System</x:v>
      </x:c>
      <x:c r="C1769" s="71" t="str">
        <x:v>Shared recovery / system</x:v>
      </x:c>
      <x:c r="D1769" s="71" t="str">
        <x:v>Shared</x:v>
      </x:c>
      <x:c r="E1769" s="71" t="str">
        <x:v>copy</x:v>
      </x:c>
      <x:c r="F1769" s="71" t="str">
        <x:v>Default</x:v>
      </x:c>
      <x:c r="G1769" s="71" t="str">
        <x:v>Tooltip</x:v>
      </x:c>
      <x:c r="H1769" s="71" t="str">
        <x:v>Nada importante se pierde en el camino.</x:v>
      </x:c>
      <x:c r="I1769" s="71" t="str">
        <x:v>Nada importante se pierde en el camino.</x:v>
      </x:c>
      <x:c r="J1769" s="73"/>
      <x:c r="K1769" s="74" t="str">
        <x:f>IF(J1769="",H1769,IF(J1769=I1769,I1769,J1769))</x:f>
        <x:v>Nada importante se pierde en el camino.</x:v>
      </x:c>
      <x:c r="L1769" s="74" t="str">
        <x:f>IF(J1769="","Keep current",IF(J1769=I1769,"Use suggestion","Custom"))</x:f>
        <x:v>Keep current</x:v>
      </x:c>
      <x:c r="M1769" s="71" t="str">
        <x:v>Pending review</x:v>
      </x:c>
      <x:c r="N1769" s="71" t="str">
        <x:v>Normal</x:v>
      </x:c>
      <x:c r="O1769" s="71" t="str">
        <x:v>components/journey-trip-quality.tsx</x:v>
      </x:c>
      <x:c r="P1769" s="71" t="str">
        <x:v>copy:32</x:v>
      </x:c>
      <x:c r="Q1769" s="71" t="str">
        <x:v>ES</x:v>
      </x:c>
      <x:c r="R1769" s="71" t="str">
        <x:v>Already clear and direct; suggested wording intentionally keeps the current copy.</x:v>
      </x:c>
      <x:c r="S1769" s="75" t="str">
        <x:v>Not applied — review required</x:v>
      </x:c>
    </x:row>
    <x:row r="1770">
      <x:c r="A1770" s="71" t="str">
        <x:v>MRV-A9DD281C7A</x:v>
      </x:c>
      <x:c r="B1770" s="71" t="str">
        <x:v>System</x:v>
      </x:c>
      <x:c r="C1770" s="71" t="str">
        <x:v>Shared recovery / system</x:v>
      </x:c>
      <x:c r="D1770" s="71" t="str">
        <x:v>Shared</x:v>
      </x:c>
      <x:c r="E1770" s="71" t="str">
        <x:v>copy</x:v>
      </x:c>
      <x:c r="F1770" s="71" t="str">
        <x:v>Empty state</x:v>
      </x:c>
      <x:c r="G1770" s="71" t="str">
        <x:v>Tooltip</x:v>
      </x:c>
      <x:c r="H1770" s="71" t="str">
        <x:v>Nothing important gets lost on the way.</x:v>
      </x:c>
      <x:c r="I1770" s="71" t="str">
        <x:v>Nothing important gets lost on the way.</x:v>
      </x:c>
      <x:c r="J1770" s="73"/>
      <x:c r="K1770" s="74" t="str">
        <x:f>IF(J1770="",H1770,IF(J1770=I1770,I1770,J1770))</x:f>
        <x:v>Nothing important gets lost on the way.</x:v>
      </x:c>
      <x:c r="L1770" s="74" t="str">
        <x:f>IF(J1770="","Keep current",IF(J1770=I1770,"Use suggestion","Custom"))</x:f>
        <x:v>Keep current</x:v>
      </x:c>
      <x:c r="M1770" s="71" t="str">
        <x:v>Pending review</x:v>
      </x:c>
      <x:c r="N1770" s="71" t="str">
        <x:v>Normal</x:v>
      </x:c>
      <x:c r="O1770" s="71" t="str">
        <x:v>components/journey-trip-quality.tsx</x:v>
      </x:c>
      <x:c r="P1770" s="71" t="str">
        <x:v>copy:33</x:v>
      </x:c>
      <x:c r="Q1770" s="71" t="str">
        <x:v>EN</x:v>
      </x:c>
      <x:c r="R1770" s="71" t="str">
        <x:v>Already clear and direct; suggested wording intentionally keeps the current copy.</x:v>
      </x:c>
      <x:c r="S1770" s="75" t="str">
        <x:v>Not applied — review required</x:v>
      </x:c>
    </x:row>
    <x:row r="1771">
      <x:c r="A1771" s="71" t="str">
        <x:v>MRV-4C0B47A932</x:v>
      </x:c>
      <x:c r="B1771" s="71" t="str">
        <x:v>System</x:v>
      </x:c>
      <x:c r="C1771" s="71" t="str">
        <x:v>Shared recovery / system</x:v>
      </x:c>
      <x:c r="D1771" s="71" t="str">
        <x:v>Shared</x:v>
      </x:c>
      <x:c r="E1771" s="71" t="str">
        <x:v>JourneyTripQuality</x:v>
      </x:c>
      <x:c r="F1771" s="71" t="str">
        <x:v>Default</x:v>
      </x:c>
      <x:c r="G1771" s="71" t="str">
        <x:v>Label</x:v>
      </x:c>
      <x:c r="H1771" s="71" t="str">
        <x:v>Revisar</x:v>
      </x:c>
      <x:c r="I1771" s="71" t="str">
        <x:v>Revisar</x:v>
      </x:c>
      <x:c r="J1771" s="73"/>
      <x:c r="K1771" s="74" t="str">
        <x:f>IF(J1771="",H1771,IF(J1771=I1771,I1771,J1771))</x:f>
        <x:v>Revisar</x:v>
      </x:c>
      <x:c r="L1771" s="74" t="str">
        <x:f>IF(J1771="","Keep current",IF(J1771=I1771,"Use suggestion","Custom"))</x:f>
        <x:v>Keep current</x:v>
      </x:c>
      <x:c r="M1771" s="71" t="str">
        <x:v>Pending review</x:v>
      </x:c>
      <x:c r="N1771" s="71" t="str">
        <x:v>High</x:v>
      </x:c>
      <x:c r="O1771" s="71" t="str">
        <x:v>components/journey-trip-quality.tsx</x:v>
      </x:c>
      <x:c r="P1771" s="71" t="str">
        <x:v>JourneyTripQuality:39</x:v>
      </x:c>
      <x:c r="Q1771" s="71" t="str">
        <x:v>ES</x:v>
      </x:c>
      <x:c r="R1771" s="71" t="str">
        <x:v>Already clear and direct; suggested wording intentionally keeps the current copy.</x:v>
      </x:c>
      <x:c r="S1771" s="75" t="str">
        <x:v>Not applied — review required</x:v>
      </x:c>
    </x:row>
    <x:row r="1772">
      <x:c r="A1772" s="71" t="str">
        <x:v>MRV-C61402CD2F</x:v>
      </x:c>
      <x:c r="B1772" s="71" t="str">
        <x:v>System</x:v>
      </x:c>
      <x:c r="C1772" s="71" t="str">
        <x:v>Shared recovery / system</x:v>
      </x:c>
      <x:c r="D1772" s="71" t="str">
        <x:v>Shared</x:v>
      </x:c>
      <x:c r="E1772" s="71" t="str">
        <x:v>JourneyTripQuality</x:v>
      </x:c>
      <x:c r="F1772" s="71" t="str">
        <x:v>Default</x:v>
      </x:c>
      <x:c r="G1772" s="71" t="str">
        <x:v>CTA / button</x:v>
      </x:c>
      <x:c r="H1772" s="71" t="str">
        <x:v>Review</x:v>
      </x:c>
      <x:c r="I1772" s="71" t="str">
        <x:v>Review</x:v>
      </x:c>
      <x:c r="J1772" s="73"/>
      <x:c r="K1772" s="74" t="str">
        <x:f>IF(J1772="",H1772,IF(J1772=I1772,I1772,J1772))</x:f>
        <x:v>Review</x:v>
      </x:c>
      <x:c r="L1772" s="74" t="str">
        <x:f>IF(J1772="","Keep current",IF(J1772=I1772,"Use suggestion","Custom"))</x:f>
        <x:v>Keep current</x:v>
      </x:c>
      <x:c r="M1772" s="71" t="str">
        <x:v>Pending review</x:v>
      </x:c>
      <x:c r="N1772" s="71" t="str">
        <x:v>Medium</x:v>
      </x:c>
      <x:c r="O1772" s="71" t="str">
        <x:v>components/journey-trip-quality.tsx</x:v>
      </x:c>
      <x:c r="P1772" s="71" t="str">
        <x:v>JourneyTripQuality:39</x:v>
      </x:c>
      <x:c r="Q1772" s="71" t="str">
        <x:v>EN</x:v>
      </x:c>
      <x:c r="R1772" s="71" t="str">
        <x:v>Already clear and direct; suggested wording intentionally keeps the current copy.</x:v>
      </x:c>
      <x:c r="S1772" s="75" t="str">
        <x:v>Not applied — review required</x:v>
      </x:c>
    </x:row>
    <x:row r="1773">
      <x:c r="A1773" s="71" t="str">
        <x:v>MRV-41A8310F51</x:v>
      </x:c>
      <x:c r="B1773" s="71" t="str">
        <x:v>Trip workspace</x:v>
      </x:c>
      <x:c r="C1773" s="71" t="str">
        <x:v>Prep</x:v>
      </x:c>
      <x:c r="D1773" s="71" t="str">
        <x:v>Shared: Prep</x:v>
      </x:c>
      <x:c r="E1773" s="71" t="str">
        <x:v>labels</x:v>
      </x:c>
      <x:c r="F1773" s="71" t="str">
        <x:v>Default</x:v>
      </x:c>
      <x:c r="G1773" s="71" t="str">
        <x:v>Tooltip</x:v>
      </x:c>
      <x:c r="H1773" s="71" t="str">
        <x:v>Los pequeños checks que protegen el plan.</x:v>
      </x:c>
      <x:c r="I1773" s="71" t="str">
        <x:v>Los pequeños checks que protegen el plan.</x:v>
      </x:c>
      <x:c r="J1773" s="73"/>
      <x:c r="K1773" s="74" t="str">
        <x:f>IF(J1773="",H1773,IF(J1773=I1773,I1773,J1773))</x:f>
        <x:v>Los pequeños checks que protegen el plan.</x:v>
      </x:c>
      <x:c r="L1773" s="74" t="str">
        <x:f>IF(J1773="","Keep current",IF(J1773=I1773,"Use suggestion","Custom"))</x:f>
        <x:v>Keep current</x:v>
      </x:c>
      <x:c r="M1773" s="71" t="str">
        <x:v>Pending review</x:v>
      </x:c>
      <x:c r="N1773" s="71" t="str">
        <x:v>Normal</x:v>
      </x:c>
      <x:c r="O1773" s="71" t="str">
        <x:v>components/journey-trip-readiness.tsx</x:v>
      </x:c>
      <x:c r="P1773" s="71" t="str">
        <x:v>labels:43</x:v>
      </x:c>
      <x:c r="Q1773" s="71" t="str">
        <x:v>ES</x:v>
      </x:c>
      <x:c r="R1773" s="71" t="str">
        <x:v>Already clear and direct; suggested wording intentionally keeps the current copy.</x:v>
      </x:c>
      <x:c r="S1773" s="75" t="str">
        <x:v>Not applied — review required</x:v>
      </x:c>
    </x:row>
    <x:row r="1774">
      <x:c r="A1774" s="71" t="str">
        <x:v>MRV-453689FD11</x:v>
      </x:c>
      <x:c r="B1774" s="71" t="str">
        <x:v>Trip workspace</x:v>
      </x:c>
      <x:c r="C1774" s="71" t="str">
        <x:v>Prep</x:v>
      </x:c>
      <x:c r="D1774" s="71" t="str">
        <x:v>Shared: Prep</x:v>
      </x:c>
      <x:c r="E1774" s="71" t="str">
        <x:v>labels</x:v>
      </x:c>
      <x:c r="F1774" s="71" t="str">
        <x:v>Default</x:v>
      </x:c>
      <x:c r="G1774" s="71" t="str">
        <x:v>Tooltip</x:v>
      </x:c>
      <x:c r="H1774" s="71" t="str">
        <x:v>The small checks that protect the plan.</x:v>
      </x:c>
      <x:c r="I1774" s="71" t="str">
        <x:v>The small checks that protect the plan.</x:v>
      </x:c>
      <x:c r="J1774" s="73"/>
      <x:c r="K1774" s="74" t="str">
        <x:f>IF(J1774="",H1774,IF(J1774=I1774,I1774,J1774))</x:f>
        <x:v>The small checks that protect the plan.</x:v>
      </x:c>
      <x:c r="L1774" s="74" t="str">
        <x:f>IF(J1774="","Keep current",IF(J1774=I1774,"Use suggestion","Custom"))</x:f>
        <x:v>Keep current</x:v>
      </x:c>
      <x:c r="M1774" s="71" t="str">
        <x:v>Pending review</x:v>
      </x:c>
      <x:c r="N1774" s="71" t="str">
        <x:v>Normal</x:v>
      </x:c>
      <x:c r="O1774" s="71" t="str">
        <x:v>components/journey-trip-readiness.tsx</x:v>
      </x:c>
      <x:c r="P1774" s="71" t="str">
        <x:v>labels:44</x:v>
      </x:c>
      <x:c r="Q1774" s="71" t="str">
        <x:v>EN</x:v>
      </x:c>
      <x:c r="R1774" s="71" t="str">
        <x:v>Already clear and direct; suggested wording intentionally keeps the current copy.</x:v>
      </x:c>
      <x:c r="S1774" s="75" t="str">
        <x:v>Not applied — review required</x:v>
      </x:c>
    </x:row>
    <x:row r="1775">
      <x:c r="A1775" s="71" t="str">
        <x:v>MRV-24FD2B3C63</x:v>
      </x:c>
      <x:c r="B1775" s="71" t="str">
        <x:v>Trip workspace</x:v>
      </x:c>
      <x:c r="C1775" s="71" t="str">
        <x:v>Prep</x:v>
      </x:c>
      <x:c r="D1775" s="71" t="str">
        <x:v>Shared: Prep</x:v>
      </x:c>
      <x:c r="E1775" s="71" t="str">
        <x:v>JourneyTripReadiness</x:v>
      </x:c>
      <x:c r="F1775" s="71" t="str">
        <x:v>Default</x:v>
      </x:c>
      <x:c r="G1775" s="71" t="str">
        <x:v>Label</x:v>
      </x:c>
      <x:c r="H1775" s="71" t="str">
        <x:v>· SAILY</x:v>
      </x:c>
      <x:c r="I1775" s="71" t="str">
        <x:v>· SAILY</x:v>
      </x:c>
      <x:c r="J1775" s="73"/>
      <x:c r="K1775" s="74" t="str">
        <x:f>IF(J1775="",H1775,IF(J1775=I1775,I1775,J1775))</x:f>
        <x:v>· SAILY</x:v>
      </x:c>
      <x:c r="L1775" s="74" t="str">
        <x:f>IF(J1775="","Keep current",IF(J1775=I1775,"Use suggestion","Custom"))</x:f>
        <x:v>Keep current</x:v>
      </x:c>
      <x:c r="M1775" s="71" t="str">
        <x:v>Pending review</x:v>
      </x:c>
      <x:c r="N1775" s="71" t="str">
        <x:v>Normal</x:v>
      </x:c>
      <x:c r="O1775" s="71" t="str">
        <x:v>components/journey-trip-readiness.tsx</x:v>
      </x:c>
      <x:c r="P1775" s="71" t="str">
        <x:v>JourneyTripReadiness:88</x:v>
      </x:c>
      <x:c r="Q1775" s="71" t="str">
        <x:v>EN (default / shared)</x:v>
      </x:c>
      <x:c r="R1775" s="71" t="str">
        <x:v>Already clear and direct; suggested wording intentionally keeps the current copy.</x:v>
      </x:c>
      <x:c r="S1775" s="75" t="str">
        <x:v>Not applied — review required</x:v>
      </x:c>
    </x:row>
    <x:row r="1776">
      <x:c r="A1776" s="71" t="str">
        <x:v>MRV-39A8456E6D</x:v>
      </x:c>
      <x:c r="B1776" s="71" t="str">
        <x:v>Trip workspace</x:v>
      </x:c>
      <x:c r="C1776" s="71" t="str">
        <x:v>Prep</x:v>
      </x:c>
      <x:c r="D1776" s="71" t="str">
        <x:v>Shared: Prep</x:v>
      </x:c>
      <x:c r="E1776" s="71" t="str">
        <x:v>JourneyTripReadiness</x:v>
      </x:c>
      <x:c r="F1776" s="71" t="str">
        <x:v>Default</x:v>
      </x:c>
      <x:c r="G1776" s="71" t="str">
        <x:v>Label</x:v>
      </x:c>
      <x:c r="H1776" s="71" t="str">
        <x:v>Comprobar guía oficial</x:v>
      </x:c>
      <x:c r="I1776" s="71" t="str">
        <x:v>Comprobar guía oficial</x:v>
      </x:c>
      <x:c r="J1776" s="73"/>
      <x:c r="K1776" s="74" t="str">
        <x:f>IF(J1776="",H1776,IF(J1776=I1776,I1776,J1776))</x:f>
        <x:v>Comprobar guía oficial</x:v>
      </x:c>
      <x:c r="L1776" s="74" t="str">
        <x:f>IF(J1776="","Keep current",IF(J1776=I1776,"Use suggestion","Custom"))</x:f>
        <x:v>Keep current</x:v>
      </x:c>
      <x:c r="M1776" s="71" t="str">
        <x:v>Pending review</x:v>
      </x:c>
      <x:c r="N1776" s="71" t="str">
        <x:v>Normal</x:v>
      </x:c>
      <x:c r="O1776" s="71" t="str">
        <x:v>components/journey-trip-readiness.tsx</x:v>
      </x:c>
      <x:c r="P1776" s="71" t="str">
        <x:v>JourneyTripReadiness:88</x:v>
      </x:c>
      <x:c r="Q1776" s="71" t="str">
        <x:v>ES</x:v>
      </x:c>
      <x:c r="R1776" s="71" t="str">
        <x:v>Already clear and direct; suggested wording intentionally keeps the current copy.</x:v>
      </x:c>
      <x:c r="S1776" s="75" t="str">
        <x:v>Not applied — review required</x:v>
      </x:c>
    </x:row>
    <x:row r="1777">
      <x:c r="A1777" s="71" t="str">
        <x:v>MRV-32087F2694</x:v>
      </x:c>
      <x:c r="B1777" s="71" t="str">
        <x:v>Trip workspace</x:v>
      </x:c>
      <x:c r="C1777" s="71" t="str">
        <x:v>Prep</x:v>
      </x:c>
      <x:c r="D1777" s="71" t="str">
        <x:v>Shared: Prep</x:v>
      </x:c>
      <x:c r="E1777" s="71" t="str">
        <x:v>JourneyTripReadiness</x:v>
      </x:c>
      <x:c r="F1777" s="71" t="str">
        <x:v>Default</x:v>
      </x:c>
      <x:c r="G1777" s="71" t="str">
        <x:v>CTA / button</x:v>
      </x:c>
      <x:c r="H1777" s="71" t="str">
        <x:v>Check official guidance</x:v>
      </x:c>
      <x:c r="I1777" s="71" t="str">
        <x:v>Check official guidance</x:v>
      </x:c>
      <x:c r="J1777" s="73"/>
      <x:c r="K1777" s="74" t="str">
        <x:f>IF(J1777="",H1777,IF(J1777=I1777,I1777,J1777))</x:f>
        <x:v>Check official guidance</x:v>
      </x:c>
      <x:c r="L1777" s="74" t="str">
        <x:f>IF(J1777="","Keep current",IF(J1777=I1777,"Use suggestion","Custom"))</x:f>
        <x:v>Keep current</x:v>
      </x:c>
      <x:c r="M1777" s="71" t="str">
        <x:v>Pending review</x:v>
      </x:c>
      <x:c r="N1777" s="71" t="str">
        <x:v>Medium</x:v>
      </x:c>
      <x:c r="O1777" s="71" t="str">
        <x:v>components/journey-trip-readiness.tsx</x:v>
      </x:c>
      <x:c r="P1777" s="71" t="str">
        <x:v>JourneyTripReadiness:88</x:v>
      </x:c>
      <x:c r="Q1777" s="71" t="str">
        <x:v>EN</x:v>
      </x:c>
      <x:c r="R1777" s="71" t="str">
        <x:v>Already clear and direct; suggested wording intentionally keeps the current copy.</x:v>
      </x:c>
      <x:c r="S1777" s="75" t="str">
        <x:v>Not applied — review required</x:v>
      </x:c>
    </x:row>
    <x:row r="1778">
      <x:c r="A1778" s="71" t="str">
        <x:v>MRV-EC4488F0D8</x:v>
      </x:c>
      <x:c r="B1778" s="71" t="str">
        <x:v>Trip workspace</x:v>
      </x:c>
      <x:c r="C1778" s="71" t="str">
        <x:v>Prep</x:v>
      </x:c>
      <x:c r="D1778" s="71" t="str">
        <x:v>Shared: Prep</x:v>
      </x:c>
      <x:c r="E1778" s="71" t="str">
        <x:v>JourneyTripReadiness</x:v>
      </x:c>
      <x:c r="F1778" s="71" t="str">
        <x:v>Default</x:v>
      </x:c>
      <x:c r="G1778" s="71" t="str">
        <x:v>Body copy</x:v>
      </x:c>
      <x:c r="H1778" s="71" t="str">
        <x:v>Enlace de socio: podemos recibir una comisión sin coste adicional para ti.</x:v>
      </x:c>
      <x:c r="I1778" s="71" t="str">
        <x:v>Enlace de socio: podemos recibir una comisión sin coste adicional para ti.</x:v>
      </x:c>
      <x:c r="J1778" s="73"/>
      <x:c r="K1778" s="74" t="str">
        <x:f>IF(J1778="",H1778,IF(J1778=I1778,I1778,J1778))</x:f>
        <x:v>Enlace de socio: podemos recibir una comisión sin coste adicional para ti.</x:v>
      </x:c>
      <x:c r="L1778" s="74" t="str">
        <x:f>IF(J1778="","Keep current",IF(J1778=I1778,"Use suggestion","Custom"))</x:f>
        <x:v>Keep current</x:v>
      </x:c>
      <x:c r="M1778" s="71" t="str">
        <x:v>Pending review</x:v>
      </x:c>
      <x:c r="N1778" s="71" t="str">
        <x:v>Normal</x:v>
      </x:c>
      <x:c r="O1778" s="71" t="str">
        <x:v>components/journey-trip-readiness.tsx</x:v>
      </x:c>
      <x:c r="P1778" s="71" t="str">
        <x:v>JourneyTripReadiness:88</x:v>
      </x:c>
      <x:c r="Q1778" s="71" t="str">
        <x:v>ES</x:v>
      </x:c>
      <x:c r="R1778" s="71" t="str">
        <x:v>Already clear and direct; suggested wording intentionally keeps the current copy.</x:v>
      </x:c>
      <x:c r="S1778" s="75" t="str">
        <x:v>Not applied — review required</x:v>
      </x:c>
    </x:row>
    <x:row r="1779">
      <x:c r="A1779" s="71" t="str">
        <x:v>MRV-E0BFC3DAE1</x:v>
      </x:c>
      <x:c r="B1779" s="71" t="str">
        <x:v>Trip workspace</x:v>
      </x:c>
      <x:c r="C1779" s="71" t="str">
        <x:v>Prep</x:v>
      </x:c>
      <x:c r="D1779" s="71" t="str">
        <x:v>Shared: Prep</x:v>
      </x:c>
      <x:c r="E1779" s="71" t="str">
        <x:v>JourneyTripReadiness</x:v>
      </x:c>
      <x:c r="F1779" s="71" t="str">
        <x:v>Default</x:v>
      </x:c>
      <x:c r="G1779" s="71" t="str">
        <x:v>Body copy</x:v>
      </x:c>
      <x:c r="H1779" s="71" t="str">
        <x:v>Partner link: we may earn a commission at no extra cost to you.</x:v>
      </x:c>
      <x:c r="I1779" s="71" t="str">
        <x:v>Partner link: we may earn a commission at no extra cost to you.</x:v>
      </x:c>
      <x:c r="J1779" s="73"/>
      <x:c r="K1779" s="74" t="str">
        <x:f>IF(J1779="",H1779,IF(J1779=I1779,I1779,J1779))</x:f>
        <x:v>Partner link: we may earn a commission at no extra cost to you.</x:v>
      </x:c>
      <x:c r="L1779" s="74" t="str">
        <x:f>IF(J1779="","Keep current",IF(J1779=I1779,"Use suggestion","Custom"))</x:f>
        <x:v>Keep current</x:v>
      </x:c>
      <x:c r="M1779" s="71" t="str">
        <x:v>Pending review</x:v>
      </x:c>
      <x:c r="N1779" s="71" t="str">
        <x:v>Normal</x:v>
      </x:c>
      <x:c r="O1779" s="71" t="str">
        <x:v>components/journey-trip-readiness.tsx</x:v>
      </x:c>
      <x:c r="P1779" s="71" t="str">
        <x:v>JourneyTripReadiness:88</x:v>
      </x:c>
      <x:c r="Q1779" s="71" t="str">
        <x:v>EN</x:v>
      </x:c>
      <x:c r="R1779" s="71" t="str">
        <x:v>Already clear and direct; suggested wording intentionally keeps the current copy.</x:v>
      </x:c>
      <x:c r="S1779" s="75" t="str">
        <x:v>Not applied — review required</x:v>
      </x:c>
    </x:row>
    <x:row r="1780">
      <x:c r="A1780" s="71" t="str">
        <x:v>MRV-FE8D7044C8</x:v>
      </x:c>
      <x:c r="B1780" s="71" t="str">
        <x:v>Trip workspace</x:v>
      </x:c>
      <x:c r="C1780" s="71" t="str">
        <x:v>Prep</x:v>
      </x:c>
      <x:c r="D1780" s="71" t="str">
        <x:v>Shared: Prep</x:v>
      </x:c>
      <x:c r="E1780" s="71" t="str">
        <x:v>JourneyTripReadiness</x:v>
      </x:c>
      <x:c r="F1780" s="71" t="str">
        <x:v>Accessibility / input support</x:v>
      </x:c>
      <x:c r="G1780" s="71" t="str">
        <x:v>Placeholder</x:v>
      </x:c>
      <x:c r="H1780" s="71" t="str">
        <x:v>Por ejemplo, Reino Unido</x:v>
      </x:c>
      <x:c r="I1780" s="71" t="str">
        <x:v>Por ejemplo, Reino Unido</x:v>
      </x:c>
      <x:c r="J1780" s="73"/>
      <x:c r="K1780" s="74" t="str">
        <x:f>IF(J1780="",H1780,IF(J1780=I1780,I1780,J1780))</x:f>
        <x:v>Por ejemplo, Reino Unido</x:v>
      </x:c>
      <x:c r="L1780" s="74" t="str">
        <x:f>IF(J1780="","Keep current",IF(J1780=I1780,"Use suggestion","Custom"))</x:f>
        <x:v>Keep current</x:v>
      </x:c>
      <x:c r="M1780" s="71" t="str">
        <x:v>Pending review</x:v>
      </x:c>
      <x:c r="N1780" s="71" t="str">
        <x:v>Medium</x:v>
      </x:c>
      <x:c r="O1780" s="71" t="str">
        <x:v>components/journey-trip-readiness.tsx</x:v>
      </x:c>
      <x:c r="P1780" s="71" t="str">
        <x:v>JourneyTripReadiness:94</x:v>
      </x:c>
      <x:c r="Q1780" s="71" t="str">
        <x:v>ES</x:v>
      </x:c>
      <x:c r="R1780" s="71" t="str">
        <x:v>Already clear and direct; suggested wording intentionally keeps the current copy. Duplicate wording: appears 2 times.</x:v>
      </x:c>
      <x:c r="S1780" s="75" t="str">
        <x:v>Not applied — review required</x:v>
      </x:c>
    </x:row>
    <x:row r="1781">
      <x:c r="A1781" s="71" t="str">
        <x:v>MRV-48B20FDF6B</x:v>
      </x:c>
      <x:c r="B1781" s="71" t="str">
        <x:v>Trip workspace</x:v>
      </x:c>
      <x:c r="C1781" s="71" t="str">
        <x:v>Prep</x:v>
      </x:c>
      <x:c r="D1781" s="71" t="str">
        <x:v>Shared: Prep</x:v>
      </x:c>
      <x:c r="E1781" s="71" t="str">
        <x:v>JourneyTripReadiness</x:v>
      </x:c>
      <x:c r="F1781" s="71" t="str">
        <x:v>Accessibility / input support</x:v>
      </x:c>
      <x:c r="G1781" s="71" t="str">
        <x:v>Placeholder</x:v>
      </x:c>
      <x:c r="H1781" s="71" t="str">
        <x:v>For example, United Kingdom</x:v>
      </x:c>
      <x:c r="I1781" s="71" t="str">
        <x:v>For example, United Kingdom</x:v>
      </x:c>
      <x:c r="J1781" s="73"/>
      <x:c r="K1781" s="74" t="str">
        <x:f>IF(J1781="",H1781,IF(J1781=I1781,I1781,J1781))</x:f>
        <x:v>For example, United Kingdom</x:v>
      </x:c>
      <x:c r="L1781" s="74" t="str">
        <x:f>IF(J1781="","Keep current",IF(J1781=I1781,"Use suggestion","Custom"))</x:f>
        <x:v>Keep current</x:v>
      </x:c>
      <x:c r="M1781" s="71" t="str">
        <x:v>Pending review</x:v>
      </x:c>
      <x:c r="N1781" s="71" t="str">
        <x:v>Medium</x:v>
      </x:c>
      <x:c r="O1781" s="71" t="str">
        <x:v>components/journey-trip-readiness.tsx</x:v>
      </x:c>
      <x:c r="P1781" s="71" t="str">
        <x:v>JourneyTripReadiness:94</x:v>
      </x:c>
      <x:c r="Q1781" s="71" t="str">
        <x:v>EN</x:v>
      </x:c>
      <x:c r="R1781" s="71" t="str">
        <x:v>Already clear and direct; suggested wording intentionally keeps the current copy. Duplicate wording: appears 2 times.</x:v>
      </x:c>
      <x:c r="S1781" s="75" t="str">
        <x:v>Not applied — review required</x:v>
      </x:c>
    </x:row>
    <x:row r="1782">
      <x:c r="A1782" s="71" t="str">
        <x:v>MRV-514BD4334A</x:v>
      </x:c>
      <x:c r="B1782" s="71" t="str">
        <x:v>Trip workspace</x:v>
      </x:c>
      <x:c r="C1782" s="71" t="str">
        <x:v>Prep</x:v>
      </x:c>
      <x:c r="D1782" s="71" t="str">
        <x:v>Shared: Prep</x:v>
      </x:c>
      <x:c r="E1782" s="71" t="str">
        <x:v>JourneyTripReadiness</x:v>
      </x:c>
      <x:c r="F1782" s="71" t="str">
        <x:v>Accessibility / input support</x:v>
      </x:c>
      <x:c r="G1782" s="71" t="str">
        <x:v>Placeholder</x:v>
      </x:c>
      <x:c r="H1782" s="71" t="str">
        <x:v>Por ejemplo, Reino Unido</x:v>
      </x:c>
      <x:c r="I1782" s="71" t="str">
        <x:v>Por ejemplo, Reino Unido</x:v>
      </x:c>
      <x:c r="J1782" s="73"/>
      <x:c r="K1782" s="74" t="str">
        <x:f>IF(J1782="",H1782,IF(J1782=I1782,I1782,J1782))</x:f>
        <x:v>Por ejemplo, Reino Unido</x:v>
      </x:c>
      <x:c r="L1782" s="74" t="str">
        <x:f>IF(J1782="","Keep current",IF(J1782=I1782,"Use suggestion","Custom"))</x:f>
        <x:v>Keep current</x:v>
      </x:c>
      <x:c r="M1782" s="71" t="str">
        <x:v>Pending review</x:v>
      </x:c>
      <x:c r="N1782" s="71" t="str">
        <x:v>Medium</x:v>
      </x:c>
      <x:c r="O1782" s="71" t="str">
        <x:v>components/journey-trip-readiness.tsx</x:v>
      </x:c>
      <x:c r="P1782" s="71" t="str">
        <x:v>JourneyTripReadiness:95</x:v>
      </x:c>
      <x:c r="Q1782" s="71" t="str">
        <x:v>ES</x:v>
      </x:c>
      <x:c r="R1782" s="71" t="str">
        <x:v>Already clear and direct; suggested wording intentionally keeps the current copy. Duplicate wording: appears 2 times.</x:v>
      </x:c>
      <x:c r="S1782" s="75" t="str">
        <x:v>Not applied — review required</x:v>
      </x:c>
    </x:row>
    <x:row r="1783">
      <x:c r="A1783" s="71" t="str">
        <x:v>MRV-2FB151AF73</x:v>
      </x:c>
      <x:c r="B1783" s="71" t="str">
        <x:v>Trip workspace</x:v>
      </x:c>
      <x:c r="C1783" s="71" t="str">
        <x:v>Prep</x:v>
      </x:c>
      <x:c r="D1783" s="71" t="str">
        <x:v>Shared: Prep</x:v>
      </x:c>
      <x:c r="E1783" s="71" t="str">
        <x:v>JourneyTripReadiness</x:v>
      </x:c>
      <x:c r="F1783" s="71" t="str">
        <x:v>Accessibility / input support</x:v>
      </x:c>
      <x:c r="G1783" s="71" t="str">
        <x:v>Placeholder</x:v>
      </x:c>
      <x:c r="H1783" s="71" t="str">
        <x:v>For example, United Kingdom</x:v>
      </x:c>
      <x:c r="I1783" s="71" t="str">
        <x:v>For example, United Kingdom</x:v>
      </x:c>
      <x:c r="J1783" s="73"/>
      <x:c r="K1783" s="74" t="str">
        <x:f>IF(J1783="",H1783,IF(J1783=I1783,I1783,J1783))</x:f>
        <x:v>For example, United Kingdom</x:v>
      </x:c>
      <x:c r="L1783" s="74" t="str">
        <x:f>IF(J1783="","Keep current",IF(J1783=I1783,"Use suggestion","Custom"))</x:f>
        <x:v>Keep current</x:v>
      </x:c>
      <x:c r="M1783" s="71" t="str">
        <x:v>Pending review</x:v>
      </x:c>
      <x:c r="N1783" s="71" t="str">
        <x:v>Medium</x:v>
      </x:c>
      <x:c r="O1783" s="71" t="str">
        <x:v>components/journey-trip-readiness.tsx</x:v>
      </x:c>
      <x:c r="P1783" s="71" t="str">
        <x:v>JourneyTripReadiness:95</x:v>
      </x:c>
      <x:c r="Q1783" s="71" t="str">
        <x:v>EN</x:v>
      </x:c>
      <x:c r="R1783" s="71" t="str">
        <x:v>Already clear and direct; suggested wording intentionally keeps the current copy. Duplicate wording: appears 2 times.</x:v>
      </x:c>
      <x:c r="S1783" s="75" t="str">
        <x:v>Not applied — review required</x:v>
      </x:c>
    </x:row>
    <x:row r="1784">
      <x:c r="A1784" s="71" t="str">
        <x:v>MRV-67E9E22C0B</x:v>
      </x:c>
      <x:c r="B1784" s="71" t="str">
        <x:v>System</x:v>
      </x:c>
      <x:c r="C1784" s="71" t="str">
        <x:v>Shared recovery / system</x:v>
      </x:c>
      <x:c r="D1784" s="71" t="str">
        <x:v>Shared</x:v>
      </x:c>
      <x:c r="E1784" s="71" t="str">
        <x:v>getTripDate</x:v>
      </x:c>
      <x:c r="F1784" s="71" t="str">
        <x:v>Default</x:v>
      </x:c>
      <x:c r="G1784" s="71" t="str">
        <x:v>Body copy</x:v>
      </x:c>
      <x:c r="H1784" s="71" t="str">
        <x:v>2027-03-{day.padStart(2, "0")}</x:v>
      </x:c>
      <x:c r="I1784" s="71" t="str">
        <x:v>2027-03-{day.padStart(2, "0")}</x:v>
      </x:c>
      <x:c r="J1784" s="73"/>
      <x:c r="K1784" s="74" t="str">
        <x:f>IF(J1784="",H1784,IF(J1784=I1784,I1784,J1784))</x:f>
        <x:v>2027-03-{day.padStart(2, "0")}</x:v>
      </x:c>
      <x:c r="L1784" s="74" t="str">
        <x:f>IF(J1784="","Keep current",IF(J1784=I1784,"Use suggestion","Custom"))</x:f>
        <x:v>Keep current</x:v>
      </x:c>
      <x:c r="M1784" s="71" t="str">
        <x:v>Pending review</x:v>
      </x:c>
      <x:c r="N1784" s="71" t="str">
        <x:v>Normal</x:v>
      </x:c>
      <x:c r="O1784" s="71" t="str">
        <x:v>components/journey-weather.tsx</x:v>
      </x:c>
      <x:c r="P1784" s="71" t="str">
        <x:v>getTripDate:31</x:v>
      </x:c>
      <x:c r="Q1784" s="71" t="str">
        <x:v>EN (default / shared)</x:v>
      </x:c>
      <x:c r="R1784" s="71" t="str">
        <x:v>Already clear and direct; suggested wording intentionally keeps the current copy. Dynamic traveller or trip value is represented as a token; user-generated values are excluded.</x:v>
      </x:c>
      <x:c r="S1784" s="75" t="str">
        <x:v>Not applied — review required</x:v>
      </x:c>
    </x:row>
    <x:row r="1785">
      <x:c r="A1785" s="71" t="str">
        <x:v>MRV-3983DBFF82</x:v>
      </x:c>
      <x:c r="B1785" s="71" t="str">
        <x:v>System</x:v>
      </x:c>
      <x:c r="C1785" s="71" t="str">
        <x:v>Shared recovery / system</x:v>
      </x:c>
      <x:c r="D1785" s="71" t="str">
        <x:v>Shared</x:v>
      </x:c>
      <x:c r="E1785" s="71" t="str">
        <x:v>getCondition</x:v>
      </x:c>
      <x:c r="F1785" s="71" t="str">
        <x:v>Default</x:v>
      </x:c>
      <x:c r="G1785" s="71" t="str">
        <x:v>CTA / button</x:v>
      </x:c>
      <x:c r="H1785" s="71" t="str">
        <x:v>Clear</x:v>
      </x:c>
      <x:c r="I1785" s="71" t="str">
        <x:v>Clear</x:v>
      </x:c>
      <x:c r="J1785" s="73"/>
      <x:c r="K1785" s="74" t="str">
        <x:f>IF(J1785="",H1785,IF(J1785=I1785,I1785,J1785))</x:f>
        <x:v>Clear</x:v>
      </x:c>
      <x:c r="L1785" s="74" t="str">
        <x:f>IF(J1785="","Keep current",IF(J1785=I1785,"Use suggestion","Custom"))</x:f>
        <x:v>Keep current</x:v>
      </x:c>
      <x:c r="M1785" s="71" t="str">
        <x:v>Pending review</x:v>
      </x:c>
      <x:c r="N1785" s="71" t="str">
        <x:v>Medium</x:v>
      </x:c>
      <x:c r="O1785" s="71" t="str">
        <x:v>components/journey-weather.tsx</x:v>
      </x:c>
      <x:c r="P1785" s="71" t="str">
        <x:v>getCondition:35</x:v>
      </x:c>
      <x:c r="Q1785" s="71" t="str">
        <x:v>EN (default / shared)</x:v>
      </x:c>
      <x:c r="R1785" s="71" t="str">
        <x:v>Already clear and direct; suggested wording intentionally keeps the current copy.</x:v>
      </x:c>
      <x:c r="S1785" s="75" t="str">
        <x:v>Not applied — review required</x:v>
      </x:c>
    </x:row>
    <x:row r="1786">
      <x:c r="A1786" s="71" t="str">
        <x:v>MRV-8804916A23</x:v>
      </x:c>
      <x:c r="B1786" s="71" t="str">
        <x:v>System</x:v>
      </x:c>
      <x:c r="C1786" s="71" t="str">
        <x:v>Shared recovery / system</x:v>
      </x:c>
      <x:c r="D1786" s="71" t="str">
        <x:v>Shared</x:v>
      </x:c>
      <x:c r="E1786" s="71" t="str">
        <x:v>getCondition</x:v>
      </x:c>
      <x:c r="F1786" s="71" t="str">
        <x:v>Default</x:v>
      </x:c>
      <x:c r="G1786" s="71" t="str">
        <x:v>Label</x:v>
      </x:c>
      <x:c r="H1786" s="71" t="str">
        <x:v>Mostly clear</x:v>
      </x:c>
      <x:c r="I1786" s="71" t="str">
        <x:v>Mostly clear</x:v>
      </x:c>
      <x:c r="J1786" s="73"/>
      <x:c r="K1786" s="74" t="str">
        <x:f>IF(J1786="",H1786,IF(J1786=I1786,I1786,J1786))</x:f>
        <x:v>Mostly clear</x:v>
      </x:c>
      <x:c r="L1786" s="74" t="str">
        <x:f>IF(J1786="","Keep current",IF(J1786=I1786,"Use suggestion","Custom"))</x:f>
        <x:v>Keep current</x:v>
      </x:c>
      <x:c r="M1786" s="71" t="str">
        <x:v>Pending review</x:v>
      </x:c>
      <x:c r="N1786" s="71" t="str">
        <x:v>Normal</x:v>
      </x:c>
      <x:c r="O1786" s="71" t="str">
        <x:v>components/journey-weather.tsx</x:v>
      </x:c>
      <x:c r="P1786" s="71" t="str">
        <x:v>getCondition:36</x:v>
      </x:c>
      <x:c r="Q1786" s="71" t="str">
        <x:v>EN (default / shared)</x:v>
      </x:c>
      <x:c r="R1786" s="71" t="str">
        <x:v>Already clear and direct; suggested wording intentionally keeps the current copy.</x:v>
      </x:c>
      <x:c r="S1786" s="75" t="str">
        <x:v>Not applied — review required</x:v>
      </x:c>
    </x:row>
    <x:row r="1787">
      <x:c r="A1787" s="71" t="str">
        <x:v>MRV-46D08660D2</x:v>
      </x:c>
      <x:c r="B1787" s="71" t="str">
        <x:v>System</x:v>
      </x:c>
      <x:c r="C1787" s="71" t="str">
        <x:v>Shared recovery / system</x:v>
      </x:c>
      <x:c r="D1787" s="71" t="str">
        <x:v>Shared</x:v>
      </x:c>
      <x:c r="E1787" s="71" t="str">
        <x:v>getCondition</x:v>
      </x:c>
      <x:c r="F1787" s="71" t="str">
        <x:v>Default</x:v>
      </x:c>
      <x:c r="G1787" s="71" t="str">
        <x:v>Label</x:v>
      </x:c>
      <x:c r="H1787" s="71" t="str">
        <x:v>Cloudy</x:v>
      </x:c>
      <x:c r="I1787" s="71" t="str">
        <x:v>Cloudy</x:v>
      </x:c>
      <x:c r="J1787" s="73"/>
      <x:c r="K1787" s="74" t="str">
        <x:f>IF(J1787="",H1787,IF(J1787=I1787,I1787,J1787))</x:f>
        <x:v>Cloudy</x:v>
      </x:c>
      <x:c r="L1787" s="74" t="str">
        <x:f>IF(J1787="","Keep current",IF(J1787=I1787,"Use suggestion","Custom"))</x:f>
        <x:v>Keep current</x:v>
      </x:c>
      <x:c r="M1787" s="71" t="str">
        <x:v>Pending review</x:v>
      </x:c>
      <x:c r="N1787" s="71" t="str">
        <x:v>Normal</x:v>
      </x:c>
      <x:c r="O1787" s="71" t="str">
        <x:v>components/journey-weather.tsx</x:v>
      </x:c>
      <x:c r="P1787" s="71" t="str">
        <x:v>getCondition:36</x:v>
      </x:c>
      <x:c r="Q1787" s="71" t="str">
        <x:v>EN (default / shared)</x:v>
      </x:c>
      <x:c r="R1787" s="71" t="str">
        <x:v>Already clear and direct; suggested wording intentionally keeps the current copy.</x:v>
      </x:c>
      <x:c r="S1787" s="75" t="str">
        <x:v>Not applied — review required</x:v>
      </x:c>
    </x:row>
    <x:row r="1788">
      <x:c r="A1788" s="71" t="str">
        <x:v>MRV-9962C1134C</x:v>
      </x:c>
      <x:c r="B1788" s="71" t="str">
        <x:v>System</x:v>
      </x:c>
      <x:c r="C1788" s="71" t="str">
        <x:v>Shared recovery / system</x:v>
      </x:c>
      <x:c r="D1788" s="71" t="str">
        <x:v>Shared</x:v>
      </x:c>
      <x:c r="E1788" s="71" t="str">
        <x:v>getCondition</x:v>
      </x:c>
      <x:c r="F1788" s="71" t="str">
        <x:v>Default</x:v>
      </x:c>
      <x:c r="G1788" s="71" t="str">
        <x:v>Label</x:v>
      </x:c>
      <x:c r="H1788" s="71" t="str">
        <x:v>Fog</x:v>
      </x:c>
      <x:c r="I1788" s="71" t="str">
        <x:v>Fog</x:v>
      </x:c>
      <x:c r="J1788" s="73"/>
      <x:c r="K1788" s="74" t="str">
        <x:f>IF(J1788="",H1788,IF(J1788=I1788,I1788,J1788))</x:f>
        <x:v>Fog</x:v>
      </x:c>
      <x:c r="L1788" s="74" t="str">
        <x:f>IF(J1788="","Keep current",IF(J1788=I1788,"Use suggestion","Custom"))</x:f>
        <x:v>Keep current</x:v>
      </x:c>
      <x:c r="M1788" s="71" t="str">
        <x:v>Pending review</x:v>
      </x:c>
      <x:c r="N1788" s="71" t="str">
        <x:v>Normal</x:v>
      </x:c>
      <x:c r="O1788" s="71" t="str">
        <x:v>components/journey-weather.tsx</x:v>
      </x:c>
      <x:c r="P1788" s="71" t="str">
        <x:v>getCondition:37</x:v>
      </x:c>
      <x:c r="Q1788" s="71" t="str">
        <x:v>EN (default / shared)</x:v>
      </x:c>
      <x:c r="R1788" s="71" t="str">
        <x:v>Already clear and direct; suggested wording intentionally keeps the current copy.</x:v>
      </x:c>
      <x:c r="S1788" s="75" t="str">
        <x:v>Not applied — review required</x:v>
      </x:c>
    </x:row>
    <x:row r="1789">
      <x:c r="A1789" s="71" t="str">
        <x:v>MRV-E4E9A3FDB5</x:v>
      </x:c>
      <x:c r="B1789" s="71" t="str">
        <x:v>System</x:v>
      </x:c>
      <x:c r="C1789" s="71" t="str">
        <x:v>Shared recovery / system</x:v>
      </x:c>
      <x:c r="D1789" s="71" t="str">
        <x:v>Shared</x:v>
      </x:c>
      <x:c r="E1789" s="71" t="str">
        <x:v>getCondition</x:v>
      </x:c>
      <x:c r="F1789" s="71" t="str">
        <x:v>Default</x:v>
      </x:c>
      <x:c r="G1789" s="71" t="str">
        <x:v>Label</x:v>
      </x:c>
      <x:c r="H1789" s="71" t="str">
        <x:v>Snow</x:v>
      </x:c>
      <x:c r="I1789" s="71" t="str">
        <x:v>Snow</x:v>
      </x:c>
      <x:c r="J1789" s="73"/>
      <x:c r="K1789" s="74" t="str">
        <x:f>IF(J1789="",H1789,IF(J1789=I1789,I1789,J1789))</x:f>
        <x:v>Snow</x:v>
      </x:c>
      <x:c r="L1789" s="74" t="str">
        <x:f>IF(J1789="","Keep current",IF(J1789=I1789,"Use suggestion","Custom"))</x:f>
        <x:v>Keep current</x:v>
      </x:c>
      <x:c r="M1789" s="71" t="str">
        <x:v>Pending review</x:v>
      </x:c>
      <x:c r="N1789" s="71" t="str">
        <x:v>Normal</x:v>
      </x:c>
      <x:c r="O1789" s="71" t="str">
        <x:v>components/journey-weather.tsx</x:v>
      </x:c>
      <x:c r="P1789" s="71" t="str">
        <x:v>getCondition:38</x:v>
      </x:c>
      <x:c r="Q1789" s="71" t="str">
        <x:v>EN (default / shared)</x:v>
      </x:c>
      <x:c r="R1789" s="71" t="str">
        <x:v>Already clear and direct; suggested wording intentionally keeps the current copy.</x:v>
      </x:c>
      <x:c r="S1789" s="75" t="str">
        <x:v>Not applied — review required</x:v>
      </x:c>
    </x:row>
    <x:row r="1790">
      <x:c r="A1790" s="71" t="str">
        <x:v>MRV-CB5F95BB01</x:v>
      </x:c>
      <x:c r="B1790" s="71" t="str">
        <x:v>System</x:v>
      </x:c>
      <x:c r="C1790" s="71" t="str">
        <x:v>Shared recovery / system</x:v>
      </x:c>
      <x:c r="D1790" s="71" t="str">
        <x:v>Shared</x:v>
      </x:c>
      <x:c r="E1790" s="71" t="str">
        <x:v>getCondition</x:v>
      </x:c>
      <x:c r="F1790" s="71" t="str">
        <x:v>Default</x:v>
      </x:c>
      <x:c r="G1790" s="71" t="str">
        <x:v>Label</x:v>
      </x:c>
      <x:c r="H1790" s="71" t="str">
        <x:v>Storms</x:v>
      </x:c>
      <x:c r="I1790" s="71" t="str">
        <x:v>Storms</x:v>
      </x:c>
      <x:c r="J1790" s="73"/>
      <x:c r="K1790" s="74" t="str">
        <x:f>IF(J1790="",H1790,IF(J1790=I1790,I1790,J1790))</x:f>
        <x:v>Storms</x:v>
      </x:c>
      <x:c r="L1790" s="74" t="str">
        <x:f>IF(J1790="","Keep current",IF(J1790=I1790,"Use suggestion","Custom"))</x:f>
        <x:v>Keep current</x:v>
      </x:c>
      <x:c r="M1790" s="71" t="str">
        <x:v>Pending review</x:v>
      </x:c>
      <x:c r="N1790" s="71" t="str">
        <x:v>Normal</x:v>
      </x:c>
      <x:c r="O1790" s="71" t="str">
        <x:v>components/journey-weather.tsx</x:v>
      </x:c>
      <x:c r="P1790" s="71" t="str">
        <x:v>getCondition:39</x:v>
      </x:c>
      <x:c r="Q1790" s="71" t="str">
        <x:v>EN (default / shared)</x:v>
      </x:c>
      <x:c r="R1790" s="71" t="str">
        <x:v>Already clear and direct; suggested wording intentionally keeps the current copy.</x:v>
      </x:c>
      <x:c r="S1790" s="75" t="str">
        <x:v>Not applied — review required</x:v>
      </x:c>
    </x:row>
    <x:row r="1791">
      <x:c r="A1791" s="71" t="str">
        <x:v>MRV-BBA3C4D537</x:v>
      </x:c>
      <x:c r="B1791" s="71" t="str">
        <x:v>System</x:v>
      </x:c>
      <x:c r="C1791" s="71" t="str">
        <x:v>Shared recovery / system</x:v>
      </x:c>
      <x:c r="D1791" s="71" t="str">
        <x:v>Shared</x:v>
      </x:c>
      <x:c r="E1791" s="71" t="str">
        <x:v>getCondition</x:v>
      </x:c>
      <x:c r="F1791" s="71" t="str">
        <x:v>Default</x:v>
      </x:c>
      <x:c r="G1791" s="71" t="str">
        <x:v>Label</x:v>
      </x:c>
      <x:c r="H1791" s="71" t="str">
        <x:v>Rain</x:v>
      </x:c>
      <x:c r="I1791" s="71" t="str">
        <x:v>Rain</x:v>
      </x:c>
      <x:c r="J1791" s="73"/>
      <x:c r="K1791" s="74" t="str">
        <x:f>IF(J1791="",H1791,IF(J1791=I1791,I1791,J1791))</x:f>
        <x:v>Rain</x:v>
      </x:c>
      <x:c r="L1791" s="74" t="str">
        <x:f>IF(J1791="","Keep current",IF(J1791=I1791,"Use suggestion","Custom"))</x:f>
        <x:v>Keep current</x:v>
      </x:c>
      <x:c r="M1791" s="71" t="str">
        <x:v>Pending review</x:v>
      </x:c>
      <x:c r="N1791" s="71" t="str">
        <x:v>Normal</x:v>
      </x:c>
      <x:c r="O1791" s="71" t="str">
        <x:v>components/journey-weather.tsx</x:v>
      </x:c>
      <x:c r="P1791" s="71" t="str">
        <x:v>getCondition:40</x:v>
      </x:c>
      <x:c r="Q1791" s="71" t="str">
        <x:v>EN (default / shared)</x:v>
      </x:c>
      <x:c r="R1791" s="71" t="str">
        <x:v>Already clear and direct; suggested wording intentionally keeps the current copy.</x:v>
      </x:c>
      <x:c r="S1791" s="75" t="str">
        <x:v>Not applied — review required</x:v>
      </x:c>
    </x:row>
    <x:row r="1792">
      <x:c r="A1792" s="71" t="str">
        <x:v>MRV-6942F2B69E</x:v>
      </x:c>
      <x:c r="B1792" s="71" t="str">
        <x:v>System</x:v>
      </x:c>
      <x:c r="C1792" s="71" t="str">
        <x:v>Shared recovery / system</x:v>
      </x:c>
      <x:c r="D1792" s="71" t="str">
        <x:v>Shared</x:v>
      </x:c>
      <x:c r="E1792" s="71" t="str">
        <x:v>cacheKey</x:v>
      </x:c>
      <x:c r="F1792" s="71" t="str">
        <x:v>Default</x:v>
      </x:c>
      <x:c r="G1792" s="71" t="str">
        <x:v>Label</x:v>
      </x:c>
      <x:c r="H1792" s="71" t="str">
        <x:v>{latitude},{longitude}</x:v>
      </x:c>
      <x:c r="I1792" s="71" t="str">
        <x:v>{latitude},{longitude}</x:v>
      </x:c>
      <x:c r="J1792" s="73"/>
      <x:c r="K1792" s="74" t="str">
        <x:f>IF(J1792="",H1792,IF(J1792=I1792,I1792,J1792))</x:f>
        <x:v>{latitude},{longitude}</x:v>
      </x:c>
      <x:c r="L1792" s="74" t="str">
        <x:f>IF(J1792="","Keep current",IF(J1792=I1792,"Use suggestion","Custom"))</x:f>
        <x:v>Keep current</x:v>
      </x:c>
      <x:c r="M1792" s="71" t="str">
        <x:v>Pending review</x:v>
      </x:c>
      <x:c r="N1792" s="71" t="str">
        <x:v>Normal</x:v>
      </x:c>
      <x:c r="O1792" s="71" t="str">
        <x:v>components/journey-weather.tsx</x:v>
      </x:c>
      <x:c r="P1792" s="71" t="str">
        <x:v>cacheKey:47</x:v>
      </x:c>
      <x:c r="Q1792" s="71" t="str">
        <x:v>EN (default / shared)</x:v>
      </x:c>
      <x:c r="R1792" s="71" t="str">
        <x:v>Already clear and direct; suggested wording intentionally keeps the current copy. Dynamic traveller or trip value is represented as a token; user-generated values are excluded.</x:v>
      </x:c>
      <x:c r="S1792" s="75" t="str">
        <x:v>Not applied — review required</x:v>
      </x:c>
    </x:row>
    <x:row r="1793">
      <x:c r="A1793" s="71" t="str">
        <x:v>MRV-9FA8843F40</x:v>
      </x:c>
      <x:c r="B1793" s="71" t="str">
        <x:v>System</x:v>
      </x:c>
      <x:c r="C1793" s="71" t="str">
        <x:v>Shared recovery / system</x:v>
      </x:c>
      <x:c r="D1793" s="71" t="str">
        <x:v>Shared</x:v>
      </x:c>
      <x:c r="E1793" s="71" t="str">
        <x:v>JourneyWeather</x:v>
      </x:c>
      <x:c r="F1793" s="71" t="str">
        <x:v>Failure / recovery</x:v>
      </x:c>
      <x:c r="G1793" s="71" t="str">
        <x:v>Label</x:v>
      </x:c>
      <x:c r="H1793" s="71" t="str">
        <x:v>Weather request failed</x:v>
      </x:c>
      <x:c r="I1793" s="71" t="str">
        <x:v>Weather request failed</x:v>
      </x:c>
      <x:c r="J1793" s="73"/>
      <x:c r="K1793" s="74" t="str">
        <x:f>IF(J1793="",H1793,IF(J1793=I1793,I1793,J1793))</x:f>
        <x:v>Weather request failed</x:v>
      </x:c>
      <x:c r="L1793" s="74" t="str">
        <x:f>IF(J1793="","Keep current",IF(J1793=I1793,"Use suggestion","Custom"))</x:f>
        <x:v>Keep current</x:v>
      </x:c>
      <x:c r="M1793" s="71" t="str">
        <x:v>Pending review</x:v>
      </x:c>
      <x:c r="N1793" s="71" t="str">
        <x:v>High</x:v>
      </x:c>
      <x:c r="O1793" s="71" t="str">
        <x:v>components/journey-weather.tsx</x:v>
      </x:c>
      <x:c r="P1793" s="71" t="str">
        <x:v>JourneyWeather:72</x:v>
      </x:c>
      <x:c r="Q1793" s="71" t="str">
        <x:v>EN (default / shared)</x:v>
      </x:c>
      <x:c r="R1793" s="71" t="str">
        <x:v>Already clear and direct; suggested wording intentionally keeps the current copy.</x:v>
      </x:c>
      <x:c r="S1793" s="75" t="str">
        <x:v>Not applied — review required</x:v>
      </x:c>
    </x:row>
    <x:row r="1794">
      <x:c r="A1794" s="71" t="str">
        <x:v>MRV-7351F9C8C1</x:v>
      </x:c>
      <x:c r="B1794" s="71" t="str">
        <x:v>System</x:v>
      </x:c>
      <x:c r="C1794" s="71" t="str">
        <x:v>Shared recovery / system</x:v>
      </x:c>
      <x:c r="D1794" s="71" t="str">
        <x:v>Shared</x:v>
      </x:c>
      <x:c r="E1794" s="71" t="str">
        <x:v>JourneyWeather</x:v>
      </x:c>
      <x:c r="F1794" s="71" t="str">
        <x:v>Default</x:v>
      </x:c>
      <x:c r="G1794" s="71" t="str">
        <x:v>Label</x:v>
      </x:c>
      <x:c r="H1794" s="71" t="str">
        <x:v>Weather</x:v>
      </x:c>
      <x:c r="I1794" s="71" t="str">
        <x:v>Weather</x:v>
      </x:c>
      <x:c r="J1794" s="73"/>
      <x:c r="K1794" s="74" t="str">
        <x:f>IF(J1794="",H1794,IF(J1794=I1794,I1794,J1794))</x:f>
        <x:v>Weather</x:v>
      </x:c>
      <x:c r="L1794" s="74" t="str">
        <x:f>IF(J1794="","Keep current",IF(J1794=I1794,"Use suggestion","Custom"))</x:f>
        <x:v>Keep current</x:v>
      </x:c>
      <x:c r="M1794" s="71" t="str">
        <x:v>Pending review</x:v>
      </x:c>
      <x:c r="N1794" s="71" t="str">
        <x:v>Normal</x:v>
      </x:c>
      <x:c r="O1794" s="71" t="str">
        <x:v>components/journey-weather.tsx</x:v>
      </x:c>
      <x:c r="P1794" s="71" t="str">
        <x:v>JourneyWeather:102</x:v>
      </x:c>
      <x:c r="Q1794" s="71" t="str">
        <x:v>EN (default / shared)</x:v>
      </x:c>
      <x:c r="R1794" s="71" t="str">
        <x:v>Already clear and direct; suggested wording intentionally keeps the current copy.</x:v>
      </x:c>
      <x:c r="S1794" s="75" t="str">
        <x:v>Not applied — review required</x:v>
      </x:c>
    </x:row>
    <x:row r="1795">
      <x:c r="A1795" s="71" t="str">
        <x:v>MRV-EAD855E525</x:v>
      </x:c>
      <x:c r="B1795" s="71" t="str">
        <x:v>System</x:v>
      </x:c>
      <x:c r="C1795" s="71" t="str">
        <x:v>Shared recovery / system</x:v>
      </x:c>
      <x:c r="D1795" s="71" t="str">
        <x:v>Shared</x:v>
      </x:c>
      <x:c r="E1795" s="71" t="str">
        <x:v>JourneyWeather</x:v>
      </x:c>
      <x:c r="F1795" s="71" t="str">
        <x:v>Default</x:v>
      </x:c>
      <x:c r="G1795" s="71" t="str">
        <x:v>Label</x:v>
      </x:c>
      <x:c r="H1795" s="71" t="str">
        <x:v>Unavailable</x:v>
      </x:c>
      <x:c r="I1795" s="71" t="str">
        <x:v>Unavailable</x:v>
      </x:c>
      <x:c r="J1795" s="73"/>
      <x:c r="K1795" s="74" t="str">
        <x:f>IF(J1795="",H1795,IF(J1795=I1795,I1795,J1795))</x:f>
        <x:v>Unavailable</x:v>
      </x:c>
      <x:c r="L1795" s="74" t="str">
        <x:f>IF(J1795="","Keep current",IF(J1795=I1795,"Use suggestion","Custom"))</x:f>
        <x:v>Keep current</x:v>
      </x:c>
      <x:c r="M1795" s="71" t="str">
        <x:v>Pending review</x:v>
      </x:c>
      <x:c r="N1795" s="71" t="str">
        <x:v>Normal</x:v>
      </x:c>
      <x:c r="O1795" s="71" t="str">
        <x:v>components/journey-weather.tsx</x:v>
      </x:c>
      <x:c r="P1795" s="71" t="str">
        <x:v>JourneyWeather:102</x:v>
      </x:c>
      <x:c r="Q1795" s="71" t="str">
        <x:v>EN (default / shared)</x:v>
      </x:c>
      <x:c r="R1795" s="71" t="str">
        <x:v>Already clear and direct; suggested wording intentionally keeps the current copy.</x:v>
      </x:c>
      <x:c r="S1795" s="75" t="str">
        <x:v>Not applied — review required</x:v>
      </x:c>
    </x:row>
    <x:row r="1796">
      <x:c r="A1796" s="71" t="str">
        <x:v>MRV-96D56AAC2B</x:v>
      </x:c>
      <x:c r="B1796" s="71" t="str">
        <x:v>System</x:v>
      </x:c>
      <x:c r="C1796" s="71" t="str">
        <x:v>Shared recovery / system</x:v>
      </x:c>
      <x:c r="D1796" s="71" t="str">
        <x:v>Shared</x:v>
      </x:c>
      <x:c r="E1796" s="71" t="str">
        <x:v>JourneyWeather</x:v>
      </x:c>
      <x:c r="F1796" s="71" t="str">
        <x:v>Loading / in progress</x:v>
      </x:c>
      <x:c r="G1796" s="71" t="str">
        <x:v>Accessibility label</x:v>
      </x:c>
      <x:c r="H1796" s="71" t="str">
        <x:v>Loading weather for {city}</x:v>
      </x:c>
      <x:c r="I1796" s="71" t="str">
        <x:v>Loading weather for {city}</x:v>
      </x:c>
      <x:c r="J1796" s="73"/>
      <x:c r="K1796" s="74" t="str">
        <x:f>IF(J1796="",H1796,IF(J1796=I1796,I1796,J1796))</x:f>
        <x:v>Loading weather for {city}</x:v>
      </x:c>
      <x:c r="L1796" s="74" t="str">
        <x:f>IF(J1796="","Keep current",IF(J1796=I1796,"Use suggestion","Custom"))</x:f>
        <x:v>Keep current</x:v>
      </x:c>
      <x:c r="M1796" s="71" t="str">
        <x:v>Pending review</x:v>
      </x:c>
      <x:c r="N1796" s="71" t="str">
        <x:v>Medium</x:v>
      </x:c>
      <x:c r="O1796" s="71" t="str">
        <x:v>components/journey-weather.tsx</x:v>
      </x:c>
      <x:c r="P1796" s="71" t="str">
        <x:v>JourneyWeather:103</x:v>
      </x:c>
      <x:c r="Q1796" s="71" t="str">
        <x:v>EN (default / shared)</x:v>
      </x:c>
      <x:c r="R1796" s="71" t="str">
        <x:v>Already clear and direct; suggested wording intentionally keeps the current copy. Dynamic traveller or trip value is represented as a token; user-generated values are excluded.</x:v>
      </x:c>
      <x:c r="S1796" s="75" t="str">
        <x:v>Not applied — review required</x:v>
      </x:c>
    </x:row>
    <x:row r="1797">
      <x:c r="A1797" s="71" t="str">
        <x:v>MRV-DA4581DFD5</x:v>
      </x:c>
      <x:c r="B1797" s="71" t="str">
        <x:v>System</x:v>
      </x:c>
      <x:c r="C1797" s="71" t="str">
        <x:v>Shared recovery / system</x:v>
      </x:c>
      <x:c r="D1797" s="71" t="str">
        <x:v>Shared</x:v>
      </x:c>
      <x:c r="E1797" s="71" t="str">
        <x:v>JourneyWeather</x:v>
      </x:c>
      <x:c r="F1797" s="71" t="str">
        <x:v>Default</x:v>
      </x:c>
      <x:c r="G1797" s="71" t="str">
        <x:v>Label</x:v>
      </x:c>
      <x:c r="H1797" s="71" t="str">
        <x:v>Live weather</x:v>
      </x:c>
      <x:c r="I1797" s="71" t="str">
        <x:v>Live weather</x:v>
      </x:c>
      <x:c r="J1797" s="73"/>
      <x:c r="K1797" s="74" t="str">
        <x:f>IF(J1797="",H1797,IF(J1797=I1797,I1797,J1797))</x:f>
        <x:v>Live weather</x:v>
      </x:c>
      <x:c r="L1797" s="74" t="str">
        <x:f>IF(J1797="","Keep current",IF(J1797=I1797,"Use suggestion","Custom"))</x:f>
        <x:v>Keep current</x:v>
      </x:c>
      <x:c r="M1797" s="71" t="str">
        <x:v>Pending review</x:v>
      </x:c>
      <x:c r="N1797" s="71" t="str">
        <x:v>Normal</x:v>
      </x:c>
      <x:c r="O1797" s="71" t="str">
        <x:v>components/journey-weather.tsx</x:v>
      </x:c>
      <x:c r="P1797" s="71" t="str">
        <x:v>JourneyWeather:103</x:v>
      </x:c>
      <x:c r="Q1797" s="71" t="str">
        <x:v>EN (default / shared)</x:v>
      </x:c>
      <x:c r="R1797" s="71" t="str">
        <x:v>Already clear and direct; suggested wording intentionally keeps the current copy.</x:v>
      </x:c>
      <x:c r="S1797" s="75" t="str">
        <x:v>Not applied — review required</x:v>
      </x:c>
    </x:row>
    <x:row r="1798">
      <x:c r="A1798" s="71" t="str">
        <x:v>MRV-2163307877</x:v>
      </x:c>
      <x:c r="B1798" s="71" t="str">
        <x:v>System</x:v>
      </x:c>
      <x:c r="C1798" s="71" t="str">
        <x:v>Shared recovery / system</x:v>
      </x:c>
      <x:c r="D1798" s="71" t="str">
        <x:v>Shared</x:v>
      </x:c>
      <x:c r="E1798" s="71" t="str">
        <x:v>JourneyWeather</x:v>
      </x:c>
      <x:c r="F1798" s="71" t="str">
        <x:v>Accessibility / input support</x:v>
      </x:c>
      <x:c r="G1798" s="71" t="str">
        <x:v>Accessibility label</x:v>
      </x:c>
      <x:c r="H1798" s="71" t="str">
        <x:v>{view.isTripForecast ? "Trip forecast" : "Current weather"} for {city}</x:v>
      </x:c>
      <x:c r="I1798" s="71" t="str">
        <x:v>{view.isTripForecast ? "Trip forecast" : "Current weather"} for {city}</x:v>
      </x:c>
      <x:c r="J1798" s="73"/>
      <x:c r="K1798" s="74" t="str">
        <x:f>IF(J1798="",H1798,IF(J1798=I1798,I1798,J1798))</x:f>
        <x:v>{view.isTripForecast ? "Trip forecast" : "Current weather"} for {city}</x:v>
      </x:c>
      <x:c r="L1798" s="74" t="str">
        <x:f>IF(J1798="","Keep current",IF(J1798=I1798,"Use suggestion","Custom"))</x:f>
        <x:v>Keep current</x:v>
      </x:c>
      <x:c r="M1798" s="71" t="str">
        <x:v>Pending review</x:v>
      </x:c>
      <x:c r="N1798" s="71" t="str">
        <x:v>Medium</x:v>
      </x:c>
      <x:c r="O1798" s="71" t="str">
        <x:v>components/journey-weather.tsx</x:v>
      </x:c>
      <x:c r="P1798" s="71" t="str">
        <x:v>JourneyWeather:107</x:v>
      </x:c>
      <x:c r="Q1798" s="71" t="str">
        <x:v>EN (default / shared)</x:v>
      </x:c>
      <x:c r="R179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798" s="75" t="str">
        <x:v>Not applied — review required</x:v>
      </x:c>
    </x:row>
    <x:row r="1799">
      <x:c r="A1799" s="71" t="str">
        <x:v>MRV-9740BC24B6</x:v>
      </x:c>
      <x:c r="B1799" s="71" t="str">
        <x:v>System</x:v>
      </x:c>
      <x:c r="C1799" s="71" t="str">
        <x:v>Shared recovery / system</x:v>
      </x:c>
      <x:c r="D1799" s="71" t="str">
        <x:v>Shared</x:v>
      </x:c>
      <x:c r="E1799" s="71" t="str">
        <x:v>JourneyWeather</x:v>
      </x:c>
      <x:c r="F1799" s="71" t="str">
        <x:v>Accessibility / input support</x:v>
      </x:c>
      <x:c r="G1799" s="71" t="str">
        <x:v>Accessibility label</x:v>
      </x:c>
      <x:c r="H1799" s="71" t="str">
        <x:v>Trip forecast</x:v>
      </x:c>
      <x:c r="I1799" s="71" t="str">
        <x:v>Trip forecast</x:v>
      </x:c>
      <x:c r="J1799" s="73"/>
      <x:c r="K1799" s="74" t="str">
        <x:f>IF(J1799="",H1799,IF(J1799=I1799,I1799,J1799))</x:f>
        <x:v>Trip forecast</x:v>
      </x:c>
      <x:c r="L1799" s="74" t="str">
        <x:f>IF(J1799="","Keep current",IF(J1799=I1799,"Use suggestion","Custom"))</x:f>
        <x:v>Keep current</x:v>
      </x:c>
      <x:c r="M1799" s="71" t="str">
        <x:v>Pending review</x:v>
      </x:c>
      <x:c r="N1799" s="71" t="str">
        <x:v>Medium</x:v>
      </x:c>
      <x:c r="O1799" s="71" t="str">
        <x:v>components/journey-weather.tsx</x:v>
      </x:c>
      <x:c r="P1799" s="71" t="str">
        <x:v>JourneyWeather:107</x:v>
      </x:c>
      <x:c r="Q1799" s="71" t="str">
        <x:v>EN (default / shared)</x:v>
      </x:c>
      <x:c r="R1799" s="71" t="str">
        <x:v>Already clear and direct; suggested wording intentionally keeps the current copy. Duplicate wording: appears 2 times. Terminology watch: ‘trip’ and ‘journey’ both describe the same plan. Terminology watch: ‘stops’, ‘destinations’ and ‘places’ overlap.</x:v>
      </x:c>
      <x:c r="S1799" s="75" t="str">
        <x:v>Not applied — review required</x:v>
      </x:c>
    </x:row>
    <x:row r="1800">
      <x:c r="A1800" s="71" t="str">
        <x:v>MRV-FB26BB63AE</x:v>
      </x:c>
      <x:c r="B1800" s="71" t="str">
        <x:v>System</x:v>
      </x:c>
      <x:c r="C1800" s="71" t="str">
        <x:v>Shared recovery / system</x:v>
      </x:c>
      <x:c r="D1800" s="71" t="str">
        <x:v>Shared</x:v>
      </x:c>
      <x:c r="E1800" s="71" t="str">
        <x:v>JourneyWeather</x:v>
      </x:c>
      <x:c r="F1800" s="71" t="str">
        <x:v>Accessibility / input support</x:v>
      </x:c>
      <x:c r="G1800" s="71" t="str">
        <x:v>Accessibility label</x:v>
      </x:c>
      <x:c r="H1800" s="71" t="str">
        <x:v>Current weather</x:v>
      </x:c>
      <x:c r="I1800" s="71" t="str">
        <x:v>Current weather</x:v>
      </x:c>
      <x:c r="J1800" s="73"/>
      <x:c r="K1800" s="74" t="str">
        <x:f>IF(J1800="",H1800,IF(J1800=I1800,I1800,J1800))</x:f>
        <x:v>Current weather</x:v>
      </x:c>
      <x:c r="L1800" s="74" t="str">
        <x:f>IF(J1800="","Keep current",IF(J1800=I1800,"Use suggestion","Custom"))</x:f>
        <x:v>Keep current</x:v>
      </x:c>
      <x:c r="M1800" s="71" t="str">
        <x:v>Pending review</x:v>
      </x:c>
      <x:c r="N1800" s="71" t="str">
        <x:v>Medium</x:v>
      </x:c>
      <x:c r="O1800" s="71" t="str">
        <x:v>components/journey-weather.tsx</x:v>
      </x:c>
      <x:c r="P1800" s="71" t="str">
        <x:v>JourneyWeather:107</x:v>
      </x:c>
      <x:c r="Q1800" s="71" t="str">
        <x:v>EN (default / shared)</x:v>
      </x:c>
      <x:c r="R1800" s="71" t="str">
        <x:v>Already clear and direct; suggested wording intentionally keeps the current copy.</x:v>
      </x:c>
      <x:c r="S1800" s="75" t="str">
        <x:v>Not applied — review required</x:v>
      </x:c>
    </x:row>
    <x:row r="1801">
      <x:c r="A1801" s="71" t="str">
        <x:v>MRV-6ACE7F7810</x:v>
      </x:c>
      <x:c r="B1801" s="71" t="str">
        <x:v>System</x:v>
      </x:c>
      <x:c r="C1801" s="71" t="str">
        <x:v>Shared recovery / system</x:v>
      </x:c>
      <x:c r="D1801" s="71" t="str">
        <x:v>Shared</x:v>
      </x:c>
      <x:c r="E1801" s="71" t="str">
        <x:v>JourneyWeather</x:v>
      </x:c>
      <x:c r="F1801" s="71" t="str">
        <x:v>Default</x:v>
      </x:c>
      <x:c r="G1801" s="71" t="str">
        <x:v>Body copy</x:v>
      </x:c>
      <x:c r="H1801" s="71" t="str">
        <x:v>{label} · {Math.round(view.secondaryTemperature ?? 0)}° low</x:v>
      </x:c>
      <x:c r="I1801" s="71" t="str">
        <x:v>{label} · {Math.round(view.secondaryTemperature ?? 0)}° low</x:v>
      </x:c>
      <x:c r="J1801" s="73"/>
      <x:c r="K1801" s="74" t="str">
        <x:f>IF(J1801="",H1801,IF(J1801=I1801,I1801,J1801))</x:f>
        <x:v>{label} · {Math.round(view.secondaryTemperature ?? 0)}° low</x:v>
      </x:c>
      <x:c r="L1801" s="74" t="str">
        <x:f>IF(J1801="","Keep current",IF(J1801=I1801,"Use suggestion","Custom"))</x:f>
        <x:v>Keep current</x:v>
      </x:c>
      <x:c r="M1801" s="71" t="str">
        <x:v>Pending review</x:v>
      </x:c>
      <x:c r="N1801" s="71" t="str">
        <x:v>Normal</x:v>
      </x:c>
      <x:c r="O1801" s="71" t="str">
        <x:v>components/journey-weather.tsx</x:v>
      </x:c>
      <x:c r="P1801" s="71" t="str">
        <x:v>JourneyWeather:111</x:v>
      </x:c>
      <x:c r="Q1801" s="71" t="str">
        <x:v>EN (default / shared)</x:v>
      </x:c>
      <x:c r="R1801" s="71" t="str">
        <x:v>Already clear and direct; suggested wording intentionally keeps the current copy. Dynamic traveller or trip value is represented as a token; user-generated values are excluded.</x:v>
      </x:c>
      <x:c r="S1801" s="75" t="str">
        <x:v>Not applied — review required</x:v>
      </x:c>
    </x:row>
    <x:row r="1802">
      <x:c r="A1802" s="71" t="str">
        <x:v>MRV-A8847FD66B</x:v>
      </x:c>
      <x:c r="B1802" s="71" t="str">
        <x:v>System</x:v>
      </x:c>
      <x:c r="C1802" s="71" t="str">
        <x:v>Shared recovery / system</x:v>
      </x:c>
      <x:c r="D1802" s="71" t="str">
        <x:v>Shared</x:v>
      </x:c>
      <x:c r="E1802" s="71" t="str">
        <x:v>JourneyWeather</x:v>
      </x:c>
      <x:c r="F1802" s="71" t="str">
        <x:v>Default</x:v>
      </x:c>
      <x:c r="G1802" s="71" t="str">
        <x:v>Label</x:v>
      </x:c>
      <x:c r="H1802" s="71" t="str">
        <x:v>Trip forecast</x:v>
      </x:c>
      <x:c r="I1802" s="71" t="str">
        <x:v>Trip forecast</x:v>
      </x:c>
      <x:c r="J1802" s="73"/>
      <x:c r="K1802" s="74" t="str">
        <x:f>IF(J1802="",H1802,IF(J1802=I1802,I1802,J1802))</x:f>
        <x:v>Trip forecast</x:v>
      </x:c>
      <x:c r="L1802" s="74" t="str">
        <x:f>IF(J1802="","Keep current",IF(J1802=I1802,"Use suggestion","Custom"))</x:f>
        <x:v>Keep current</x:v>
      </x:c>
      <x:c r="M1802" s="71" t="str">
        <x:v>Pending review</x:v>
      </x:c>
      <x:c r="N1802" s="71" t="str">
        <x:v>Normal</x:v>
      </x:c>
      <x:c r="O1802" s="71" t="str">
        <x:v>components/journey-weather.tsx</x:v>
      </x:c>
      <x:c r="P1802" s="71" t="str">
        <x:v>JourneyWeather:112</x:v>
      </x:c>
      <x:c r="Q1802" s="71" t="str">
        <x:v>EN (default / shared)</x:v>
      </x:c>
      <x:c r="R1802" s="71" t="str">
        <x:v>Already clear and direct; suggested wording intentionally keeps the current copy. Duplicate wording: appears 2 times. Terminology watch: ‘trip’ and ‘journey’ both describe the same plan. Terminology watch: ‘stops’, ‘destinations’ and ‘places’ overlap.</x:v>
      </x:c>
      <x:c r="S1802" s="75" t="str">
        <x:v>Not applied — review required</x:v>
      </x:c>
    </x:row>
    <x:row r="1803">
      <x:c r="A1803" s="71" t="str">
        <x:v>MRV-6FBBC63D4D</x:v>
      </x:c>
      <x:c r="B1803" s="71" t="str">
        <x:v>System</x:v>
      </x:c>
      <x:c r="C1803" s="71" t="str">
        <x:v>Shared recovery / system</x:v>
      </x:c>
      <x:c r="D1803" s="71" t="str">
        <x:v>Shared</x:v>
      </x:c>
      <x:c r="E1803" s="71" t="str">
        <x:v>JourneyWeather</x:v>
      </x:c>
      <x:c r="F1803" s="71" t="str">
        <x:v>Default</x:v>
      </x:c>
      <x:c r="G1803" s="71" t="str">
        <x:v>Label</x:v>
      </x:c>
      <x:c r="H1803" s="71" t="str">
        <x:v>Live · 2027 pending</x:v>
      </x:c>
      <x:c r="I1803" s="71" t="str">
        <x:v>Live · 2027 pending</x:v>
      </x:c>
      <x:c r="J1803" s="73"/>
      <x:c r="K1803" s="74" t="str">
        <x:f>IF(J1803="",H1803,IF(J1803=I1803,I1803,J1803))</x:f>
        <x:v>Live · 2027 pending</x:v>
      </x:c>
      <x:c r="L1803" s="74" t="str">
        <x:f>IF(J1803="","Keep current",IF(J1803=I1803,"Use suggestion","Custom"))</x:f>
        <x:v>Keep current</x:v>
      </x:c>
      <x:c r="M1803" s="71" t="str">
        <x:v>Pending review</x:v>
      </x:c>
      <x:c r="N1803" s="71" t="str">
        <x:v>Normal</x:v>
      </x:c>
      <x:c r="O1803" s="71" t="str">
        <x:v>components/journey-weather.tsx</x:v>
      </x:c>
      <x:c r="P1803" s="71" t="str">
        <x:v>JourneyWeather:112</x:v>
      </x:c>
      <x:c r="Q1803" s="71" t="str">
        <x:v>EN (default / shared)</x:v>
      </x:c>
      <x:c r="R1803" s="71" t="str">
        <x:v>Already clear and direct; suggested wording intentionally keeps the current copy.</x:v>
      </x:c>
      <x:c r="S1803" s="75" t="str">
        <x:v>Not applied — review required</x:v>
      </x:c>
    </x:row>
    <x:row r="1804">
      <x:c r="A1804" s="71" t="str">
        <x:v>MRV-148EA86944</x:v>
      </x:c>
      <x:c r="B1804" s="71" t="str">
        <x:v>System</x:v>
      </x:c>
      <x:c r="C1804" s="71" t="str">
        <x:v>Shared recovery / system</x:v>
      </x:c>
      <x:c r="D1804" s="71" t="str">
        <x:v>Shared</x:v>
      </x:c>
      <x:c r="E1804" s="71" t="str">
        <x:v>JourneyWeather</x:v>
      </x:c>
      <x:c r="F1804" s="71" t="str">
        <x:v>Accessibility / input support</x:v>
      </x:c>
      <x:c r="G1804" s="71" t="str">
        <x:v>Accessibility label</x:v>
      </x:c>
      <x:c r="H1804" s="71" t="str">
        <x:v>Weather data from Open-Meteo</x:v>
      </x:c>
      <x:c r="I1804" s="71" t="str">
        <x:v>Weather data from Open-Meteo</x:v>
      </x:c>
      <x:c r="J1804" s="73"/>
      <x:c r="K1804" s="74" t="str">
        <x:f>IF(J1804="",H1804,IF(J1804=I1804,I1804,J1804))</x:f>
        <x:v>Weather data from Open-Meteo</x:v>
      </x:c>
      <x:c r="L1804" s="74" t="str">
        <x:f>IF(J1804="","Keep current",IF(J1804=I1804,"Use suggestion","Custom"))</x:f>
        <x:v>Keep current</x:v>
      </x:c>
      <x:c r="M1804" s="71" t="str">
        <x:v>Pending review</x:v>
      </x:c>
      <x:c r="N1804" s="71" t="str">
        <x:v>Medium</x:v>
      </x:c>
      <x:c r="O1804" s="71" t="str">
        <x:v>components/journey-weather.tsx</x:v>
      </x:c>
      <x:c r="P1804" s="71" t="str">
        <x:v>JourneyWeather:114</x:v>
      </x:c>
      <x:c r="Q1804" s="71" t="str">
        <x:v>EN (default / shared)</x:v>
      </x:c>
      <x:c r="R1804" s="71" t="str">
        <x:v>Already clear and direct; suggested wording intentionally keeps the current copy.</x:v>
      </x:c>
      <x:c r="S1804" s="75" t="str">
        <x:v>Not applied — review required</x:v>
      </x:c>
    </x:row>
    <x:row r="1805">
      <x:c r="A1805" s="71" t="str">
        <x:v>MRV-A15DAA2363</x:v>
      </x:c>
      <x:c r="B1805" s="71" t="str">
        <x:v>System</x:v>
      </x:c>
      <x:c r="C1805" s="71" t="str">
        <x:v>Shared recovery / system</x:v>
      </x:c>
      <x:c r="D1805" s="71" t="str">
        <x:v>Shared</x:v>
      </x:c>
      <x:c r="E1805" s="71" t="str">
        <x:v>JourneyWeather</x:v>
      </x:c>
      <x:c r="F1805" s="71" t="str">
        <x:v>Default</x:v>
      </x:c>
      <x:c r="G1805" s="71" t="str">
        <x:v>Label</x:v>
      </x:c>
      <x:c r="H1805" s="71" t="str">
        <x:v>Meteo ↗</x:v>
      </x:c>
      <x:c r="I1805" s="71" t="str">
        <x:v>Meteo ↗</x:v>
      </x:c>
      <x:c r="J1805" s="73"/>
      <x:c r="K1805" s="74" t="str">
        <x:f>IF(J1805="",H1805,IF(J1805=I1805,I1805,J1805))</x:f>
        <x:v>Meteo ↗</x:v>
      </x:c>
      <x:c r="L1805" s="74" t="str">
        <x:f>IF(J1805="","Keep current",IF(J1805=I1805,"Use suggestion","Custom"))</x:f>
        <x:v>Keep current</x:v>
      </x:c>
      <x:c r="M1805" s="71" t="str">
        <x:v>Pending review</x:v>
      </x:c>
      <x:c r="N1805" s="71" t="str">
        <x:v>Normal</x:v>
      </x:c>
      <x:c r="O1805" s="71" t="str">
        <x:v>components/journey-weather.tsx</x:v>
      </x:c>
      <x:c r="P1805" s="71" t="str">
        <x:v>JourneyWeather:114</x:v>
      </x:c>
      <x:c r="Q1805" s="71" t="str">
        <x:v>EN (default / shared)</x:v>
      </x:c>
      <x:c r="R1805" s="71" t="str">
        <x:v>Already clear and direct; suggested wording intentionally keeps the current copy.</x:v>
      </x:c>
      <x:c r="S1805" s="75" t="str">
        <x:v>Not applied — review required</x:v>
      </x:c>
    </x:row>
    <x:row r="1806">
      <x:c r="A1806" s="71" t="str">
        <x:v>MRV-BA1F1488AC</x:v>
      </x:c>
      <x:c r="B1806" s="71" t="str">
        <x:v>Global</x:v>
      </x:c>
      <x:c r="C1806" s="71" t="str">
        <x:v>Footer</x:v>
      </x:c>
      <x:c r="D1806" s="71" t="str">
        <x:v>Shared layout</x:v>
      </x:c>
      <x:c r="E1806" s="71" t="str">
        <x:v>MorroviaFooter</x:v>
      </x:c>
      <x:c r="F1806" s="71" t="str">
        <x:v>Accessibility / input support</x:v>
      </x:c>
      <x:c r="G1806" s="71" t="str">
        <x:v>Accessibility label</x:v>
      </x:c>
      <x:c r="H1806" s="71" t="str">
        <x:v>Morrovia home</x:v>
      </x:c>
      <x:c r="I1806" s="71" t="str">
        <x:v>Morrovia home</x:v>
      </x:c>
      <x:c r="J1806" s="73"/>
      <x:c r="K1806" s="74" t="str">
        <x:f>IF(J1806="",H1806,IF(J1806=I1806,I1806,J1806))</x:f>
        <x:v>Morrovia home</x:v>
      </x:c>
      <x:c r="L1806" s="74" t="str">
        <x:f>IF(J1806="","Keep current",IF(J1806=I1806,"Use suggestion","Custom"))</x:f>
        <x:v>Keep current</x:v>
      </x:c>
      <x:c r="M1806" s="71" t="str">
        <x:v>Pending review</x:v>
      </x:c>
      <x:c r="N1806" s="71" t="str">
        <x:v>Medium</x:v>
      </x:c>
      <x:c r="O1806" s="71" t="str">
        <x:v>components/morrovia-footer.tsx</x:v>
      </x:c>
      <x:c r="P1806" s="71" t="str">
        <x:v>MorroviaFooter:41</x:v>
      </x:c>
      <x:c r="Q1806" s="71" t="str">
        <x:v>EN (default / shared)</x:v>
      </x:c>
      <x:c r="R1806" s="71" t="str">
        <x:v>Already clear and direct; suggested wording intentionally keeps the current copy. Duplicate wording: appears 3 times.</x:v>
      </x:c>
      <x:c r="S1806" s="75" t="str">
        <x:v>Not applied — review required</x:v>
      </x:c>
    </x:row>
    <x:row r="1807">
      <x:c r="A1807" s="71" t="str">
        <x:v>MRV-61C9A0FBD3</x:v>
      </x:c>
      <x:c r="B1807" s="71" t="str">
        <x:v>Global</x:v>
      </x:c>
      <x:c r="C1807" s="71" t="str">
        <x:v>Footer</x:v>
      </x:c>
      <x:c r="D1807" s="71" t="str">
        <x:v>Shared layout</x:v>
      </x:c>
      <x:c r="E1807" s="71" t="str">
        <x:v>MorroviaFooter</x:v>
      </x:c>
      <x:c r="F1807" s="71" t="str">
        <x:v>Accessibility / input support</x:v>
      </x:c>
      <x:c r="G1807" s="71" t="str">
        <x:v>Accessibility label</x:v>
      </x:c>
      <x:c r="H1807" s="71" t="str">
        <x:v>Company and legal information</x:v>
      </x:c>
      <x:c r="I1807" s="71" t="str">
        <x:v>Company and legal information</x:v>
      </x:c>
      <x:c r="J1807" s="73"/>
      <x:c r="K1807" s="74" t="str">
        <x:f>IF(J1807="",H1807,IF(J1807=I1807,I1807,J1807))</x:f>
        <x:v>Company and legal information</x:v>
      </x:c>
      <x:c r="L1807" s="74" t="str">
        <x:f>IF(J1807="","Keep current",IF(J1807=I1807,"Use suggestion","Custom"))</x:f>
        <x:v>Keep current</x:v>
      </x:c>
      <x:c r="M1807" s="71" t="str">
        <x:v>Pending review</x:v>
      </x:c>
      <x:c r="N1807" s="71" t="str">
        <x:v>Medium</x:v>
      </x:c>
      <x:c r="O1807" s="71" t="str">
        <x:v>components/morrovia-footer.tsx</x:v>
      </x:c>
      <x:c r="P1807" s="71" t="str">
        <x:v>MorroviaFooter:43</x:v>
      </x:c>
      <x:c r="Q1807" s="71" t="str">
        <x:v>EN (default / shared)</x:v>
      </x:c>
      <x:c r="R1807" s="71" t="str">
        <x:v>Already clear and direct; suggested wording intentionally keeps the current copy.</x:v>
      </x:c>
      <x:c r="S1807" s="75" t="str">
        <x:v>Not applied — review required</x:v>
      </x:c>
    </x:row>
    <x:row r="1808">
      <x:c r="A1808" s="71" t="str">
        <x:v>MRV-207303CDD3</x:v>
      </x:c>
      <x:c r="B1808" s="71" t="str">
        <x:v>Legal</x:v>
      </x:c>
      <x:c r="C1808" s="71" t="str">
        <x:v>Privacy &amp; consent</x:v>
      </x:c>
      <x:c r="D1808" s="71" t="str">
        <x:v>Consent banner/settings</x:v>
      </x:c>
      <x:c r="E1808" s="71" t="str">
        <x:v>PrivacyConsent</x:v>
      </x:c>
      <x:c r="F1808" s="71" t="str">
        <x:v>Accessibility / input support</x:v>
      </x:c>
      <x:c r="G1808" s="71" t="str">
        <x:v>Accessibility label</x:v>
      </x:c>
      <x:c r="H1808" s="71" t="str">
        <x:v>Analytics privacy choice</x:v>
      </x:c>
      <x:c r="I1808" s="71" t="str">
        <x:v>Analytics privacy choice</x:v>
      </x:c>
      <x:c r="J1808" s="73"/>
      <x:c r="K1808" s="74" t="str">
        <x:f>IF(J1808="",H1808,IF(J1808=I1808,I1808,J1808))</x:f>
        <x:v>Analytics privacy choice</x:v>
      </x:c>
      <x:c r="L1808" s="74" t="str">
        <x:f>IF(J1808="","Keep current",IF(J1808=I1808,"Use suggestion","Custom"))</x:f>
        <x:v>Keep current</x:v>
      </x:c>
      <x:c r="M1808" s="71" t="str">
        <x:v>Pending review</x:v>
      </x:c>
      <x:c r="N1808" s="71" t="str">
        <x:v>High</x:v>
      </x:c>
      <x:c r="O1808" s="71" t="str">
        <x:v>components/privacy-consent.tsx</x:v>
      </x:c>
      <x:c r="P1808" s="71" t="str">
        <x:v>PrivacyConsent:36</x:v>
      </x:c>
      <x:c r="Q1808" s="71" t="str">
        <x:v>EN (default / shared)</x:v>
      </x:c>
      <x:c r="R1808" s="71" t="str">
        <x:v>Already clear and direct; suggested wording intentionally keeps the current copy.</x:v>
      </x:c>
      <x:c r="S1808" s="75" t="str">
        <x:v>Not applied — review required</x:v>
      </x:c>
    </x:row>
    <x:row r="1809">
      <x:c r="A1809" s="71" t="str">
        <x:v>MRV-77A7690F66</x:v>
      </x:c>
      <x:c r="B1809" s="71" t="str">
        <x:v>Legal</x:v>
      </x:c>
      <x:c r="C1809" s="71" t="str">
        <x:v>Privacy &amp; consent</x:v>
      </x:c>
      <x:c r="D1809" s="71" t="str">
        <x:v>Consent banner/settings</x:v>
      </x:c>
      <x:c r="E1809" s="71" t="str">
        <x:v>PrivacyConsent</x:v>
      </x:c>
      <x:c r="F1809" s="71" t="str">
        <x:v>Default</x:v>
      </x:c>
      <x:c r="G1809" s="71" t="str">
        <x:v>Label</x:v>
      </x:c>
      <x:c r="H1809" s="71" t="str">
        <x:v>Choose optional analytics</x:v>
      </x:c>
      <x:c r="I1809" s="71" t="str">
        <x:v>Choose optional analytics</x:v>
      </x:c>
      <x:c r="J1809" s="73"/>
      <x:c r="K1809" s="74" t="str">
        <x:f>IF(J1809="",H1809,IF(J1809=I1809,I1809,J1809))</x:f>
        <x:v>Choose optional analytics</x:v>
      </x:c>
      <x:c r="L1809" s="74" t="str">
        <x:f>IF(J1809="","Keep current",IF(J1809=I1809,"Use suggestion","Custom"))</x:f>
        <x:v>Keep current</x:v>
      </x:c>
      <x:c r="M1809" s="71" t="str">
        <x:v>Pending review</x:v>
      </x:c>
      <x:c r="N1809" s="71" t="str">
        <x:v>Normal</x:v>
      </x:c>
      <x:c r="O1809" s="71" t="str">
        <x:v>components/privacy-consent.tsx</x:v>
      </x:c>
      <x:c r="P1809" s="71" t="str">
        <x:v>PrivacyConsent:38</x:v>
      </x:c>
      <x:c r="Q1809" s="71" t="str">
        <x:v>EN (default / shared)</x:v>
      </x:c>
      <x:c r="R1809" s="71" t="str">
        <x:v>Already clear and direct; suggested wording intentionally keeps the current copy.</x:v>
      </x:c>
      <x:c r="S1809" s="75" t="str">
        <x:v>Not applied — review required</x:v>
      </x:c>
    </x:row>
    <x:row r="1810">
      <x:c r="A1810" s="71" t="str">
        <x:v>MRV-6656E90173</x:v>
      </x:c>
      <x:c r="B1810" s="71" t="str">
        <x:v>Legal</x:v>
      </x:c>
      <x:c r="C1810" s="71" t="str">
        <x:v>Privacy &amp; consent</x:v>
      </x:c>
      <x:c r="D1810" s="71" t="str">
        <x:v>Consent banner/settings</x:v>
      </x:c>
      <x:c r="E1810" s="71" t="str">
        <x:v>PrivacyConsent</x:v>
      </x:c>
      <x:c r="F1810" s="71" t="str">
        <x:v>Default</x:v>
      </x:c>
      <x:c r="G1810" s="71" t="str">
        <x:v>Body copy</x:v>
      </x:c>
      <x:c r="H1810" s="71" t="str">
        <x:v>Morrovia can use analytics to understand what is working. You can continue without it.</x:v>
      </x:c>
      <x:c r="I1810" s="71" t="str">
        <x:v>Morrovia can use analytics to understand what is working. You can continue without it.</x:v>
      </x:c>
      <x:c r="J1810" s="73"/>
      <x:c r="K1810" s="74" t="str">
        <x:f>IF(J1810="",H1810,IF(J1810=I1810,I1810,J1810))</x:f>
        <x:v>Morrovia can use analytics to understand what is working. You can continue without it.</x:v>
      </x:c>
      <x:c r="L1810" s="74" t="str">
        <x:f>IF(J1810="","Keep current",IF(J1810=I1810,"Use suggestion","Custom"))</x:f>
        <x:v>Keep current</x:v>
      </x:c>
      <x:c r="M1810" s="71" t="str">
        <x:v>Pending review</x:v>
      </x:c>
      <x:c r="N1810" s="71" t="str">
        <x:v>Normal</x:v>
      </x:c>
      <x:c r="O1810" s="71" t="str">
        <x:v>components/privacy-consent.tsx</x:v>
      </x:c>
      <x:c r="P1810" s="71" t="str">
        <x:v>PrivacyConsent:39</x:v>
      </x:c>
      <x:c r="Q1810" s="71" t="str">
        <x:v>EN (default / shared)</x:v>
      </x:c>
      <x:c r="R1810" s="71" t="str">
        <x:v>Already clear and direct; suggested wording intentionally keeps the current copy.</x:v>
      </x:c>
      <x:c r="S1810" s="75" t="str">
        <x:v>Not applied — review required</x:v>
      </x:c>
    </x:row>
    <x:row r="1811">
      <x:c r="A1811" s="71" t="str">
        <x:v>MRV-1814DCB999</x:v>
      </x:c>
      <x:c r="B1811" s="71" t="str">
        <x:v>Legal</x:v>
      </x:c>
      <x:c r="C1811" s="71" t="str">
        <x:v>Privacy &amp; consent</x:v>
      </x:c>
      <x:c r="D1811" s="71" t="str">
        <x:v>Consent banner/settings</x:v>
      </x:c>
      <x:c r="E1811" s="71" t="str">
        <x:v>PrivacyConsent</x:v>
      </x:c>
      <x:c r="F1811" s="71" t="str">
        <x:v>Default</x:v>
      </x:c>
      <x:c r="G1811" s="71" t="str">
        <x:v>Label</x:v>
      </x:c>
      <x:c r="H1811" s="71" t="str">
        <x:v>Read the privacy notice</x:v>
      </x:c>
      <x:c r="I1811" s="71" t="str">
        <x:v>Read the privacy notice</x:v>
      </x:c>
      <x:c r="J1811" s="73"/>
      <x:c r="K1811" s="74" t="str">
        <x:f>IF(J1811="",H1811,IF(J1811=I1811,I1811,J1811))</x:f>
        <x:v>Read the privacy notice</x:v>
      </x:c>
      <x:c r="L1811" s="74" t="str">
        <x:f>IF(J1811="","Keep current",IF(J1811=I1811,"Use suggestion","Custom"))</x:f>
        <x:v>Keep current</x:v>
      </x:c>
      <x:c r="M1811" s="71" t="str">
        <x:v>Pending review</x:v>
      </x:c>
      <x:c r="N1811" s="71" t="str">
        <x:v>High</x:v>
      </x:c>
      <x:c r="O1811" s="71" t="str">
        <x:v>components/privacy-consent.tsx</x:v>
      </x:c>
      <x:c r="P1811" s="71" t="str">
        <x:v>PrivacyConsent:40</x:v>
      </x:c>
      <x:c r="Q1811" s="71" t="str">
        <x:v>EN (default / shared)</x:v>
      </x:c>
      <x:c r="R1811" s="71" t="str">
        <x:v>Already clear and direct; suggested wording intentionally keeps the current copy.</x:v>
      </x:c>
      <x:c r="S1811" s="75" t="str">
        <x:v>Not applied — review required</x:v>
      </x:c>
    </x:row>
    <x:row r="1812">
      <x:c r="A1812" s="71" t="str">
        <x:v>MRV-FE675EABA9</x:v>
      </x:c>
      <x:c r="B1812" s="71" t="str">
        <x:v>Legal</x:v>
      </x:c>
      <x:c r="C1812" s="71" t="str">
        <x:v>Privacy &amp; consent</x:v>
      </x:c>
      <x:c r="D1812" s="71" t="str">
        <x:v>Consent banner/settings</x:v>
      </x:c>
      <x:c r="E1812" s="71" t="str">
        <x:v>PrivacyConsent</x:v>
      </x:c>
      <x:c r="F1812" s="71" t="str">
        <x:v>Default</x:v>
      </x:c>
      <x:c r="G1812" s="71" t="str">
        <x:v>CTA / button</x:v>
      </x:c>
      <x:c r="H1812" s="71" t="str">
        <x:v>Continue without analytics</x:v>
      </x:c>
      <x:c r="I1812" s="71" t="str">
        <x:v>Continue without analytics</x:v>
      </x:c>
      <x:c r="J1812" s="73"/>
      <x:c r="K1812" s="74" t="str">
        <x:f>IF(J1812="",H1812,IF(J1812=I1812,I1812,J1812))</x:f>
        <x:v>Continue without analytics</x:v>
      </x:c>
      <x:c r="L1812" s="74" t="str">
        <x:f>IF(J1812="","Keep current",IF(J1812=I1812,"Use suggestion","Custom"))</x:f>
        <x:v>Keep current</x:v>
      </x:c>
      <x:c r="M1812" s="71" t="str">
        <x:v>Pending review</x:v>
      </x:c>
      <x:c r="N1812" s="71" t="str">
        <x:v>Medium</x:v>
      </x:c>
      <x:c r="O1812" s="71" t="str">
        <x:v>components/privacy-consent.tsx</x:v>
      </x:c>
      <x:c r="P1812" s="71" t="str">
        <x:v>PrivacyConsent:43</x:v>
      </x:c>
      <x:c r="Q1812" s="71" t="str">
        <x:v>EN (default / shared)</x:v>
      </x:c>
      <x:c r="R1812" s="71" t="str">
        <x:v>Already clear and direct; suggested wording intentionally keeps the current copy.</x:v>
      </x:c>
      <x:c r="S1812" s="75" t="str">
        <x:v>Not applied — review required</x:v>
      </x:c>
    </x:row>
    <x:row r="1813">
      <x:c r="A1813" s="71" t="str">
        <x:v>MRV-30519207E6</x:v>
      </x:c>
      <x:c r="B1813" s="71" t="str">
        <x:v>System</x:v>
      </x:c>
      <x:c r="C1813" s="71" t="str">
        <x:v>Shared recovery / system</x:v>
      </x:c>
      <x:c r="D1813" s="71" t="str">
        <x:v>Shared</x:v>
      </x:c>
      <x:c r="E1813" s="71" t="str">
        <x:v>buildBookingReadiness</x:v>
      </x:c>
      <x:c r="F1813" s="71" t="str">
        <x:v>Default</x:v>
      </x:c>
      <x:c r="G1813" s="71" t="str">
        <x:v>Tooltip</x:v>
      </x:c>
      <x:c r="H1813" s="71" t="str">
        <x:v>Find a stay in {stop.name}</x:v>
      </x:c>
      <x:c r="I1813" s="71" t="str">
        <x:v>Find a stay in {stop.name}</x:v>
      </x:c>
      <x:c r="J1813" s="73"/>
      <x:c r="K1813" s="74" t="str">
        <x:f>IF(J1813="",H1813,IF(J1813=I1813,I1813,J1813))</x:f>
        <x:v>Find a stay in {stop.name}</x:v>
      </x:c>
      <x:c r="L1813" s="74" t="str">
        <x:f>IF(J1813="","Keep current",IF(J1813=I1813,"Use suggestion","Custom"))</x:f>
        <x:v>Keep current</x:v>
      </x:c>
      <x:c r="M1813" s="71" t="str">
        <x:v>Pending review</x:v>
      </x:c>
      <x:c r="N1813" s="71" t="str">
        <x:v>Normal</x:v>
      </x:c>
      <x:c r="O1813" s="71" t="str">
        <x:v>lib/easyt/booking-readiness.ts</x:v>
      </x:c>
      <x:c r="P1813" s="71" t="str">
        <x:v>buildBookingReadiness:54</x:v>
      </x:c>
      <x:c r="Q1813" s="71" t="str">
        <x:v>EN (default / shared)</x:v>
      </x:c>
      <x:c r="R1813"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13" s="75" t="str">
        <x:v>Not applied — review required</x:v>
      </x:c>
    </x:row>
    <x:row r="1814">
      <x:c r="A1814" s="71" t="str">
        <x:v>MRV-7BB70A529D</x:v>
      </x:c>
      <x:c r="B1814" s="71" t="str">
        <x:v>System</x:v>
      </x:c>
      <x:c r="C1814" s="71" t="str">
        <x:v>Shared recovery / system</x:v>
      </x:c>
      <x:c r="D1814" s="71" t="str">
        <x:v>Shared</x:v>
      </x:c>
      <x:c r="E1814" s="71" t="str">
        <x:v>buildBookingReadiness</x:v>
      </x:c>
      <x:c r="F1814" s="71" t="str">
        <x:v>Default</x:v>
      </x:c>
      <x:c r="G1814" s="71" t="str">
        <x:v>Tooltip</x:v>
      </x:c>
      <x:c r="H1814" s="71" t="str">
        <x:v>Check major activities in {stop.name}</x:v>
      </x:c>
      <x:c r="I1814" s="71" t="str">
        <x:v>Check major activities in {stop.name}</x:v>
      </x:c>
      <x:c r="J1814" s="73"/>
      <x:c r="K1814" s="74" t="str">
        <x:f>IF(J1814="",H1814,IF(J1814=I1814,I1814,J1814))</x:f>
        <x:v>Check major activities in {stop.name}</x:v>
      </x:c>
      <x:c r="L1814" s="74" t="str">
        <x:f>IF(J1814="","Keep current",IF(J1814=I1814,"Use suggestion","Custom"))</x:f>
        <x:v>Keep current</x:v>
      </x:c>
      <x:c r="M1814" s="71" t="str">
        <x:v>Pending review</x:v>
      </x:c>
      <x:c r="N1814" s="71" t="str">
        <x:v>Normal</x:v>
      </x:c>
      <x:c r="O1814" s="71" t="str">
        <x:v>lib/easyt/booking-readiness.ts</x:v>
      </x:c>
      <x:c r="P1814" s="71" t="str">
        <x:v>buildBookingReadiness:63</x:v>
      </x:c>
      <x:c r="Q1814" s="71" t="str">
        <x:v>EN (default / shared)</x:v>
      </x:c>
      <x:c r="R181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14" s="75" t="str">
        <x:v>Not applied — review required</x:v>
      </x:c>
    </x:row>
    <x:row r="1815">
      <x:c r="A1815" s="71" t="str">
        <x:v>MRV-E3EC91B1CB</x:v>
      </x:c>
      <x:c r="B1815" s="71" t="str">
        <x:v>System</x:v>
      </x:c>
      <x:c r="C1815" s="71" t="str">
        <x:v>Shared recovery / system</x:v>
      </x:c>
      <x:c r="D1815" s="71" t="str">
        <x:v>Shared</x:v>
      </x:c>
      <x:c r="E1815" s="71" t="str">
        <x:v>buildBookingReadiness</x:v>
      </x:c>
      <x:c r="F1815" s="71" t="str">
        <x:v>Default</x:v>
      </x:c>
      <x:c r="G1815" s="71" t="str">
        <x:v>Tooltip</x:v>
      </x:c>
      <x:c r="H1815" s="71" t="str">
        <x:v>Check an open-jaw flight</x:v>
      </x:c>
      <x:c r="I1815" s="71" t="str">
        <x:v>Check an open-jaw flight</x:v>
      </x:c>
      <x:c r="J1815" s="73"/>
      <x:c r="K1815" s="74" t="str">
        <x:f>IF(J1815="",H1815,IF(J1815=I1815,I1815,J1815))</x:f>
        <x:v>Check an open-jaw flight</x:v>
      </x:c>
      <x:c r="L1815" s="74" t="str">
        <x:f>IF(J1815="","Keep current",IF(J1815=I1815,"Use suggestion","Custom"))</x:f>
        <x:v>Keep current</x:v>
      </x:c>
      <x:c r="M1815" s="71" t="str">
        <x:v>Pending review</x:v>
      </x:c>
      <x:c r="N1815" s="71" t="str">
        <x:v>Normal</x:v>
      </x:c>
      <x:c r="O1815" s="71" t="str">
        <x:v>lib/easyt/booking-readiness.ts</x:v>
      </x:c>
      <x:c r="P1815" s="71" t="str">
        <x:v>buildBookingReadiness:76</x:v>
      </x:c>
      <x:c r="Q1815" s="71" t="str">
        <x:v>EN (default / shared)</x:v>
      </x:c>
      <x:c r="R1815" s="71" t="str">
        <x:v>Already clear and direct; suggested wording intentionally keeps the current copy.</x:v>
      </x:c>
      <x:c r="S1815" s="75" t="str">
        <x:v>Not applied — review required</x:v>
      </x:c>
    </x:row>
    <x:row r="1816">
      <x:c r="A1816" s="71" t="str">
        <x:v>MRV-A3DC1EF734</x:v>
      </x:c>
      <x:c r="B1816" s="71" t="str">
        <x:v>System</x:v>
      </x:c>
      <x:c r="C1816" s="71" t="str">
        <x:v>Shared recovery / system</x:v>
      </x:c>
      <x:c r="D1816" s="71" t="str">
        <x:v>Shared</x:v>
      </x:c>
      <x:c r="E1816" s="71" t="str">
        <x:v>buildBookingReadiness</x:v>
      </x:c>
      <x:c r="F1816" s="71" t="str">
        <x:v>Default</x:v>
      </x:c>
      <x:c r="G1816" s="71" t="str">
        <x:v>Tooltip</x:v>
      </x:c>
      <x:c r="H1816" s="71" t="str">
        <x:v>Check return flights</x:v>
      </x:c>
      <x:c r="I1816" s="71" t="str">
        <x:v>Check return flights</x:v>
      </x:c>
      <x:c r="J1816" s="73"/>
      <x:c r="K1816" s="74" t="str">
        <x:f>IF(J1816="",H1816,IF(J1816=I1816,I1816,J1816))</x:f>
        <x:v>Check return flights</x:v>
      </x:c>
      <x:c r="L1816" s="74" t="str">
        <x:f>IF(J1816="","Keep current",IF(J1816=I1816,"Use suggestion","Custom"))</x:f>
        <x:v>Keep current</x:v>
      </x:c>
      <x:c r="M1816" s="71" t="str">
        <x:v>Pending review</x:v>
      </x:c>
      <x:c r="N1816" s="71" t="str">
        <x:v>Normal</x:v>
      </x:c>
      <x:c r="O1816" s="71" t="str">
        <x:v>lib/easyt/booking-readiness.ts</x:v>
      </x:c>
      <x:c r="P1816" s="71" t="str">
        <x:v>buildBookingReadiness:76</x:v>
      </x:c>
      <x:c r="Q1816" s="71" t="str">
        <x:v>EN (default / shared)</x:v>
      </x:c>
      <x:c r="R1816" s="71" t="str">
        <x:v>Already clear and direct; suggested wording intentionally keeps the current copy.</x:v>
      </x:c>
      <x:c r="S1816" s="75" t="str">
        <x:v>Not applied — review required</x:v>
      </x:c>
    </x:row>
    <x:row r="1817">
      <x:c r="A1817" s="71" t="str">
        <x:v>MRV-D5E2F1FBC6</x:v>
      </x:c>
      <x:c r="B1817" s="71" t="str">
        <x:v>System</x:v>
      </x:c>
      <x:c r="C1817" s="71" t="str">
        <x:v>Shared recovery / system</x:v>
      </x:c>
      <x:c r="D1817" s="71" t="str">
        <x:v>Shared</x:v>
      </x:c>
      <x:c r="E1817" s="71" t="str">
        <x:v>buildBookingReadiness</x:v>
      </x:c>
      <x:c r="F1817" s="71" t="str">
        <x:v>Default</x:v>
      </x:c>
      <x:c r="G1817" s="71" t="str">
        <x:v>Tooltip</x:v>
      </x:c>
      <x:c r="H1817" s="71" t="str">
        <x:v>Compare car hire{from ? ` from {from.name}` : ""}</x:v>
      </x:c>
      <x:c r="I1817" s="71" t="str">
        <x:v>Compare car hire{from ? ` from {from.name}` : ""}</x:v>
      </x:c>
      <x:c r="J1817" s="73"/>
      <x:c r="K1817" s="74" t="str">
        <x:f>IF(J1817="",H1817,IF(J1817=I1817,I1817,J1817))</x:f>
        <x:v>Compare car hire{from ? ` from {from.name}` : ""}</x:v>
      </x:c>
      <x:c r="L1817" s="74" t="str">
        <x:f>IF(J1817="","Keep current",IF(J1817=I1817,"Use suggestion","Custom"))</x:f>
        <x:v>Keep current</x:v>
      </x:c>
      <x:c r="M1817" s="71" t="str">
        <x:v>Pending review</x:v>
      </x:c>
      <x:c r="N1817" s="71" t="str">
        <x:v>Normal</x:v>
      </x:c>
      <x:c r="O1817" s="71" t="str">
        <x:v>lib/easyt/booking-readiness.ts</x:v>
      </x:c>
      <x:c r="P1817" s="71" t="str">
        <x:v>buildBookingReadiness:90</x:v>
      </x:c>
      <x:c r="Q1817" s="71" t="str">
        <x:v>EN (default / shared)</x:v>
      </x:c>
      <x:c r="R1817" s="71" t="str">
        <x:v>Already clear and direct; suggested wording intentionally keeps the current copy. Dynamic traveller or trip value is represented as a token; user-generated values are excluded.</x:v>
      </x:c>
      <x:c r="S1817" s="75" t="str">
        <x:v>Not applied — review required</x:v>
      </x:c>
    </x:row>
    <x:row r="1818">
      <x:c r="A1818" s="71" t="str">
        <x:v>MRV-3180A0A807</x:v>
      </x:c>
      <x:c r="B1818" s="71" t="str">
        <x:v>System</x:v>
      </x:c>
      <x:c r="C1818" s="71" t="str">
        <x:v>Shared recovery / system</x:v>
      </x:c>
      <x:c r="D1818" s="71" t="str">
        <x:v>Shared</x:v>
      </x:c>
      <x:c r="E1818" s="71" t="str">
        <x:v>buildBookingReadiness</x:v>
      </x:c>
      <x:c r="F1818" s="71" t="str">
        <x:v>Default</x:v>
      </x:c>
      <x:c r="G1818" s="71" t="str">
        <x:v>Tooltip</x:v>
      </x:c>
      <x:c r="H1818" s="71" t="str">
        <x:v>from {from.name}</x:v>
      </x:c>
      <x:c r="I1818" s="71" t="str">
        <x:v>from {from.name}</x:v>
      </x:c>
      <x:c r="J1818" s="73"/>
      <x:c r="K1818" s="74" t="str">
        <x:f>IF(J1818="",H1818,IF(J1818=I1818,I1818,J1818))</x:f>
        <x:v>from {from.name}</x:v>
      </x:c>
      <x:c r="L1818" s="74" t="str">
        <x:f>IF(J1818="","Keep current",IF(J1818=I1818,"Use suggestion","Custom"))</x:f>
        <x:v>Keep current</x:v>
      </x:c>
      <x:c r="M1818" s="71" t="str">
        <x:v>Pending review</x:v>
      </x:c>
      <x:c r="N1818" s="71" t="str">
        <x:v>Normal</x:v>
      </x:c>
      <x:c r="O1818" s="71" t="str">
        <x:v>lib/easyt/booking-readiness.ts</x:v>
      </x:c>
      <x:c r="P1818" s="71" t="str">
        <x:v>buildBookingReadiness:90</x:v>
      </x:c>
      <x:c r="Q1818" s="71" t="str">
        <x:v>EN (default / shared)</x:v>
      </x:c>
      <x:c r="R1818" s="71" t="str">
        <x:v>Already clear and direct; suggested wording intentionally keeps the current copy. Dynamic traveller or trip value is represented as a token; user-generated values are excluded.</x:v>
      </x:c>
      <x:c r="S1818" s="75" t="str">
        <x:v>Not applied — review required</x:v>
      </x:c>
    </x:row>
    <x:row r="1819">
      <x:c r="A1819" s="71" t="str">
        <x:v>MRV-7BC6E53C80</x:v>
      </x:c>
      <x:c r="B1819" s="71" t="str">
        <x:v>System</x:v>
      </x:c>
      <x:c r="C1819" s="71" t="str">
        <x:v>Shared recovery / system</x:v>
      </x:c>
      <x:c r="D1819" s="71" t="str">
        <x:v>Shared</x:v>
      </x:c>
      <x:c r="E1819" s="71" t="str">
        <x:v>buildBookingReadiness</x:v>
      </x:c>
      <x:c r="F1819" s="71" t="str">
        <x:v>Default</x:v>
      </x:c>
      <x:c r="G1819" s="71" t="str">
        <x:v>Tooltip</x:v>
      </x:c>
      <x:c r="H1819" s="71" t="str">
        <x:v>Check {from.name} → {to.name}</x:v>
      </x:c>
      <x:c r="I1819" s="71" t="str">
        <x:v>Check {from.name} → {to.name}</x:v>
      </x:c>
      <x:c r="J1819" s="73"/>
      <x:c r="K1819" s="74" t="str">
        <x:f>IF(J1819="",H1819,IF(J1819=I1819,I1819,J1819))</x:f>
        <x:v>Check {from.name} → {to.name}</x:v>
      </x:c>
      <x:c r="L1819" s="74" t="str">
        <x:f>IF(J1819="","Keep current",IF(J1819=I1819,"Use suggestion","Custom"))</x:f>
        <x:v>Keep current</x:v>
      </x:c>
      <x:c r="M1819" s="71" t="str">
        <x:v>Pending review</x:v>
      </x:c>
      <x:c r="N1819" s="71" t="str">
        <x:v>Normal</x:v>
      </x:c>
      <x:c r="O1819" s="71" t="str">
        <x:v>lib/easyt/booking-readiness.ts</x:v>
      </x:c>
      <x:c r="P1819" s="71" t="str">
        <x:v>buildBookingReadiness:103</x:v>
      </x:c>
      <x:c r="Q1819" s="71" t="str">
        <x:v>EN (default / shared)</x:v>
      </x:c>
      <x:c r="R1819" s="71" t="str">
        <x:v>Already clear and direct; suggested wording intentionally keeps the current copy. Dynamic traveller or trip value is represented as a token; user-generated values are excluded.</x:v>
      </x:c>
      <x:c r="S1819" s="75" t="str">
        <x:v>Not applied — review required</x:v>
      </x:c>
    </x:row>
    <x:row r="1820">
      <x:c r="A1820" s="71" t="str">
        <x:v>MRV-81888A1C7D</x:v>
      </x:c>
      <x:c r="B1820" s="71" t="str">
        <x:v>System</x:v>
      </x:c>
      <x:c r="C1820" s="71" t="str">
        <x:v>Shared recovery / system</x:v>
      </x:c>
      <x:c r="D1820" s="71" t="str">
        <x:v>Shared</x:v>
      </x:c>
      <x:c r="E1820" s="71" t="str">
        <x:v>buildBookingReadiness</x:v>
      </x:c>
      <x:c r="F1820" s="71" t="str">
        <x:v>Default</x:v>
      </x:c>
      <x:c r="G1820" s="71" t="str">
        <x:v>Tooltip</x:v>
      </x:c>
      <x:c r="H1820" s="71" t="str">
        <x:v>Set up trip connectivity</x:v>
      </x:c>
      <x:c r="I1820" s="71" t="str">
        <x:v>Set up trip connectivity</x:v>
      </x:c>
      <x:c r="J1820" s="73"/>
      <x:c r="K1820" s="74" t="str">
        <x:f>IF(J1820="",H1820,IF(J1820=I1820,I1820,J1820))</x:f>
        <x:v>Set up trip connectivity</x:v>
      </x:c>
      <x:c r="L1820" s="74" t="str">
        <x:f>IF(J1820="","Keep current",IF(J1820=I1820,"Use suggestion","Custom"))</x:f>
        <x:v>Keep current</x:v>
      </x:c>
      <x:c r="M1820" s="71" t="str">
        <x:v>Pending review</x:v>
      </x:c>
      <x:c r="N1820" s="71" t="str">
        <x:v>Normal</x:v>
      </x:c>
      <x:c r="O1820" s="71" t="str">
        <x:v>lib/easyt/booking-readiness.ts</x:v>
      </x:c>
      <x:c r="P1820" s="71" t="str">
        <x:v>buildBookingReadiness:114</x:v>
      </x:c>
      <x:c r="Q1820" s="71" t="str">
        <x:v>EN (default / shared)</x:v>
      </x:c>
      <x:c r="R1820" s="71" t="str">
        <x:v>Already clear and direct; suggested wording intentionally keeps the current copy. Terminology watch: ‘trip’ and ‘journey’ both describe the same plan. Terminology watch: ‘stops’, ‘destinations’ and ‘places’ overlap.</x:v>
      </x:c>
      <x:c r="S1820" s="75" t="str">
        <x:v>Not applied — review required</x:v>
      </x:c>
    </x:row>
    <x:row r="1821">
      <x:c r="A1821" s="71" t="str">
        <x:v>MRV-585C15EE49</x:v>
      </x:c>
      <x:c r="B1821" s="71" t="str">
        <x:v>System</x:v>
      </x:c>
      <x:c r="C1821" s="71" t="str">
        <x:v>Shared recovery / system</x:v>
      </x:c>
      <x:c r="D1821" s="71" t="str">
        <x:v>Shared</x:v>
      </x:c>
      <x:c r="E1821" s="71" t="str">
        <x:v>route</x:v>
      </x:c>
      <x:c r="F1821" s="71" t="str">
        <x:v>Default</x:v>
      </x:c>
      <x:c r="G1821" s="71" t="str">
        <x:v>Label</x:v>
      </x:c>
      <x:c r="H1821" s="71" t="str">
        <x:v>{from} → {to}</x:v>
      </x:c>
      <x:c r="I1821" s="71" t="str">
        <x:v>{from} → {to}</x:v>
      </x:c>
      <x:c r="J1821" s="73"/>
      <x:c r="K1821" s="74" t="str">
        <x:f>IF(J1821="",H1821,IF(J1821=I1821,I1821,J1821))</x:f>
        <x:v>{from} → {to}</x:v>
      </x:c>
      <x:c r="L1821" s="74" t="str">
        <x:f>IF(J1821="","Keep current",IF(J1821=I1821,"Use suggestion","Custom"))</x:f>
        <x:v>Keep current</x:v>
      </x:c>
      <x:c r="M1821" s="71" t="str">
        <x:v>Pending review</x:v>
      </x:c>
      <x:c r="N1821" s="71" t="str">
        <x:v>Normal</x:v>
      </x:c>
      <x:c r="O1821" s="71" t="str">
        <x:v>lib/easyt/itinerary-presentation.ts</x:v>
      </x:c>
      <x:c r="P1821" s="71" t="str">
        <x:v>route:16</x:v>
      </x:c>
      <x:c r="Q1821" s="71" t="str">
        <x:v>EN (default / shared)</x:v>
      </x:c>
      <x:c r="R1821" s="71" t="str">
        <x:v>Already clear and direct; suggested wording intentionally keeps the current copy. Duplicate wording: appears 2 times. Dynamic traveller or trip value is represented as a token; user-generated values are excluded.</x:v>
      </x:c>
      <x:c r="S1821" s="75" t="str">
        <x:v>Not applied — review required</x:v>
      </x:c>
    </x:row>
    <x:row r="1822">
      <x:c r="A1822" s="71" t="str">
        <x:v>MRV-A6DDC396F9</x:v>
      </x:c>
      <x:c r="B1822" s="71" t="str">
        <x:v>System</x:v>
      </x:c>
      <x:c r="C1822" s="71" t="str">
        <x:v>Shared recovery / system</x:v>
      </x:c>
      <x:c r="D1822" s="71" t="str">
        <x:v>Shared</x:v>
      </x:c>
      <x:c r="E1822" s="71" t="str">
        <x:v>itineraryNotesForDisplay</x:v>
      </x:c>
      <x:c r="F1822" s="71" t="str">
        <x:v>Default</x:v>
      </x:c>
      <x:c r="G1822" s="71" t="str">
        <x:v>Label</x:v>
      </x:c>
      <x:c r="H1822" s="71" t="str">
        <x:v>estimated door-to-door:</x:v>
      </x:c>
      <x:c r="I1822" s="71" t="str">
        <x:v>estimated door-to-door:</x:v>
      </x:c>
      <x:c r="J1822" s="73"/>
      <x:c r="K1822" s="74" t="str">
        <x:f>IF(J1822="",H1822,IF(J1822=I1822,I1822,J1822))</x:f>
        <x:v>estimated door-to-door:</x:v>
      </x:c>
      <x:c r="L1822" s="74" t="str">
        <x:f>IF(J1822="","Keep current",IF(J1822=I1822,"Use suggestion","Custom"))</x:f>
        <x:v>Keep current</x:v>
      </x:c>
      <x:c r="M1822" s="71" t="str">
        <x:v>Pending review</x:v>
      </x:c>
      <x:c r="N1822" s="71" t="str">
        <x:v>Normal</x:v>
      </x:c>
      <x:c r="O1822" s="71" t="str">
        <x:v>lib/easyt/itinerary-presentation.ts</x:v>
      </x:c>
      <x:c r="P1822" s="71" t="str">
        <x:v>itineraryNotesForDisplay:20</x:v>
      </x:c>
      <x:c r="Q1822" s="71" t="str">
        <x:v>EN (default / shared)</x:v>
      </x:c>
      <x:c r="R1822" s="71" t="str">
        <x:v>Already clear and direct; suggested wording intentionally keeps the current copy.</x:v>
      </x:c>
      <x:c r="S1822" s="75" t="str">
        <x:v>Not applied — review required</x:v>
      </x:c>
    </x:row>
    <x:row r="1823">
      <x:c r="A1823" s="71" t="str">
        <x:v>MRV-A46AD162CD</x:v>
      </x:c>
      <x:c r="B1823" s="71" t="str">
        <x:v>Travel utility</x:v>
      </x:c>
      <x:c r="C1823" s="71" t="str">
        <x:v>Passport</x:v>
      </x:c>
      <x:c r="D1823" s="71" t="str">
        <x:v>Shared: Passport</x:v>
      </x:c>
      <x:c r="E1823" s="71" t="str">
        <x:v>expiryContext</x:v>
      </x:c>
      <x:c r="F1823" s="71" t="str">
        <x:v>Default</x:v>
      </x:c>
      <x:c r="G1823" s="71" t="str">
        <x:v>Body copy</x:v>
      </x:c>
      <x:c r="H1823" s="71" t="str">
        <x:v>Tu perfil guardado indica el mes de caducidad {passportExpiryMonth}. Confirma la validez exigida con la fuente oficial.</x:v>
      </x:c>
      <x:c r="I1823" s="71" t="str">
        <x:v>Tu perfil guardado indica el mes de caducidad {passportExpiryMonth}. Confirma la validez exigida con la fuente oficial.</x:v>
      </x:c>
      <x:c r="J1823" s="73"/>
      <x:c r="K1823" s="74" t="str">
        <x:f>IF(J1823="",H1823,IF(J1823=I1823,I1823,J1823))</x:f>
        <x:v>Tu perfil guardado indica el mes de caducidad {passportExpiryMonth}. Confirma la validez exigida con la fuente oficial.</x:v>
      </x:c>
      <x:c r="L1823" s="74" t="str">
        <x:f>IF(J1823="","Keep current",IF(J1823=I1823,"Use suggestion","Custom"))</x:f>
        <x:v>Keep current</x:v>
      </x:c>
      <x:c r="M1823" s="71" t="str">
        <x:v>Pending review</x:v>
      </x:c>
      <x:c r="N1823" s="71" t="str">
        <x:v>High</x:v>
      </x:c>
      <x:c r="O1823" s="71" t="str">
        <x:v>lib/easyt/passport-presentation.ts</x:v>
      </x:c>
      <x:c r="P1823" s="71" t="str">
        <x:v>expiryContext:28</x:v>
      </x:c>
      <x:c r="Q1823" s="71" t="str">
        <x:v>ES</x:v>
      </x:c>
      <x:c r="R1823" s="71" t="str">
        <x:v>Already clear and direct; suggested wording intentionally keeps the current copy. Dynamic traveller or trip value is represented as a token; user-generated values are excluded.</x:v>
      </x:c>
      <x:c r="S1823" s="75" t="str">
        <x:v>Not applied — review required</x:v>
      </x:c>
    </x:row>
    <x:row r="1824">
      <x:c r="A1824" s="71" t="str">
        <x:v>MRV-2FA5A94CD6</x:v>
      </x:c>
      <x:c r="B1824" s="71" t="str">
        <x:v>Travel utility</x:v>
      </x:c>
      <x:c r="C1824" s="71" t="str">
        <x:v>Passport</x:v>
      </x:c>
      <x:c r="D1824" s="71" t="str">
        <x:v>Shared: Passport</x:v>
      </x:c>
      <x:c r="E1824" s="71" t="str">
        <x:v>expiryContext</x:v>
      </x:c>
      <x:c r="F1824" s="71" t="str">
        <x:v>Default</x:v>
      </x:c>
      <x:c r="G1824" s="71" t="str">
        <x:v>Body copy</x:v>
      </x:c>
      <x:c r="H1824" s="71" t="str">
        <x:v>Your saved profile has expiry month {passportExpiryMonth}. Confirm the required validity with the official source.</x:v>
      </x:c>
      <x:c r="I1824" s="71" t="str">
        <x:v>Your saved profile has expiry month {passportExpiryMonth}. Confirm the required validity with the official source.</x:v>
      </x:c>
      <x:c r="J1824" s="73"/>
      <x:c r="K1824" s="74" t="str">
        <x:f>IF(J1824="",H1824,IF(J1824=I1824,I1824,J1824))</x:f>
        <x:v>Your saved profile has expiry month {passportExpiryMonth}. Confirm the required validity with the official source.</x:v>
      </x:c>
      <x:c r="L1824" s="74" t="str">
        <x:f>IF(J1824="","Keep current",IF(J1824=I1824,"Use suggestion","Custom"))</x:f>
        <x:v>Keep current</x:v>
      </x:c>
      <x:c r="M1824" s="71" t="str">
        <x:v>Pending review</x:v>
      </x:c>
      <x:c r="N1824" s="71" t="str">
        <x:v>High</x:v>
      </x:c>
      <x:c r="O1824" s="71" t="str">
        <x:v>lib/easyt/passport-presentation.ts</x:v>
      </x:c>
      <x:c r="P1824" s="71" t="str">
        <x:v>expiryContext:29</x:v>
      </x:c>
      <x:c r="Q1824" s="71" t="str">
        <x:v>EN</x:v>
      </x:c>
      <x:c r="R1824" s="71" t="str">
        <x:v>Already clear and direct; suggested wording intentionally keeps the current copy. Dynamic traveller or trip value is represented as a token; user-generated values are excluded.</x:v>
      </x:c>
      <x:c r="S1824" s="75" t="str">
        <x:v>Not applied — review required</x:v>
      </x:c>
    </x:row>
    <x:row r="1825">
      <x:c r="A1825" s="71" t="str">
        <x:v>MRV-980D019E54</x:v>
      </x:c>
      <x:c r="B1825" s="71" t="str">
        <x:v>Travel utility</x:v>
      </x:c>
      <x:c r="C1825" s="71" t="str">
        <x:v>Passport</x:v>
      </x:c>
      <x:c r="D1825" s="71" t="str">
        <x:v>Shared: Passport</x:v>
      </x:c>
      <x:c r="E1825" s="71" t="str">
        <x:v>expiryContext</x:v>
      </x:c>
      <x:c r="F1825" s="71" t="str">
        <x:v>Default</x:v>
      </x:c>
      <x:c r="G1825" s="71" t="str">
        <x:v>Body copy</x:v>
      </x:c>
      <x:c r="H1825" s="71" t="str">
        <x:v>Confirma con la fuente oficial la validez exigida después de la fecha de regreso.</x:v>
      </x:c>
      <x:c r="I1825" s="71" t="str">
        <x:v>Confirma con la fuente oficial la validez exigida después de la fecha de regreso.</x:v>
      </x:c>
      <x:c r="J1825" s="73"/>
      <x:c r="K1825" s="74" t="str">
        <x:f>IF(J1825="",H1825,IF(J1825=I1825,I1825,J1825))</x:f>
        <x:v>Confirma con la fuente oficial la validez exigida después de la fecha de regreso.</x:v>
      </x:c>
      <x:c r="L1825" s="74" t="str">
        <x:f>IF(J1825="","Keep current",IF(J1825=I1825,"Use suggestion","Custom"))</x:f>
        <x:v>Keep current</x:v>
      </x:c>
      <x:c r="M1825" s="71" t="str">
        <x:v>Pending review</x:v>
      </x:c>
      <x:c r="N1825" s="71" t="str">
        <x:v>Normal</x:v>
      </x:c>
      <x:c r="O1825" s="71" t="str">
        <x:v>lib/easyt/passport-presentation.ts</x:v>
      </x:c>
      <x:c r="P1825" s="71" t="str">
        <x:v>expiryContext:31</x:v>
      </x:c>
      <x:c r="Q1825" s="71" t="str">
        <x:v>ES</x:v>
      </x:c>
      <x:c r="R1825" s="71" t="str">
        <x:v>Already clear and direct; suggested wording intentionally keeps the current copy.</x:v>
      </x:c>
      <x:c r="S1825" s="75" t="str">
        <x:v>Not applied — review required</x:v>
      </x:c>
    </x:row>
    <x:row r="1826">
      <x:c r="A1826" s="71" t="str">
        <x:v>MRV-3CE29B7AFA</x:v>
      </x:c>
      <x:c r="B1826" s="71" t="str">
        <x:v>Travel utility</x:v>
      </x:c>
      <x:c r="C1826" s="71" t="str">
        <x:v>Passport</x:v>
      </x:c>
      <x:c r="D1826" s="71" t="str">
        <x:v>Shared: Passport</x:v>
      </x:c>
      <x:c r="E1826" s="71" t="str">
        <x:v>expiryContext</x:v>
      </x:c>
      <x:c r="F1826" s="71" t="str">
        <x:v>Default</x:v>
      </x:c>
      <x:c r="G1826" s="71" t="str">
        <x:v>Body copy</x:v>
      </x:c>
      <x:c r="H1826" s="71" t="str">
        <x:v>Confirm required validity beyond your return date with the official source.</x:v>
      </x:c>
      <x:c r="I1826" s="71" t="str">
        <x:v>Confirm required validity beyond your return date with the official source.</x:v>
      </x:c>
      <x:c r="J1826" s="73"/>
      <x:c r="K1826" s="74" t="str">
        <x:f>IF(J1826="",H1826,IF(J1826=I1826,I1826,J1826))</x:f>
        <x:v>Confirm required validity beyond your return date with the official source.</x:v>
      </x:c>
      <x:c r="L1826" s="74" t="str">
        <x:f>IF(J1826="","Keep current",IF(J1826=I1826,"Use suggestion","Custom"))</x:f>
        <x:v>Keep current</x:v>
      </x:c>
      <x:c r="M1826" s="71" t="str">
        <x:v>Pending review</x:v>
      </x:c>
      <x:c r="N1826" s="71" t="str">
        <x:v>Normal</x:v>
      </x:c>
      <x:c r="O1826" s="71" t="str">
        <x:v>lib/easyt/passport-presentation.ts</x:v>
      </x:c>
      <x:c r="P1826" s="71" t="str">
        <x:v>expiryContext:32</x:v>
      </x:c>
      <x:c r="Q1826" s="71" t="str">
        <x:v>EN</x:v>
      </x:c>
      <x:c r="R1826" s="71" t="str">
        <x:v>Already clear and direct; suggested wording intentionally keeps the current copy.</x:v>
      </x:c>
      <x:c r="S1826" s="75" t="str">
        <x:v>Not applied — review required</x:v>
      </x:c>
    </x:row>
    <x:row r="1827">
      <x:c r="A1827" s="71" t="str">
        <x:v>MRV-91FD3BE2F7</x:v>
      </x:c>
      <x:c r="B1827" s="71" t="str">
        <x:v>Planning</x:v>
      </x:c>
      <x:c r="C1827" s="71" t="str">
        <x:v>Planner recommendations</x:v>
      </x:c>
      <x:c r="D1827" s="71" t="str">
        <x:v>Shared planner output</x:v>
      </x:c>
      <x:c r="E1827" s="71" t="str">
        <x:v>systemConfidence</x:v>
      </x:c>
      <x:c r="F1827" s="71" t="str">
        <x:v>Default</x:v>
      </x:c>
      <x:c r="G1827" s="71" t="str">
        <x:v>Body copy</x:v>
      </x:c>
      <x:c r="H1827" s="71" t="str">
        <x:v>Morrovia deterministic repair rule</x:v>
      </x:c>
      <x:c r="I1827" s="71" t="str">
        <x:v>Morrovia deterministic repair rule</x:v>
      </x:c>
      <x:c r="J1827" s="73"/>
      <x:c r="K1827" s="74" t="str">
        <x:f>IF(J1827="",H1827,IF(J1827=I1827,I1827,J1827))</x:f>
        <x:v>Morrovia deterministic repair rule</x:v>
      </x:c>
      <x:c r="L1827" s="74" t="str">
        <x:f>IF(J1827="","Keep current",IF(J1827=I1827,"Use suggestion","Custom"))</x:f>
        <x:v>Keep current</x:v>
      </x:c>
      <x:c r="M1827" s="71" t="str">
        <x:v>Pending review</x:v>
      </x:c>
      <x:c r="N1827" s="71" t="str">
        <x:v>Normal</x:v>
      </x:c>
      <x:c r="O1827" s="71" t="str">
        <x:v>lib/easyt/plan-repair.ts</x:v>
      </x:c>
      <x:c r="P1827" s="71" t="str">
        <x:v>systemConfidence:173</x:v>
      </x:c>
      <x:c r="Q1827" s="71" t="str">
        <x:v>EN (default / shared)</x:v>
      </x:c>
      <x:c r="R1827" s="71" t="str">
        <x:v>Already clear and direct; suggested wording intentionally keeps the current copy.</x:v>
      </x:c>
      <x:c r="S1827" s="75" t="str">
        <x:v>Not applied — review required</x:v>
      </x:c>
    </x:row>
    <x:row r="1828">
      <x:c r="A1828" s="71" t="str">
        <x:v>MRV-9252BBD25D</x:v>
      </x:c>
      <x:c r="B1828" s="71" t="str">
        <x:v>Planning</x:v>
      </x:c>
      <x:c r="C1828" s="71" t="str">
        <x:v>Planner recommendations</x:v>
      </x:c>
      <x:c r="D1828" s="71" t="str">
        <x:v>Shared planner output</x:v>
      </x:c>
      <x:c r="E1828" s="71" t="str">
        <x:v>hardConstraintPreservation</x:v>
      </x:c>
      <x:c r="F1828" s="71" t="str">
        <x:v>Default</x:v>
      </x:c>
      <x:c r="G1828" s="71" t="str">
        <x:v>Body copy</x:v>
      </x:c>
      <x:c r="H1828" s="71" t="str">
        <x:v>required destination {id} was removed</x:v>
      </x:c>
      <x:c r="I1828" s="71" t="str">
        <x:v>required destination {id} was removed</x:v>
      </x:c>
      <x:c r="J1828" s="73"/>
      <x:c r="K1828" s="74" t="str">
        <x:f>IF(J1828="",H1828,IF(J1828=I1828,I1828,J1828))</x:f>
        <x:v>required destination {id} was removed</x:v>
      </x:c>
      <x:c r="L1828" s="74" t="str">
        <x:f>IF(J1828="","Keep current",IF(J1828=I1828,"Use suggestion","Custom"))</x:f>
        <x:v>Keep current</x:v>
      </x:c>
      <x:c r="M1828" s="71" t="str">
        <x:v>Pending review</x:v>
      </x:c>
      <x:c r="N1828" s="71" t="str">
        <x:v>Normal</x:v>
      </x:c>
      <x:c r="O1828" s="71" t="str">
        <x:v>lib/easyt/plan-repair.ts</x:v>
      </x:c>
      <x:c r="P1828" s="71" t="str">
        <x:v>hardConstraintPreservation:256</x:v>
      </x:c>
      <x:c r="Q1828" s="71" t="str">
        <x:v>EN (default / shared)</x:v>
      </x:c>
      <x:c r="R182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28" s="75" t="str">
        <x:v>Not applied — review required</x:v>
      </x:c>
    </x:row>
    <x:row r="1829">
      <x:c r="A1829" s="71" t="str">
        <x:v>MRV-9DF5007055</x:v>
      </x:c>
      <x:c r="B1829" s="71" t="str">
        <x:v>Planning</x:v>
      </x:c>
      <x:c r="C1829" s="71" t="str">
        <x:v>Planner recommendations</x:v>
      </x:c>
      <x:c r="D1829" s="71" t="str">
        <x:v>Shared planner output</x:v>
      </x:c>
      <x:c r="E1829" s="71" t="str">
        <x:v>hardConstraintPreservation</x:v>
      </x:c>
      <x:c r="F1829" s="71" t="str">
        <x:v>Default</x:v>
      </x:c>
      <x:c r="G1829" s="71" t="str">
        <x:v>Label</x:v>
      </x:c>
      <x:c r="H1829" s="71" t="str">
        <x:v>fixed start gateway changed</x:v>
      </x:c>
      <x:c r="I1829" s="71" t="str">
        <x:v>fixed start gateway changed</x:v>
      </x:c>
      <x:c r="J1829" s="73"/>
      <x:c r="K1829" s="74" t="str">
        <x:f>IF(J1829="",H1829,IF(J1829=I1829,I1829,J1829))</x:f>
        <x:v>fixed start gateway changed</x:v>
      </x:c>
      <x:c r="L1829" s="74" t="str">
        <x:f>IF(J1829="","Keep current",IF(J1829=I1829,"Use suggestion","Custom"))</x:f>
        <x:v>Keep current</x:v>
      </x:c>
      <x:c r="M1829" s="71" t="str">
        <x:v>Pending review</x:v>
      </x:c>
      <x:c r="N1829" s="71" t="str">
        <x:v>Normal</x:v>
      </x:c>
      <x:c r="O1829" s="71" t="str">
        <x:v>lib/easyt/plan-repair.ts</x:v>
      </x:c>
      <x:c r="P1829" s="71" t="str">
        <x:v>hardConstraintPreservation:258</x:v>
      </x:c>
      <x:c r="Q1829" s="71" t="str">
        <x:v>EN (default / shared)</x:v>
      </x:c>
      <x:c r="R1829" s="71" t="str">
        <x:v>Already clear and direct; suggested wording intentionally keeps the current copy.</x:v>
      </x:c>
      <x:c r="S1829" s="75" t="str">
        <x:v>Not applied — review required</x:v>
      </x:c>
    </x:row>
    <x:row r="1830">
      <x:c r="A1830" s="71" t="str">
        <x:v>MRV-52DD621ADF</x:v>
      </x:c>
      <x:c r="B1830" s="71" t="str">
        <x:v>Planning</x:v>
      </x:c>
      <x:c r="C1830" s="71" t="str">
        <x:v>Planner recommendations</x:v>
      </x:c>
      <x:c r="D1830" s="71" t="str">
        <x:v>Shared planner output</x:v>
      </x:c>
      <x:c r="E1830" s="71" t="str">
        <x:v>hardConstraintPreservation</x:v>
      </x:c>
      <x:c r="F1830" s="71" t="str">
        <x:v>Default</x:v>
      </x:c>
      <x:c r="G1830" s="71" t="str">
        <x:v>Body copy</x:v>
      </x:c>
      <x:c r="H1830" s="71" t="str">
        <x:v>fixed departure gateway changed</x:v>
      </x:c>
      <x:c r="I1830" s="71" t="str">
        <x:v>fixed departure gateway changed</x:v>
      </x:c>
      <x:c r="J1830" s="73"/>
      <x:c r="K1830" s="74" t="str">
        <x:f>IF(J1830="",H1830,IF(J1830=I1830,I1830,J1830))</x:f>
        <x:v>fixed departure gateway changed</x:v>
      </x:c>
      <x:c r="L1830" s="74" t="str">
        <x:f>IF(J1830="","Keep current",IF(J1830=I1830,"Use suggestion","Custom"))</x:f>
        <x:v>Keep current</x:v>
      </x:c>
      <x:c r="M1830" s="71" t="str">
        <x:v>Pending review</x:v>
      </x:c>
      <x:c r="N1830" s="71" t="str">
        <x:v>Normal</x:v>
      </x:c>
      <x:c r="O1830" s="71" t="str">
        <x:v>lib/easyt/plan-repair.ts</x:v>
      </x:c>
      <x:c r="P1830" s="71" t="str">
        <x:v>hardConstraintPreservation:259</x:v>
      </x:c>
      <x:c r="Q1830" s="71" t="str">
        <x:v>EN (default / shared)</x:v>
      </x:c>
      <x:c r="R1830" s="71" t="str">
        <x:v>Already clear and direct; suggested wording intentionally keeps the current copy.</x:v>
      </x:c>
      <x:c r="S1830" s="75" t="str">
        <x:v>Not applied — review required</x:v>
      </x:c>
    </x:row>
    <x:row r="1831">
      <x:c r="A1831" s="71" t="str">
        <x:v>MRV-096EC7A7BD</x:v>
      </x:c>
      <x:c r="B1831" s="71" t="str">
        <x:v>Planning</x:v>
      </x:c>
      <x:c r="C1831" s="71" t="str">
        <x:v>Planner recommendations</x:v>
      </x:c>
      <x:c r="D1831" s="71" t="str">
        <x:v>Shared planner output</x:v>
      </x:c>
      <x:c r="E1831" s="71" t="str">
        <x:v>hardConstraintPreservation</x:v>
      </x:c>
      <x:c r="F1831" s="71" t="str">
        <x:v>Default</x:v>
      </x:c>
      <x:c r="G1831" s="71" t="str">
        <x:v>Body copy</x:v>
      </x:c>
      <x:c r="H1831" s="71" t="str">
        <x:v>fixed nights changed for {id}</x:v>
      </x:c>
      <x:c r="I1831" s="71" t="str">
        <x:v>fixed nights changed for {id}</x:v>
      </x:c>
      <x:c r="J1831" s="73"/>
      <x:c r="K1831" s="74" t="str">
        <x:f>IF(J1831="",H1831,IF(J1831=I1831,I1831,J1831))</x:f>
        <x:v>fixed nights changed for {id}</x:v>
      </x:c>
      <x:c r="L1831" s="74" t="str">
        <x:f>IF(J1831="","Keep current",IF(J1831=I1831,"Use suggestion","Custom"))</x:f>
        <x:v>Keep current</x:v>
      </x:c>
      <x:c r="M1831" s="71" t="str">
        <x:v>Pending review</x:v>
      </x:c>
      <x:c r="N1831" s="71" t="str">
        <x:v>Normal</x:v>
      </x:c>
      <x:c r="O1831" s="71" t="str">
        <x:v>lib/easyt/plan-repair.ts</x:v>
      </x:c>
      <x:c r="P1831" s="71" t="str">
        <x:v>hardConstraintPreservation:261</x:v>
      </x:c>
      <x:c r="Q1831" s="71" t="str">
        <x:v>EN (default / shared)</x:v>
      </x:c>
      <x:c r="R1831" s="71" t="str">
        <x:v>Already clear and direct; suggested wording intentionally keeps the current copy. Dynamic traveller or trip value is represented as a token; user-generated values are excluded.</x:v>
      </x:c>
      <x:c r="S1831" s="75" t="str">
        <x:v>Not applied — review required</x:v>
      </x:c>
    </x:row>
    <x:row r="1832">
      <x:c r="A1832" s="71" t="str">
        <x:v>MRV-83E9C4A53C</x:v>
      </x:c>
      <x:c r="B1832" s="71" t="str">
        <x:v>Planning</x:v>
      </x:c>
      <x:c r="C1832" s="71" t="str">
        <x:v>Planner recommendations</x:v>
      </x:c>
      <x:c r="D1832" s="71" t="str">
        <x:v>Shared planner output</x:v>
      </x:c>
      <x:c r="E1832" s="71" t="str">
        <x:v>hardConstraintPreservation</x:v>
      </x:c>
      <x:c r="F1832" s="71" t="str">
        <x:v>Default</x:v>
      </x:c>
      <x:c r="G1832" s="71" t="str">
        <x:v>Body copy</x:v>
      </x:c>
      <x:c r="H1832" s="71" t="str">
        <x:v>fixed calendar fields changed for {id}</x:v>
      </x:c>
      <x:c r="I1832" s="71" t="str">
        <x:v>fixed calendar fields changed for {id}</x:v>
      </x:c>
      <x:c r="J1832" s="73"/>
      <x:c r="K1832" s="74" t="str">
        <x:f>IF(J1832="",H1832,IF(J1832=I1832,I1832,J1832))</x:f>
        <x:v>fixed calendar fields changed for {id}</x:v>
      </x:c>
      <x:c r="L1832" s="74" t="str">
        <x:f>IF(J1832="","Keep current",IF(J1832=I1832,"Use suggestion","Custom"))</x:f>
        <x:v>Keep current</x:v>
      </x:c>
      <x:c r="M1832" s="71" t="str">
        <x:v>Pending review</x:v>
      </x:c>
      <x:c r="N1832" s="71" t="str">
        <x:v>Normal</x:v>
      </x:c>
      <x:c r="O1832" s="71" t="str">
        <x:v>lib/easyt/plan-repair.ts</x:v>
      </x:c>
      <x:c r="P1832" s="71" t="str">
        <x:v>hardConstraintPreservation:265</x:v>
      </x:c>
      <x:c r="Q1832" s="71" t="str">
        <x:v>EN (default / shared)</x:v>
      </x:c>
      <x:c r="R1832" s="71" t="str">
        <x:v>Already clear and direct; suggested wording intentionally keeps the current copy. Dynamic traveller or trip value is represented as a token; user-generated values are excluded.</x:v>
      </x:c>
      <x:c r="S1832" s="75" t="str">
        <x:v>Not applied — review required</x:v>
      </x:c>
    </x:row>
    <x:row r="1833">
      <x:c r="A1833" s="71" t="str">
        <x:v>MRV-E0F8E264D2</x:v>
      </x:c>
      <x:c r="B1833" s="71" t="str">
        <x:v>Planning</x:v>
      </x:c>
      <x:c r="C1833" s="71" t="str">
        <x:v>Planner recommendations</x:v>
      </x:c>
      <x:c r="D1833" s="71" t="str">
        <x:v>Shared planner output</x:v>
      </x:c>
      <x:c r="E1833" s="71" t="str">
        <x:v>hardConstraintPreservation</x:v>
      </x:c>
      <x:c r="F1833" s="71" t="str">
        <x:v>Default</x:v>
      </x:c>
      <x:c r="G1833" s="71" t="str">
        <x:v>Label</x:v>
      </x:c>
      <x:c r="H1833" s="71" t="str">
        <x:v>fixed trip dates changed</x:v>
      </x:c>
      <x:c r="I1833" s="71" t="str">
        <x:v>fixed trip dates changed</x:v>
      </x:c>
      <x:c r="J1833" s="73"/>
      <x:c r="K1833" s="74" t="str">
        <x:f>IF(J1833="",H1833,IF(J1833=I1833,I1833,J1833))</x:f>
        <x:v>fixed trip dates changed</x:v>
      </x:c>
      <x:c r="L1833" s="74" t="str">
        <x:f>IF(J1833="","Keep current",IF(J1833=I1833,"Use suggestion","Custom"))</x:f>
        <x:v>Keep current</x:v>
      </x:c>
      <x:c r="M1833" s="71" t="str">
        <x:v>Pending review</x:v>
      </x:c>
      <x:c r="N1833" s="71" t="str">
        <x:v>Normal</x:v>
      </x:c>
      <x:c r="O1833" s="71" t="str">
        <x:v>lib/easyt/plan-repair.ts</x:v>
      </x:c>
      <x:c r="P1833" s="71" t="str">
        <x:v>hardConstraintPreservation:267</x:v>
      </x:c>
      <x:c r="Q1833" s="71" t="str">
        <x:v>EN (default / shared)</x:v>
      </x:c>
      <x:c r="R1833" s="71" t="str">
        <x:v>Already clear and direct; suggested wording intentionally keeps the current copy. Terminology watch: ‘trip’ and ‘journey’ both describe the same plan. Terminology watch: ‘stops’, ‘destinations’ and ‘places’ overlap.</x:v>
      </x:c>
      <x:c r="S1833" s="75" t="str">
        <x:v>Not applied — review required</x:v>
      </x:c>
    </x:row>
    <x:row r="1834">
      <x:c r="A1834" s="71" t="str">
        <x:v>MRV-A493291872</x:v>
      </x:c>
      <x:c r="B1834" s="71" t="str">
        <x:v>Planning</x:v>
      </x:c>
      <x:c r="C1834" s="71" t="str">
        <x:v>Planner recommendations</x:v>
      </x:c>
      <x:c r="D1834" s="71" t="str">
        <x:v>Shared planner output</x:v>
      </x:c>
      <x:c r="E1834" s="71" t="str">
        <x:v>hardConstraintPreservation</x:v>
      </x:c>
      <x:c r="F1834" s="71" t="str">
        <x:v>Default</x:v>
      </x:c>
      <x:c r="G1834" s="71" t="str">
        <x:v>Label</x:v>
      </x:c>
      <x:c r="H1834" s="71" t="str">
        <x:v>schedule locks changed</x:v>
      </x:c>
      <x:c r="I1834" s="71" t="str">
        <x:v>schedule locks changed</x:v>
      </x:c>
      <x:c r="J1834" s="73"/>
      <x:c r="K1834" s="74" t="str">
        <x:f>IF(J1834="",H1834,IF(J1834=I1834,I1834,J1834))</x:f>
        <x:v>schedule locks changed</x:v>
      </x:c>
      <x:c r="L1834" s="74" t="str">
        <x:f>IF(J1834="","Keep current",IF(J1834=I1834,"Use suggestion","Custom"))</x:f>
        <x:v>Keep current</x:v>
      </x:c>
      <x:c r="M1834" s="71" t="str">
        <x:v>Pending review</x:v>
      </x:c>
      <x:c r="N1834" s="71" t="str">
        <x:v>Normal</x:v>
      </x:c>
      <x:c r="O1834" s="71" t="str">
        <x:v>lib/easyt/plan-repair.ts</x:v>
      </x:c>
      <x:c r="P1834" s="71" t="str">
        <x:v>hardConstraintPreservation:268</x:v>
      </x:c>
      <x:c r="Q1834" s="71" t="str">
        <x:v>EN (default / shared)</x:v>
      </x:c>
      <x:c r="R1834" s="71" t="str">
        <x:v>Already clear and direct; suggested wording intentionally keeps the current copy.</x:v>
      </x:c>
      <x:c r="S1834" s="75" t="str">
        <x:v>Not applied — review required</x:v>
      </x:c>
    </x:row>
    <x:row r="1835">
      <x:c r="A1835" s="71" t="str">
        <x:v>MRV-C137C0BDC1</x:v>
      </x:c>
      <x:c r="B1835" s="71" t="str">
        <x:v>Planning</x:v>
      </x:c>
      <x:c r="C1835" s="71" t="str">
        <x:v>Planner recommendations</x:v>
      </x:c>
      <x:c r="D1835" s="71" t="str">
        <x:v>Shared planner output</x:v>
      </x:c>
      <x:c r="E1835" s="71" t="str">
        <x:v>hardConstraintPreservation</x:v>
      </x:c>
      <x:c r="F1835" s="71" t="str">
        <x:v>Default</x:v>
      </x:c>
      <x:c r="G1835" s="71" t="str">
        <x:v>Body copy</x:v>
      </x:c>
      <x:c r="H1835" s="71" t="str">
        <x:v>hard route constraints changed</x:v>
      </x:c>
      <x:c r="I1835" s="71" t="str">
        <x:v>hard route constraints changed</x:v>
      </x:c>
      <x:c r="J1835" s="73"/>
      <x:c r="K1835" s="74" t="str">
        <x:f>IF(J1835="",H1835,IF(J1835=I1835,I1835,J1835))</x:f>
        <x:v>hard route constraints changed</x:v>
      </x:c>
      <x:c r="L1835" s="74" t="str">
        <x:f>IF(J1835="","Keep current",IF(J1835=I1835,"Use suggestion","Custom"))</x:f>
        <x:v>Keep current</x:v>
      </x:c>
      <x:c r="M1835" s="71" t="str">
        <x:v>Pending review</x:v>
      </x:c>
      <x:c r="N1835" s="71" t="str">
        <x:v>Normal</x:v>
      </x:c>
      <x:c r="O1835" s="71" t="str">
        <x:v>lib/easyt/plan-repair.ts</x:v>
      </x:c>
      <x:c r="P1835" s="71" t="str">
        <x:v>hardConstraintPreservation:269</x:v>
      </x:c>
      <x:c r="Q1835" s="71" t="str">
        <x:v>EN (default / shared)</x:v>
      </x:c>
      <x:c r="R1835" s="71" t="str">
        <x:v>Already clear and direct; suggested wording intentionally keeps the current copy.</x:v>
      </x:c>
      <x:c r="S1835" s="75" t="str">
        <x:v>Not applied — review required</x:v>
      </x:c>
    </x:row>
    <x:row r="1836">
      <x:c r="A1836" s="71" t="str">
        <x:v>MRV-2FCBD07A5B</x:v>
      </x:c>
      <x:c r="B1836" s="71" t="str">
        <x:v>Planning</x:v>
      </x:c>
      <x:c r="C1836" s="71" t="str">
        <x:v>Planner recommendations</x:v>
      </x:c>
      <x:c r="D1836" s="71" t="str">
        <x:v>Shared planner output</x:v>
      </x:c>
      <x:c r="E1836" s="71" t="str">
        <x:v>hardConstraintPreservation</x:v>
      </x:c>
      <x:c r="F1836" s="71" t="str">
        <x:v>Default</x:v>
      </x:c>
      <x:c r="G1836" s="71" t="str">
        <x:v>Body copy</x:v>
      </x:c>
      <x:c r="H1836" s="71" t="str">
        <x:v>a fixed commitment route was reordered</x:v>
      </x:c>
      <x:c r="I1836" s="71" t="str">
        <x:v>a fixed commitment route was reordered</x:v>
      </x:c>
      <x:c r="J1836" s="73"/>
      <x:c r="K1836" s="74" t="str">
        <x:f>IF(J1836="",H1836,IF(J1836=I1836,I1836,J1836))</x:f>
        <x:v>a fixed commitment route was reordered</x:v>
      </x:c>
      <x:c r="L1836" s="74" t="str">
        <x:f>IF(J1836="","Keep current",IF(J1836=I1836,"Use suggestion","Custom"))</x:f>
        <x:v>Keep current</x:v>
      </x:c>
      <x:c r="M1836" s="71" t="str">
        <x:v>Pending review</x:v>
      </x:c>
      <x:c r="N1836" s="71" t="str">
        <x:v>Normal</x:v>
      </x:c>
      <x:c r="O1836" s="71" t="str">
        <x:v>lib/easyt/plan-repair.ts</x:v>
      </x:c>
      <x:c r="P1836" s="71" t="str">
        <x:v>hardConstraintPreservation:272</x:v>
      </x:c>
      <x:c r="Q1836" s="71" t="str">
        <x:v>EN (default / shared)</x:v>
      </x:c>
      <x:c r="R1836" s="71" t="str">
        <x:v>Already clear and direct; suggested wording intentionally keeps the current copy.</x:v>
      </x:c>
      <x:c r="S1836" s="75" t="str">
        <x:v>Not applied — review required</x:v>
      </x:c>
    </x:row>
    <x:row r="1837">
      <x:c r="A1837" s="71" t="str">
        <x:v>MRV-F6F5B9FE50</x:v>
      </x:c>
      <x:c r="B1837" s="71" t="str">
        <x:v>Planning</x:v>
      </x:c>
      <x:c r="C1837" s="71" t="str">
        <x:v>Planner recommendations</x:v>
      </x:c>
      <x:c r="D1837" s="71" t="str">
        <x:v>Shared planner output</x:v>
      </x:c>
      <x:c r="E1837" s="71" t="str">
        <x:v>preservedConstraintLabels</x:v>
      </x:c>
      <x:c r="F1837" s="71" t="str">
        <x:v>Default</x:v>
      </x:c>
      <x:c r="G1837" s="71" t="str">
        <x:v>Body copy</x:v>
      </x:c>
      <x:c r="H1837" s="71" t="str">
        <x:v>required/must-visit stops ({snapshot.requiredPresentStopIds.join(", ")})</x:v>
      </x:c>
      <x:c r="I1837" s="71" t="str">
        <x:v>required/must-visit stops ({snapshot.requiredPresentStopIds.join(", ")})</x:v>
      </x:c>
      <x:c r="J1837" s="73"/>
      <x:c r="K1837" s="74" t="str">
        <x:f>IF(J1837="",H1837,IF(J1837=I1837,I1837,J1837))</x:f>
        <x:v>required/must-visit stops ({snapshot.requiredPresentStopIds.join(", ")})</x:v>
      </x:c>
      <x:c r="L1837" s="74" t="str">
        <x:f>IF(J1837="","Keep current",IF(J1837=I1837,"Use suggestion","Custom"))</x:f>
        <x:v>Keep current</x:v>
      </x:c>
      <x:c r="M1837" s="71" t="str">
        <x:v>Pending review</x:v>
      </x:c>
      <x:c r="N1837" s="71" t="str">
        <x:v>Normal</x:v>
      </x:c>
      <x:c r="O1837" s="71" t="str">
        <x:v>lib/easyt/plan-repair.ts</x:v>
      </x:c>
      <x:c r="P1837" s="71" t="str">
        <x:v>preservedConstraintLabels:279</x:v>
      </x:c>
      <x:c r="Q1837" s="71" t="str">
        <x:v>EN (default / shared)</x:v>
      </x:c>
      <x:c r="R1837"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37" s="75" t="str">
        <x:v>Not applied — review required</x:v>
      </x:c>
    </x:row>
    <x:row r="1838">
      <x:c r="A1838" s="71" t="str">
        <x:v>MRV-D14C78391D</x:v>
      </x:c>
      <x:c r="B1838" s="71" t="str">
        <x:v>Planning</x:v>
      </x:c>
      <x:c r="C1838" s="71" t="str">
        <x:v>Planner recommendations</x:v>
      </x:c>
      <x:c r="D1838" s="71" t="str">
        <x:v>Shared planner output</x:v>
      </x:c>
      <x:c r="E1838" s="71" t="str">
        <x:v>preservedConstraintLabels</x:v>
      </x:c>
      <x:c r="F1838" s="71" t="str">
        <x:v>Default</x:v>
      </x:c>
      <x:c r="G1838" s="71" t="str">
        <x:v>Body copy</x:v>
      </x:c>
      <x:c r="H1838" s="71" t="str">
        <x:v>fixed start gateway ({snapshot.fixedStartStopId})</x:v>
      </x:c>
      <x:c r="I1838" s="71" t="str">
        <x:v>fixed start gateway ({snapshot.fixedStartStopId})</x:v>
      </x:c>
      <x:c r="J1838" s="73"/>
      <x:c r="K1838" s="74" t="str">
        <x:f>IF(J1838="",H1838,IF(J1838=I1838,I1838,J1838))</x:f>
        <x:v>fixed start gateway ({snapshot.fixedStartStopId})</x:v>
      </x:c>
      <x:c r="L1838" s="74" t="str">
        <x:f>IF(J1838="","Keep current",IF(J1838=I1838,"Use suggestion","Custom"))</x:f>
        <x:v>Keep current</x:v>
      </x:c>
      <x:c r="M1838" s="71" t="str">
        <x:v>Pending review</x:v>
      </x:c>
      <x:c r="N1838" s="71" t="str">
        <x:v>Normal</x:v>
      </x:c>
      <x:c r="O1838" s="71" t="str">
        <x:v>lib/easyt/plan-repair.ts</x:v>
      </x:c>
      <x:c r="P1838" s="71" t="str">
        <x:v>preservedConstraintLabels:280</x:v>
      </x:c>
      <x:c r="Q1838" s="71" t="str">
        <x:v>EN (default / shared)</x:v>
      </x:c>
      <x:c r="R1838" s="71" t="str">
        <x:v>Already clear and direct; suggested wording intentionally keeps the current copy. Dynamic traveller or trip value is represented as a token; user-generated values are excluded.</x:v>
      </x:c>
      <x:c r="S1838" s="75" t="str">
        <x:v>Not applied — review required</x:v>
      </x:c>
    </x:row>
    <x:row r="1839">
      <x:c r="A1839" s="71" t="str">
        <x:v>MRV-29D2F46C50</x:v>
      </x:c>
      <x:c r="B1839" s="71" t="str">
        <x:v>Planning</x:v>
      </x:c>
      <x:c r="C1839" s="71" t="str">
        <x:v>Planner recommendations</x:v>
      </x:c>
      <x:c r="D1839" s="71" t="str">
        <x:v>Shared planner output</x:v>
      </x:c>
      <x:c r="E1839" s="71" t="str">
        <x:v>preservedConstraintLabels</x:v>
      </x:c>
      <x:c r="F1839" s="71" t="str">
        <x:v>Default</x:v>
      </x:c>
      <x:c r="G1839" s="71" t="str">
        <x:v>Body copy</x:v>
      </x:c>
      <x:c r="H1839" s="71" t="str">
        <x:v>fixed departure gateway ({snapshot.fixedEndStopId})</x:v>
      </x:c>
      <x:c r="I1839" s="71" t="str">
        <x:v>fixed departure gateway ({snapshot.fixedEndStopId})</x:v>
      </x:c>
      <x:c r="J1839" s="73"/>
      <x:c r="K1839" s="74" t="str">
        <x:f>IF(J1839="",H1839,IF(J1839=I1839,I1839,J1839))</x:f>
        <x:v>fixed departure gateway ({snapshot.fixedEndStopId})</x:v>
      </x:c>
      <x:c r="L1839" s="74" t="str">
        <x:f>IF(J1839="","Keep current",IF(J1839=I1839,"Use suggestion","Custom"))</x:f>
        <x:v>Keep current</x:v>
      </x:c>
      <x:c r="M1839" s="71" t="str">
        <x:v>Pending review</x:v>
      </x:c>
      <x:c r="N1839" s="71" t="str">
        <x:v>Normal</x:v>
      </x:c>
      <x:c r="O1839" s="71" t="str">
        <x:v>lib/easyt/plan-repair.ts</x:v>
      </x:c>
      <x:c r="P1839" s="71" t="str">
        <x:v>preservedConstraintLabels:281</x:v>
      </x:c>
      <x:c r="Q1839" s="71" t="str">
        <x:v>EN (default / shared)</x:v>
      </x:c>
      <x:c r="R1839" s="71" t="str">
        <x:v>Already clear and direct; suggested wording intentionally keeps the current copy. Dynamic traveller or trip value is represented as a token; user-generated values are excluded.</x:v>
      </x:c>
      <x:c r="S1839" s="75" t="str">
        <x:v>Not applied — review required</x:v>
      </x:c>
    </x:row>
    <x:row r="1840">
      <x:c r="A1840" s="71" t="str">
        <x:v>MRV-3D062D3B94</x:v>
      </x:c>
      <x:c r="B1840" s="71" t="str">
        <x:v>Planning</x:v>
      </x:c>
      <x:c r="C1840" s="71" t="str">
        <x:v>Planner recommendations</x:v>
      </x:c>
      <x:c r="D1840" s="71" t="str">
        <x:v>Shared planner output</x:v>
      </x:c>
      <x:c r="E1840" s="71" t="str">
        <x:v>preservedConstraintLabels</x:v>
      </x:c>
      <x:c r="F1840" s="71" t="str">
        <x:v>Default</x:v>
      </x:c>
      <x:c r="G1840" s="71" t="str">
        <x:v>Body copy</x:v>
      </x:c>
      <x:c r="H1840" s="71" t="str">
        <x:v>fixed-night stays ({Object.keys(snapshot.fixedNights).join(", ")})</x:v>
      </x:c>
      <x:c r="I1840" s="71" t="str">
        <x:v>fixed-night stays ({Object.keys(snapshot.fixedNights).join(", ")})</x:v>
      </x:c>
      <x:c r="J1840" s="73"/>
      <x:c r="K1840" s="74" t="str">
        <x:f>IF(J1840="",H1840,IF(J1840=I1840,I1840,J1840))</x:f>
        <x:v>fixed-night stays ({Object.keys(snapshot.fixedNights).join(", ")})</x:v>
      </x:c>
      <x:c r="L1840" s="74" t="str">
        <x:f>IF(J1840="","Keep current",IF(J1840=I1840,"Use suggestion","Custom"))</x:f>
        <x:v>Keep current</x:v>
      </x:c>
      <x:c r="M1840" s="71" t="str">
        <x:v>Pending review</x:v>
      </x:c>
      <x:c r="N1840" s="71" t="str">
        <x:v>Normal</x:v>
      </x:c>
      <x:c r="O1840" s="71" t="str">
        <x:v>lib/easyt/plan-repair.ts</x:v>
      </x:c>
      <x:c r="P1840" s="71" t="str">
        <x:v>preservedConstraintLabels:282</x:v>
      </x:c>
      <x:c r="Q1840" s="71" t="str">
        <x:v>EN (default / shared)</x:v>
      </x:c>
      <x:c r="R1840" s="71" t="str">
        <x:v>Already clear and direct; suggested wording intentionally keeps the current copy. Dynamic traveller or trip value is represented as a token; user-generated values are excluded.</x:v>
      </x:c>
      <x:c r="S1840" s="75" t="str">
        <x:v>Not applied — review required</x:v>
      </x:c>
    </x:row>
    <x:row r="1841">
      <x:c r="A1841" s="71" t="str">
        <x:v>MRV-82BFE4696C</x:v>
      </x:c>
      <x:c r="B1841" s="71" t="str">
        <x:v>Planning</x:v>
      </x:c>
      <x:c r="C1841" s="71" t="str">
        <x:v>Planner recommendations</x:v>
      </x:c>
      <x:c r="D1841" s="71" t="str">
        <x:v>Shared planner output</x:v>
      </x:c>
      <x:c r="E1841" s="71" t="str">
        <x:v>preservedConstraintLabels</x:v>
      </x:c>
      <x:c r="F1841" s="71" t="str">
        <x:v>Default</x:v>
      </x:c>
      <x:c r="G1841" s="71" t="str">
        <x:v>Label</x:v>
      </x:c>
      <x:c r="H1841" s="71" t="str">
        <x:v>fixed trip and stop dates</x:v>
      </x:c>
      <x:c r="I1841" s="71" t="str">
        <x:v>fixed trip and stop dates</x:v>
      </x:c>
      <x:c r="J1841" s="73"/>
      <x:c r="K1841" s="74" t="str">
        <x:f>IF(J1841="",H1841,IF(J1841=I1841,I1841,J1841))</x:f>
        <x:v>fixed trip and stop dates</x:v>
      </x:c>
      <x:c r="L1841" s="74" t="str">
        <x:f>IF(J1841="","Keep current",IF(J1841=I1841,"Use suggestion","Custom"))</x:f>
        <x:v>Keep current</x:v>
      </x:c>
      <x:c r="M1841" s="71" t="str">
        <x:v>Pending review</x:v>
      </x:c>
      <x:c r="N1841" s="71" t="str">
        <x:v>Normal</x:v>
      </x:c>
      <x:c r="O1841" s="71" t="str">
        <x:v>lib/easyt/plan-repair.ts</x:v>
      </x:c>
      <x:c r="P1841" s="71" t="str">
        <x:v>preservedConstraintLabels:283</x:v>
      </x:c>
      <x:c r="Q1841" s="71" t="str">
        <x:v>EN (default / shared)</x:v>
      </x:c>
      <x:c r="R1841" s="71" t="str">
        <x:v>Already clear and direct; suggested wording intentionally keeps the current copy. Terminology watch: ‘trip’ and ‘journey’ both describe the same plan. Terminology watch: ‘stops’, ‘destinations’ and ‘places’ overlap.</x:v>
      </x:c>
      <x:c r="S1841" s="75" t="str">
        <x:v>Not applied — review required</x:v>
      </x:c>
    </x:row>
    <x:row r="1842">
      <x:c r="A1842" s="71" t="str">
        <x:v>MRV-095A99F558</x:v>
      </x:c>
      <x:c r="B1842" s="71" t="str">
        <x:v>Planning</x:v>
      </x:c>
      <x:c r="C1842" s="71" t="str">
        <x:v>Planner recommendations</x:v>
      </x:c>
      <x:c r="D1842" s="71" t="str">
        <x:v>Shared planner output</x:v>
      </x:c>
      <x:c r="E1842" s="71" t="str">
        <x:v>preservedConstraintLabels</x:v>
      </x:c>
      <x:c r="F1842" s="71" t="str">
        <x:v>Default</x:v>
      </x:c>
      <x:c r="G1842" s="71" t="str">
        <x:v>Label</x:v>
      </x:c>
      <x:c r="H1842" s="71" t="str">
        <x:v>fixed commitment order</x:v>
      </x:c>
      <x:c r="I1842" s="71" t="str">
        <x:v>fixed commitment order</x:v>
      </x:c>
      <x:c r="J1842" s="73"/>
      <x:c r="K1842" s="74" t="str">
        <x:f>IF(J1842="",H1842,IF(J1842=I1842,I1842,J1842))</x:f>
        <x:v>fixed commitment order</x:v>
      </x:c>
      <x:c r="L1842" s="74" t="str">
        <x:f>IF(J1842="","Keep current",IF(J1842=I1842,"Use suggestion","Custom"))</x:f>
        <x:v>Keep current</x:v>
      </x:c>
      <x:c r="M1842" s="71" t="str">
        <x:v>Pending review</x:v>
      </x:c>
      <x:c r="N1842" s="71" t="str">
        <x:v>Normal</x:v>
      </x:c>
      <x:c r="O1842" s="71" t="str">
        <x:v>lib/easyt/plan-repair.ts</x:v>
      </x:c>
      <x:c r="P1842" s="71" t="str">
        <x:v>preservedConstraintLabels:284</x:v>
      </x:c>
      <x:c r="Q1842" s="71" t="str">
        <x:v>EN (default / shared)</x:v>
      </x:c>
      <x:c r="R1842" s="71" t="str">
        <x:v>Already clear and direct; suggested wording intentionally keeps the current copy.</x:v>
      </x:c>
      <x:c r="S1842" s="75" t="str">
        <x:v>Not applied — review required</x:v>
      </x:c>
    </x:row>
    <x:row r="1843">
      <x:c r="A1843" s="71" t="str">
        <x:v>MRV-56300ADCE2</x:v>
      </x:c>
      <x:c r="B1843" s="71" t="str">
        <x:v>Planning</x:v>
      </x:c>
      <x:c r="C1843" s="71" t="str">
        <x:v>Planner recommendations</x:v>
      </x:c>
      <x:c r="D1843" s="71" t="str">
        <x:v>Shared planner output</x:v>
      </x:c>
      <x:c r="E1843" s="71" t="str">
        <x:v>preservedConstraintLabels</x:v>
      </x:c>
      <x:c r="F1843" s="71" t="str">
        <x:v>Default</x:v>
      </x:c>
      <x:c r="G1843" s="71" t="str">
        <x:v>Label</x:v>
      </x:c>
      <x:c r="H1843" s="71" t="str">
        <x:v>hard transport restrictions</x:v>
      </x:c>
      <x:c r="I1843" s="71" t="str">
        <x:v>hard transport restrictions</x:v>
      </x:c>
      <x:c r="J1843" s="73"/>
      <x:c r="K1843" s="74" t="str">
        <x:f>IF(J1843="",H1843,IF(J1843=I1843,I1843,J1843))</x:f>
        <x:v>hard transport restrictions</x:v>
      </x:c>
      <x:c r="L1843" s="74" t="str">
        <x:f>IF(J1843="","Keep current",IF(J1843=I1843,"Use suggestion","Custom"))</x:f>
        <x:v>Keep current</x:v>
      </x:c>
      <x:c r="M1843" s="71" t="str">
        <x:v>Pending review</x:v>
      </x:c>
      <x:c r="N1843" s="71" t="str">
        <x:v>Normal</x:v>
      </x:c>
      <x:c r="O1843" s="71" t="str">
        <x:v>lib/easyt/plan-repair.ts</x:v>
      </x:c>
      <x:c r="P1843" s="71" t="str">
        <x:v>preservedConstraintLabels:285</x:v>
      </x:c>
      <x:c r="Q1843" s="71" t="str">
        <x:v>EN (default / shared)</x:v>
      </x:c>
      <x:c r="R1843" s="71" t="str">
        <x:v>Already clear and direct; suggested wording intentionally keeps the current copy.</x:v>
      </x:c>
      <x:c r="S1843" s="75" t="str">
        <x:v>Not applied — review required</x:v>
      </x:c>
    </x:row>
    <x:row r="1844">
      <x:c r="A1844" s="71" t="str">
        <x:v>MRV-BD8001B91A</x:v>
      </x:c>
      <x:c r="B1844" s="71" t="str">
        <x:v>Planning</x:v>
      </x:c>
      <x:c r="C1844" s="71" t="str">
        <x:v>Planner recommendations</x:v>
      </x:c>
      <x:c r="D1844" s="71" t="str">
        <x:v>Shared planner output</x:v>
      </x:c>
      <x:c r="E1844" s="71" t="str">
        <x:v>preservedConstraintLabels</x:v>
      </x:c>
      <x:c r="F1844" s="71" t="str">
        <x:v>Default</x:v>
      </x:c>
      <x:c r="G1844" s="71" t="str">
        <x:v>Body copy</x:v>
      </x:c>
      <x:c r="H1844" s="71" t="str">
        <x:v>explicit traveller preferences</x:v>
      </x:c>
      <x:c r="I1844" s="71" t="str">
        <x:v>explicit traveller preferences</x:v>
      </x:c>
      <x:c r="J1844" s="73"/>
      <x:c r="K1844" s="74" t="str">
        <x:f>IF(J1844="",H1844,IF(J1844=I1844,I1844,J1844))</x:f>
        <x:v>explicit traveller preferences</x:v>
      </x:c>
      <x:c r="L1844" s="74" t="str">
        <x:f>IF(J1844="","Keep current",IF(J1844=I1844,"Use suggestion","Custom"))</x:f>
        <x:v>Keep current</x:v>
      </x:c>
      <x:c r="M1844" s="71" t="str">
        <x:v>Pending review</x:v>
      </x:c>
      <x:c r="N1844" s="71" t="str">
        <x:v>Normal</x:v>
      </x:c>
      <x:c r="O1844" s="71" t="str">
        <x:v>lib/easyt/plan-repair.ts</x:v>
      </x:c>
      <x:c r="P1844" s="71" t="str">
        <x:v>preservedConstraintLabels:286</x:v>
      </x:c>
      <x:c r="Q1844" s="71" t="str">
        <x:v>EN (default / shared)</x:v>
      </x:c>
      <x:c r="R1844" s="71" t="str">
        <x:v>Already clear and direct; suggested wording intentionally keeps the current copy.</x:v>
      </x:c>
      <x:c r="S1844" s="75" t="str">
        <x:v>Not applied — review required</x:v>
      </x:c>
    </x:row>
    <x:row r="1845">
      <x:c r="A1845" s="71" t="str">
        <x:v>MRV-5ED99EB6B9</x:v>
      </x:c>
      <x:c r="B1845" s="71" t="str">
        <x:v>Planning</x:v>
      </x:c>
      <x:c r="C1845" s="71" t="str">
        <x:v>Planner recommendations</x:v>
      </x:c>
      <x:c r="D1845" s="71" t="str">
        <x:v>Shared planner output</x:v>
      </x:c>
      <x:c r="E1845" s="71" t="str">
        <x:v>allocationConfidence</x:v>
      </x:c>
      <x:c r="F1845" s="71" t="str">
        <x:v>Failure / recovery</x:v>
      </x:c>
      <x:c r="G1845" s="71" t="str">
        <x:v>Body copy</x:v>
      </x:c>
      <x:c r="H1845" s="71" t="str">
        <x:v>The existing night allocator could not produce a safe allocation for this repair.</x:v>
      </x:c>
      <x:c r="I1845" s="71" t="str">
        <x:v>The existing night allocator could not produce a safe allocation for this repair.</x:v>
      </x:c>
      <x:c r="J1845" s="73"/>
      <x:c r="K1845" s="74" t="str">
        <x:f>IF(J1845="",H1845,IF(J1845=I1845,I1845,J1845))</x:f>
        <x:v>The existing night allocator could not produce a safe allocation for this repair.</x:v>
      </x:c>
      <x:c r="L1845" s="74" t="str">
        <x:f>IF(J1845="","Keep current",IF(J1845=I1845,"Use suggestion","Custom"))</x:f>
        <x:v>Keep current</x:v>
      </x:c>
      <x:c r="M1845" s="71" t="str">
        <x:v>Pending review</x:v>
      </x:c>
      <x:c r="N1845" s="71" t="str">
        <x:v>High</x:v>
      </x:c>
      <x:c r="O1845" s="71" t="str">
        <x:v>lib/easyt/plan-repair.ts</x:v>
      </x:c>
      <x:c r="P1845" s="71" t="str">
        <x:v>allocationConfidence:366</x:v>
      </x:c>
      <x:c r="Q1845" s="71" t="str">
        <x:v>EN (default / shared)</x:v>
      </x:c>
      <x:c r="R1845" s="71" t="str">
        <x:v>Already clear and direct; suggested wording intentionally keeps the current copy.</x:v>
      </x:c>
      <x:c r="S1845" s="75" t="str">
        <x:v>Not applied — review required</x:v>
      </x:c>
    </x:row>
    <x:row r="1846">
      <x:c r="A1846" s="71" t="str">
        <x:v>MRV-17E011E7C8</x:v>
      </x:c>
      <x:c r="B1846" s="71" t="str">
        <x:v>Planning</x:v>
      </x:c>
      <x:c r="C1846" s="71" t="str">
        <x:v>Planner recommendations</x:v>
      </x:c>
      <x:c r="D1846" s="71" t="str">
        <x:v>Shared planner output</x:v>
      </x:c>
      <x:c r="E1846" s="71" t="str">
        <x:v>hardIssueKey</x:v>
      </x:c>
      <x:c r="F1846" s="71" t="str">
        <x:v>Default</x:v>
      </x:c>
      <x:c r="G1846" s="71" t="str">
        <x:v>Body copy</x:v>
      </x:c>
      <x:c r="H1846" s="71" t="str">
        <x:v>{issue.code}:{issue.stopIds.join("|")}:{issue.legIndexes.join("|")}</x:v>
      </x:c>
      <x:c r="I1846" s="71" t="str">
        <x:v>{issue.code}:{issue.stopIds.join("|")}:{issue.legIndexes.join("|")}</x:v>
      </x:c>
      <x:c r="J1846" s="73"/>
      <x:c r="K1846" s="74" t="str">
        <x:f>IF(J1846="",H1846,IF(J1846=I1846,I1846,J1846))</x:f>
        <x:v>{issue.code}:{issue.stopIds.join("|")}:{issue.legIndexes.join("|")}</x:v>
      </x:c>
      <x:c r="L1846" s="74" t="str">
        <x:f>IF(J1846="","Keep current",IF(J1846=I1846,"Use suggestion","Custom"))</x:f>
        <x:v>Keep current</x:v>
      </x:c>
      <x:c r="M1846" s="71" t="str">
        <x:v>Pending review</x:v>
      </x:c>
      <x:c r="N1846" s="71" t="str">
        <x:v>Normal</x:v>
      </x:c>
      <x:c r="O1846" s="71" t="str">
        <x:v>lib/easyt/plan-repair.ts</x:v>
      </x:c>
      <x:c r="P1846" s="71" t="str">
        <x:v>hardIssueKey:561</x:v>
      </x:c>
      <x:c r="Q1846" s="71" t="str">
        <x:v>EN (default / shared)</x:v>
      </x:c>
      <x:c r="R1846" s="71" t="str">
        <x:v>Already clear and direct; suggested wording intentionally keeps the current copy. Dynamic traveller or trip value is represented as a token; user-generated values are excluded.</x:v>
      </x:c>
      <x:c r="S1846" s="75" t="str">
        <x:v>Not applied — review required</x:v>
      </x:c>
    </x:row>
    <x:row r="1847">
      <x:c r="A1847" s="71" t="str">
        <x:v>MRV-29100361D8</x:v>
      </x:c>
      <x:c r="B1847" s="71" t="str">
        <x:v>Planning</x:v>
      </x:c>
      <x:c r="C1847" s="71" t="str">
        <x:v>Planner recommendations</x:v>
      </x:c>
      <x:c r="D1847" s="71" t="str">
        <x:v>Shared planner output</x:v>
      </x:c>
      <x:c r="E1847" s="71" t="str">
        <x:v>schedule</x:v>
      </x:c>
      <x:c r="F1847" s="71" t="str">
        <x:v>Default</x:v>
      </x:c>
      <x:c r="G1847" s="71" t="str">
        <x:v>Body copy</x:v>
      </x:c>
      <x:c r="H1847" s="71" t="str">
        <x:v>The general route may be plausible, but no exact schedule has been verified for these dates.</x:v>
      </x:c>
      <x:c r="I1847" s="71" t="str">
        <x:v>The general route may be plausible, but no exact schedule has been verified for these dates.</x:v>
      </x:c>
      <x:c r="J1847" s="73"/>
      <x:c r="K1847" s="74" t="str">
        <x:f>IF(J1847="",H1847,IF(J1847=I1847,I1847,J1847))</x:f>
        <x:v>The general route may be plausible, but no exact schedule has been verified for these dates.</x:v>
      </x:c>
      <x:c r="L1847" s="74" t="str">
        <x:f>IF(J1847="","Keep current",IF(J1847=I1847,"Use suggestion","Custom"))</x:f>
        <x:v>Keep current</x:v>
      </x:c>
      <x:c r="M1847" s="71" t="str">
        <x:v>Pending review</x:v>
      </x:c>
      <x:c r="N1847" s="71" t="str">
        <x:v>Normal</x:v>
      </x:c>
      <x:c r="O1847" s="71" t="str">
        <x:v>lib/easyt/planner.ts</x:v>
      </x:c>
      <x:c r="P1847" s="71" t="str">
        <x:v>schedule:209</x:v>
      </x:c>
      <x:c r="Q1847" s="71" t="str">
        <x:v>EN (default / shared)</x:v>
      </x:c>
      <x:c r="R1847" s="71" t="str">
        <x:v>Already clear and direct; suggested wording intentionally keeps the current copy.</x:v>
      </x:c>
      <x:c r="S1847" s="75" t="str">
        <x:v>Not applied — review required</x:v>
      </x:c>
    </x:row>
    <x:row r="1848">
      <x:c r="A1848" s="71" t="str">
        <x:v>MRV-CBF0E47A59</x:v>
      </x:c>
      <x:c r="B1848" s="71" t="str">
        <x:v>Planning</x:v>
      </x:c>
      <x:c r="C1848" s="71" t="str">
        <x:v>Planner recommendations</x:v>
      </x:c>
      <x:c r="D1848" s="71" t="str">
        <x:v>Shared planner output</x:v>
      </x:c>
      <x:c r="E1848" s="71" t="str">
        <x:v>estimateLeg</x:v>
      </x:c>
      <x:c r="F1848" s="71" t="str">
        <x:v>Default</x:v>
      </x:c>
      <x:c r="G1848" s="71" t="str">
        <x:v>Body copy</x:v>
      </x:c>
      <x:c r="H1848" s="71" t="str">
        <x:v>{from.name} → {to.name}</x:v>
      </x:c>
      <x:c r="I1848" s="71" t="str">
        <x:v>{from.name} → {to.name}</x:v>
      </x:c>
      <x:c r="J1848" s="73"/>
      <x:c r="K1848" s="74" t="str">
        <x:f>IF(J1848="",H1848,IF(J1848=I1848,I1848,J1848))</x:f>
        <x:v>{from.name} → {to.name}</x:v>
      </x:c>
      <x:c r="L1848" s="74" t="str">
        <x:f>IF(J1848="","Keep current",IF(J1848=I1848,"Use suggestion","Custom"))</x:f>
        <x:v>Keep current</x:v>
      </x:c>
      <x:c r="M1848" s="71" t="str">
        <x:v>Pending review</x:v>
      </x:c>
      <x:c r="N1848" s="71" t="str">
        <x:v>Normal</x:v>
      </x:c>
      <x:c r="O1848" s="71" t="str">
        <x:v>lib/easyt/planner.ts</x:v>
      </x:c>
      <x:c r="P1848" s="71" t="str">
        <x:v>estimateLeg:231</x:v>
      </x:c>
      <x:c r="Q1848" s="71" t="str">
        <x:v>EN (default / shared)</x:v>
      </x:c>
      <x:c r="R1848" s="71" t="str">
        <x:v>Already clear and direct; suggested wording intentionally keeps the current copy. Duplicate wording: appears 9 times. Dynamic traveller or trip value is represented as a token; user-generated values are excluded.</x:v>
      </x:c>
      <x:c r="S1848" s="75" t="str">
        <x:v>Not applied — review required</x:v>
      </x:c>
    </x:row>
    <x:row r="1849">
      <x:c r="A1849" s="71" t="str">
        <x:v>MRV-7BA3FD5684</x:v>
      </x:c>
      <x:c r="B1849" s="71" t="str">
        <x:v>Planning</x:v>
      </x:c>
      <x:c r="C1849" s="71" t="str">
        <x:v>Planner recommendations</x:v>
      </x:c>
      <x:c r="D1849" s="71" t="str">
        <x:v>Shared planner output</x:v>
      </x:c>
      <x:c r="E1849" s="71" t="str">
        <x:v>estimateLeg</x:v>
      </x:c>
      <x:c r="F1849" s="71" t="str">
        <x:v>Default</x:v>
      </x:c>
      <x:c r="G1849" s="71" t="str">
        <x:v>Body copy</x:v>
      </x:c>
      <x:c r="H1849" s="71" t="str">
        <x:v>{from.name} → {to.name}</x:v>
      </x:c>
      <x:c r="I1849" s="71" t="str">
        <x:v>{from.name} → {to.name}</x:v>
      </x:c>
      <x:c r="J1849" s="73"/>
      <x:c r="K1849" s="74" t="str">
        <x:f>IF(J1849="",H1849,IF(J1849=I1849,I1849,J1849))</x:f>
        <x:v>{from.name} → {to.name}</x:v>
      </x:c>
      <x:c r="L1849" s="74" t="str">
        <x:f>IF(J1849="","Keep current",IF(J1849=I1849,"Use suggestion","Custom"))</x:f>
        <x:v>Keep current</x:v>
      </x:c>
      <x:c r="M1849" s="71" t="str">
        <x:v>Pending review</x:v>
      </x:c>
      <x:c r="N1849" s="71" t="str">
        <x:v>Normal</x:v>
      </x:c>
      <x:c r="O1849" s="71" t="str">
        <x:v>lib/easyt/planner.ts</x:v>
      </x:c>
      <x:c r="P1849" s="71" t="str">
        <x:v>estimateLeg:251</x:v>
      </x:c>
      <x:c r="Q1849" s="71" t="str">
        <x:v>EN (default / shared)</x:v>
      </x:c>
      <x:c r="R1849" s="71" t="str">
        <x:v>Already clear and direct; suggested wording intentionally keeps the current copy. Duplicate wording: appears 9 times. Dynamic traveller or trip value is represented as a token; user-generated values are excluded.</x:v>
      </x:c>
      <x:c r="S1849" s="75" t="str">
        <x:v>Not applied — review required</x:v>
      </x:c>
    </x:row>
    <x:row r="1850">
      <x:c r="A1850" s="71" t="str">
        <x:v>MRV-27C3A86BC4</x:v>
      </x:c>
      <x:c r="B1850" s="71" t="str">
        <x:v>Planning</x:v>
      </x:c>
      <x:c r="C1850" s="71" t="str">
        <x:v>Planner recommendations</x:v>
      </x:c>
      <x:c r="D1850" s="71" t="str">
        <x:v>Shared planner output</x:v>
      </x:c>
      <x:c r="E1850" s="71" t="str">
        <x:v>estimateLeg</x:v>
      </x:c>
      <x:c r="F1850" s="71" t="str">
        <x:v>Default</x:v>
      </x:c>
      <x:c r="G1850" s="71" t="str">
        <x:v>Body copy</x:v>
      </x:c>
      <x:c r="H1850" s="71" t="str">
        <x:v>{from.name} → {to.name}</x:v>
      </x:c>
      <x:c r="I1850" s="71" t="str">
        <x:v>{from.name} → {to.name}</x:v>
      </x:c>
      <x:c r="J1850" s="73"/>
      <x:c r="K1850" s="74" t="str">
        <x:f>IF(J1850="",H1850,IF(J1850=I1850,I1850,J1850))</x:f>
        <x:v>{from.name} → {to.name}</x:v>
      </x:c>
      <x:c r="L1850" s="74" t="str">
        <x:f>IF(J1850="","Keep current",IF(J1850=I1850,"Use suggestion","Custom"))</x:f>
        <x:v>Keep current</x:v>
      </x:c>
      <x:c r="M1850" s="71" t="str">
        <x:v>Pending review</x:v>
      </x:c>
      <x:c r="N1850" s="71" t="str">
        <x:v>Normal</x:v>
      </x:c>
      <x:c r="O1850" s="71" t="str">
        <x:v>lib/easyt/planner.ts</x:v>
      </x:c>
      <x:c r="P1850" s="71" t="str">
        <x:v>estimateLeg:258</x:v>
      </x:c>
      <x:c r="Q1850" s="71" t="str">
        <x:v>EN (default / shared)</x:v>
      </x:c>
      <x:c r="R1850" s="71" t="str">
        <x:v>Already clear and direct; suggested wording intentionally keeps the current copy. Duplicate wording: appears 9 times. Dynamic traveller or trip value is represented as a token; user-generated values are excluded.</x:v>
      </x:c>
      <x:c r="S1850" s="75" t="str">
        <x:v>Not applied — review required</x:v>
      </x:c>
    </x:row>
    <x:row r="1851">
      <x:c r="A1851" s="71" t="str">
        <x:v>MRV-2EB228A04D</x:v>
      </x:c>
      <x:c r="B1851" s="71" t="str">
        <x:v>Planning</x:v>
      </x:c>
      <x:c r="C1851" s="71" t="str">
        <x:v>Planner recommendations</x:v>
      </x:c>
      <x:c r="D1851" s="71" t="str">
        <x:v>Shared planner output</x:v>
      </x:c>
      <x:c r="E1851" s="71" t="str">
        <x:v>estimateLeg</x:v>
      </x:c>
      <x:c r="F1851" s="71" t="str">
        <x:v>Default</x:v>
      </x:c>
      <x:c r="G1851" s="71" t="str">
        <x:v>Body copy</x:v>
      </x:c>
      <x:c r="H1851" s="71" t="str">
        <x:v>{from.name} → {to.name}</x:v>
      </x:c>
      <x:c r="I1851" s="71" t="str">
        <x:v>{from.name} → {to.name}</x:v>
      </x:c>
      <x:c r="J1851" s="73"/>
      <x:c r="K1851" s="74" t="str">
        <x:f>IF(J1851="",H1851,IF(J1851=I1851,I1851,J1851))</x:f>
        <x:v>{from.name} → {to.name}</x:v>
      </x:c>
      <x:c r="L1851" s="74" t="str">
        <x:f>IF(J1851="","Keep current",IF(J1851=I1851,"Use suggestion","Custom"))</x:f>
        <x:v>Keep current</x:v>
      </x:c>
      <x:c r="M1851" s="71" t="str">
        <x:v>Pending review</x:v>
      </x:c>
      <x:c r="N1851" s="71" t="str">
        <x:v>Normal</x:v>
      </x:c>
      <x:c r="O1851" s="71" t="str">
        <x:v>lib/easyt/planner.ts</x:v>
      </x:c>
      <x:c r="P1851" s="71" t="str">
        <x:v>estimateLeg:263</x:v>
      </x:c>
      <x:c r="Q1851" s="71" t="str">
        <x:v>EN (default / shared)</x:v>
      </x:c>
      <x:c r="R1851" s="71" t="str">
        <x:v>Already clear and direct; suggested wording intentionally keeps the current copy. Duplicate wording: appears 9 times. Dynamic traveller or trip value is represented as a token; user-generated values are excluded.</x:v>
      </x:c>
      <x:c r="S1851" s="75" t="str">
        <x:v>Not applied — review required</x:v>
      </x:c>
    </x:row>
    <x:row r="1852">
      <x:c r="A1852" s="71" t="str">
        <x:v>MRV-F1B30BDBBC</x:v>
      </x:c>
      <x:c r="B1852" s="71" t="str">
        <x:v>Planning</x:v>
      </x:c>
      <x:c r="C1852" s="71" t="str">
        <x:v>Planner recommendations</x:v>
      </x:c>
      <x:c r="D1852" s="71" t="str">
        <x:v>Shared planner output</x:v>
      </x:c>
      <x:c r="E1852" s="71" t="str">
        <x:v>estimateLeg</x:v>
      </x:c>
      <x:c r="F1852" s="71" t="str">
        <x:v>Default</x:v>
      </x:c>
      <x:c r="G1852" s="71" t="str">
        <x:v>Body copy</x:v>
      </x:c>
      <x:c r="H1852" s="71" t="str">
        <x:v>{from.name} → {to.name}</x:v>
      </x:c>
      <x:c r="I1852" s="71" t="str">
        <x:v>{from.name} → {to.name}</x:v>
      </x:c>
      <x:c r="J1852" s="73"/>
      <x:c r="K1852" s="74" t="str">
        <x:f>IF(J1852="",H1852,IF(J1852=I1852,I1852,J1852))</x:f>
        <x:v>{from.name} → {to.name}</x:v>
      </x:c>
      <x:c r="L1852" s="74" t="str">
        <x:f>IF(J1852="","Keep current",IF(J1852=I1852,"Use suggestion","Custom"))</x:f>
        <x:v>Keep current</x:v>
      </x:c>
      <x:c r="M1852" s="71" t="str">
        <x:v>Pending review</x:v>
      </x:c>
      <x:c r="N1852" s="71" t="str">
        <x:v>Normal</x:v>
      </x:c>
      <x:c r="O1852" s="71" t="str">
        <x:v>lib/easyt/planner.ts</x:v>
      </x:c>
      <x:c r="P1852" s="71" t="str">
        <x:v>estimateLeg:271</x:v>
      </x:c>
      <x:c r="Q1852" s="71" t="str">
        <x:v>EN (default / shared)</x:v>
      </x:c>
      <x:c r="R1852" s="71" t="str">
        <x:v>Already clear and direct; suggested wording intentionally keeps the current copy. Duplicate wording: appears 9 times. Dynamic traveller or trip value is represented as a token; user-generated values are excluded.</x:v>
      </x:c>
      <x:c r="S1852" s="75" t="str">
        <x:v>Not applied — review required</x:v>
      </x:c>
    </x:row>
    <x:row r="1853">
      <x:c r="A1853" s="71" t="str">
        <x:v>MRV-61EB682FD7</x:v>
      </x:c>
      <x:c r="B1853" s="71" t="str">
        <x:v>Planning</x:v>
      </x:c>
      <x:c r="C1853" s="71" t="str">
        <x:v>Planner recommendations</x:v>
      </x:c>
      <x:c r="D1853" s="71" t="str">
        <x:v>Shared planner output</x:v>
      </x:c>
      <x:c r="E1853" s="71" t="str">
        <x:v>estimateLeg</x:v>
      </x:c>
      <x:c r="F1853" s="71" t="str">
        <x:v>Default</x:v>
      </x:c>
      <x:c r="G1853" s="71" t="str">
        <x:v>Body copy</x:v>
      </x:c>
      <x:c r="H1853" s="71" t="str">
        <x:v>{from.name} → {to.name}</x:v>
      </x:c>
      <x:c r="I1853" s="71" t="str">
        <x:v>{from.name} → {to.name}</x:v>
      </x:c>
      <x:c r="J1853" s="73"/>
      <x:c r="K1853" s="74" t="str">
        <x:f>IF(J1853="",H1853,IF(J1853=I1853,I1853,J1853))</x:f>
        <x:v>{from.name} → {to.name}</x:v>
      </x:c>
      <x:c r="L1853" s="74" t="str">
        <x:f>IF(J1853="","Keep current",IF(J1853=I1853,"Use suggestion","Custom"))</x:f>
        <x:v>Keep current</x:v>
      </x:c>
      <x:c r="M1853" s="71" t="str">
        <x:v>Pending review</x:v>
      </x:c>
      <x:c r="N1853" s="71" t="str">
        <x:v>Normal</x:v>
      </x:c>
      <x:c r="O1853" s="71" t="str">
        <x:v>lib/easyt/planner.ts</x:v>
      </x:c>
      <x:c r="P1853" s="71" t="str">
        <x:v>estimateLeg:284</x:v>
      </x:c>
      <x:c r="Q1853" s="71" t="str">
        <x:v>EN (default / shared)</x:v>
      </x:c>
      <x:c r="R1853" s="71" t="str">
        <x:v>Already clear and direct; suggested wording intentionally keeps the current copy. Duplicate wording: appears 9 times. Dynamic traveller or trip value is represented as a token; user-generated values are excluded.</x:v>
      </x:c>
      <x:c r="S1853" s="75" t="str">
        <x:v>Not applied — review required</x:v>
      </x:c>
    </x:row>
    <x:row r="1854">
      <x:c r="A1854" s="71" t="str">
        <x:v>MRV-A46DAAE739</x:v>
      </x:c>
      <x:c r="B1854" s="71" t="str">
        <x:v>Planning</x:v>
      </x:c>
      <x:c r="C1854" s="71" t="str">
        <x:v>Planner recommendations</x:v>
      </x:c>
      <x:c r="D1854" s="71" t="str">
        <x:v>Shared planner output</x:v>
      </x:c>
      <x:c r="E1854" s="71" t="str">
        <x:v>unknownTransportLeg</x:v>
      </x:c>
      <x:c r="F1854" s="71" t="str">
        <x:v>Default</x:v>
      </x:c>
      <x:c r="G1854" s="71" t="str">
        <x:v>Body copy</x:v>
      </x:c>
      <x:c r="H1854" s="71" t="str">
        <x:v>{from.name} → {to.name}</x:v>
      </x:c>
      <x:c r="I1854" s="71" t="str">
        <x:v>{from.name} → {to.name}</x:v>
      </x:c>
      <x:c r="J1854" s="73"/>
      <x:c r="K1854" s="74" t="str">
        <x:f>IF(J1854="",H1854,IF(J1854=I1854,I1854,J1854))</x:f>
        <x:v>{from.name} → {to.name}</x:v>
      </x:c>
      <x:c r="L1854" s="74" t="str">
        <x:f>IF(J1854="","Keep current",IF(J1854=I1854,"Use suggestion","Custom"))</x:f>
        <x:v>Keep current</x:v>
      </x:c>
      <x:c r="M1854" s="71" t="str">
        <x:v>Pending review</x:v>
      </x:c>
      <x:c r="N1854" s="71" t="str">
        <x:v>Normal</x:v>
      </x:c>
      <x:c r="O1854" s="71" t="str">
        <x:v>lib/easyt/planner.ts</x:v>
      </x:c>
      <x:c r="P1854" s="71" t="str">
        <x:v>unknownTransportLeg:317</x:v>
      </x:c>
      <x:c r="Q1854" s="71" t="str">
        <x:v>EN (default / shared)</x:v>
      </x:c>
      <x:c r="R1854" s="71" t="str">
        <x:v>Already clear and direct; suggested wording intentionally keeps the current copy. Duplicate wording: appears 9 times. Dynamic traveller or trip value is represented as a token; user-generated values are excluded.</x:v>
      </x:c>
      <x:c r="S1854" s="75" t="str">
        <x:v>Not applied — review required</x:v>
      </x:c>
    </x:row>
    <x:row r="1855">
      <x:c r="A1855" s="71" t="str">
        <x:v>MRV-13752E6175</x:v>
      </x:c>
      <x:c r="B1855" s="71" t="str">
        <x:v>Planning</x:v>
      </x:c>
      <x:c r="C1855" s="71" t="str">
        <x:v>Planner recommendations</x:v>
      </x:c>
      <x:c r="D1855" s="71" t="str">
        <x:v>Shared planner output</x:v>
      </x:c>
      <x:c r="E1855" s="71" t="str">
        <x:v>estimateLegForConstraints</x:v>
      </x:c>
      <x:c r="F1855" s="71" t="str">
        <x:v>Default</x:v>
      </x:c>
      <x:c r="G1855" s="71" t="str">
        <x:v>Body copy</x:v>
      </x:c>
      <x:c r="H1855" s="71" t="str">
        <x:v>{estimated.mode === "road" &amp;&amp; constraints?.avoidDriving ? "Driving is explicitly excluded" : `{estimated.mode} is excluded by a hard transport constraint`}, and no supported compliant alternative is known.</x:v>
      </x:c>
      <x:c r="I1855" s="71" t="str">
        <x:v>{estimated.mode === "road" &amp;&amp; constraints?.avoidDriving ? "Driving is explicitly excluded" : `{estimated.mode} is excluded by a hard transport constraint`}, and no supported compliant alternative is known.</x:v>
      </x:c>
      <x:c r="J1855" s="73"/>
      <x:c r="K1855" s="74" t="str">
        <x:f>IF(J1855="",H1855,IF(J1855=I1855,I1855,J1855))</x:f>
        <x:v>{estimated.mode === "road" &amp;&amp; constraints?.avoidDriving ? "Driving is explicitly excluded" : `{estimated.mode} is excluded by a hard transport constraint`}, and no supported compliant alternative is known.</x:v>
      </x:c>
      <x:c r="L1855" s="74" t="str">
        <x:f>IF(J1855="","Keep current",IF(J1855=I1855,"Use suggestion","Custom"))</x:f>
        <x:v>Keep current</x:v>
      </x:c>
      <x:c r="M1855" s="71" t="str">
        <x:v>Pending review</x:v>
      </x:c>
      <x:c r="N1855" s="71" t="str">
        <x:v>Normal</x:v>
      </x:c>
      <x:c r="O1855" s="71" t="str">
        <x:v>lib/easyt/planner.ts</x:v>
      </x:c>
      <x:c r="P1855" s="71" t="str">
        <x:v>estimateLegForConstraints:341</x:v>
      </x:c>
      <x:c r="Q1855" s="71" t="str">
        <x:v>EN (default / shared)</x:v>
      </x:c>
      <x:c r="R1855" s="71" t="str">
        <x:v>Already clear and direct; suggested wording intentionally keeps the current copy. Dynamic traveller or trip value is represented as a token; user-generated values are excluded.</x:v>
      </x:c>
      <x:c r="S1855" s="75" t="str">
        <x:v>Not applied — review required</x:v>
      </x:c>
    </x:row>
    <x:row r="1856">
      <x:c r="A1856" s="71" t="str">
        <x:v>MRV-AF7AC3B74C</x:v>
      </x:c>
      <x:c r="B1856" s="71" t="str">
        <x:v>Planning</x:v>
      </x:c>
      <x:c r="C1856" s="71" t="str">
        <x:v>Planner recommendations</x:v>
      </x:c>
      <x:c r="D1856" s="71" t="str">
        <x:v>Shared planner output</x:v>
      </x:c>
      <x:c r="E1856" s="71" t="str">
        <x:v>estimateLegForConstraints</x:v>
      </x:c>
      <x:c r="F1856" s="71" t="str">
        <x:v>Default</x:v>
      </x:c>
      <x:c r="G1856" s="71" t="str">
        <x:v>Body copy</x:v>
      </x:c>
      <x:c r="H1856" s="71" t="str">
        <x:v>Driving is explicitly excluded</x:v>
      </x:c>
      <x:c r="I1856" s="71" t="str">
        <x:v>Driving is explicitly excluded</x:v>
      </x:c>
      <x:c r="J1856" s="73"/>
      <x:c r="K1856" s="74" t="str">
        <x:f>IF(J1856="",H1856,IF(J1856=I1856,I1856,J1856))</x:f>
        <x:v>Driving is explicitly excluded</x:v>
      </x:c>
      <x:c r="L1856" s="74" t="str">
        <x:f>IF(J1856="","Keep current",IF(J1856=I1856,"Use suggestion","Custom"))</x:f>
        <x:v>Keep current</x:v>
      </x:c>
      <x:c r="M1856" s="71" t="str">
        <x:v>Pending review</x:v>
      </x:c>
      <x:c r="N1856" s="71" t="str">
        <x:v>Normal</x:v>
      </x:c>
      <x:c r="O1856" s="71" t="str">
        <x:v>lib/easyt/planner.ts</x:v>
      </x:c>
      <x:c r="P1856" s="71" t="str">
        <x:v>estimateLegForConstraints:341</x:v>
      </x:c>
      <x:c r="Q1856" s="71" t="str">
        <x:v>EN (default / shared)</x:v>
      </x:c>
      <x:c r="R1856" s="71" t="str">
        <x:v>Already clear and direct; suggested wording intentionally keeps the current copy.</x:v>
      </x:c>
      <x:c r="S1856" s="75" t="str">
        <x:v>Not applied — review required</x:v>
      </x:c>
    </x:row>
    <x:row r="1857">
      <x:c r="A1857" s="71" t="str">
        <x:v>MRV-6195E7610A</x:v>
      </x:c>
      <x:c r="B1857" s="71" t="str">
        <x:v>Planning</x:v>
      </x:c>
      <x:c r="C1857" s="71" t="str">
        <x:v>Planner recommendations</x:v>
      </x:c>
      <x:c r="D1857" s="71" t="str">
        <x:v>Shared planner output</x:v>
      </x:c>
      <x:c r="E1857" s="71" t="str">
        <x:v>estimateLegForConstraints</x:v>
      </x:c>
      <x:c r="F1857" s="71" t="str">
        <x:v>Default</x:v>
      </x:c>
      <x:c r="G1857" s="71" t="str">
        <x:v>Body copy</x:v>
      </x:c>
      <x:c r="H1857" s="71" t="str">
        <x:v>{estimated.mode} is excluded by a hard transport constraint</x:v>
      </x:c>
      <x:c r="I1857" s="71" t="str">
        <x:v>{estimated.mode} is excluded by a hard transport constraint</x:v>
      </x:c>
      <x:c r="J1857" s="73"/>
      <x:c r="K1857" s="74" t="str">
        <x:f>IF(J1857="",H1857,IF(J1857=I1857,I1857,J1857))</x:f>
        <x:v>{estimated.mode} is excluded by a hard transport constraint</x:v>
      </x:c>
      <x:c r="L1857" s="74" t="str">
        <x:f>IF(J1857="","Keep current",IF(J1857=I1857,"Use suggestion","Custom"))</x:f>
        <x:v>Keep current</x:v>
      </x:c>
      <x:c r="M1857" s="71" t="str">
        <x:v>Pending review</x:v>
      </x:c>
      <x:c r="N1857" s="71" t="str">
        <x:v>Normal</x:v>
      </x:c>
      <x:c r="O1857" s="71" t="str">
        <x:v>lib/easyt/planner.ts</x:v>
      </x:c>
      <x:c r="P1857" s="71" t="str">
        <x:v>estimateLegForConstraints:341</x:v>
      </x:c>
      <x:c r="Q1857" s="71" t="str">
        <x:v>EN (default / shared)</x:v>
      </x:c>
      <x:c r="R1857" s="71" t="str">
        <x:v>Already clear and direct; suggested wording intentionally keeps the current copy. Dynamic traveller or trip value is represented as a token; user-generated values are excluded.</x:v>
      </x:c>
      <x:c r="S1857" s="75" t="str">
        <x:v>Not applied — review required</x:v>
      </x:c>
    </x:row>
    <x:row r="1858">
      <x:c r="A1858" s="71" t="str">
        <x:v>MRV-97464C36DE</x:v>
      </x:c>
      <x:c r="B1858" s="71" t="str">
        <x:v>Planning</x:v>
      </x:c>
      <x:c r="C1858" s="71" t="str">
        <x:v>Planner recommendations</x:v>
      </x:c>
      <x:c r="D1858" s="71" t="str">
        <x:v>Shared planner output</x:v>
      </x:c>
      <x:c r="E1858" s="71" t="str">
        <x:v>estimateLegForConstraints</x:v>
      </x:c>
      <x:c r="F1858" s="71" t="str">
        <x:v>Offline / network failure</x:v>
      </x:c>
      <x:c r="G1858" s="71" t="str">
        <x:v>Body copy</x:v>
      </x:c>
      <x:c r="H1858" s="71" t="str">
        <x:v>Curated endpoint facts make a generic road-only connection unsupported, but they do not establish a direct ferry service.</x:v>
      </x:c>
      <x:c r="I1858" s="71" t="str">
        <x:v>Curated endpoint facts make a generic road-only connection unsupported, but they do not establish a direct ferry service.</x:v>
      </x:c>
      <x:c r="J1858" s="73"/>
      <x:c r="K1858" s="74" t="str">
        <x:f>IF(J1858="",H1858,IF(J1858=I1858,I1858,J1858))</x:f>
        <x:v>Curated endpoint facts make a generic road-only connection unsupported, but they do not establish a direct ferry service.</x:v>
      </x:c>
      <x:c r="L1858" s="74" t="str">
        <x:f>IF(J1858="","Keep current",IF(J1858=I1858,"Use suggestion","Custom"))</x:f>
        <x:v>Keep current</x:v>
      </x:c>
      <x:c r="M1858" s="71" t="str">
        <x:v>Pending review</x:v>
      </x:c>
      <x:c r="N1858" s="71" t="str">
        <x:v>High</x:v>
      </x:c>
      <x:c r="O1858" s="71" t="str">
        <x:v>lib/easyt/planner.ts</x:v>
      </x:c>
      <x:c r="P1858" s="71" t="str">
        <x:v>estimateLegForConstraints:354</x:v>
      </x:c>
      <x:c r="Q1858" s="71" t="str">
        <x:v>EN (default / shared)</x:v>
      </x:c>
      <x:c r="R1858" s="71" t="str">
        <x:v>Already clear and direct; suggested wording intentionally keeps the current copy.</x:v>
      </x:c>
      <x:c r="S1858" s="75" t="str">
        <x:v>Not applied — review required</x:v>
      </x:c>
    </x:row>
    <x:row r="1859">
      <x:c r="A1859" s="71" t="str">
        <x:v>MRV-E5F410B108</x:v>
      </x:c>
      <x:c r="B1859" s="71" t="str">
        <x:v>Planning</x:v>
      </x:c>
      <x:c r="C1859" s="71" t="str">
        <x:v>Planner recommendations</x:v>
      </x:c>
      <x:c r="D1859" s="71" t="str">
        <x:v>Shared planner output</x:v>
      </x:c>
      <x:c r="E1859" s="71" t="str">
        <x:v>candidates</x:v>
      </x:c>
      <x:c r="F1859" s="71" t="str">
        <x:v>Default</x:v>
      </x:c>
      <x:c r="G1859" s="71" t="str">
        <x:v>Label</x:v>
      </x:c>
      <x:c r="H1859" s="71" t="str">
        <x:v>Fly</x:v>
      </x:c>
      <x:c r="I1859" s="71" t="str">
        <x:v>Fly</x:v>
      </x:c>
      <x:c r="J1859" s="73"/>
      <x:c r="K1859" s="74" t="str">
        <x:f>IF(J1859="",H1859,IF(J1859=I1859,I1859,J1859))</x:f>
        <x:v>Fly</x:v>
      </x:c>
      <x:c r="L1859" s="74" t="str">
        <x:f>IF(J1859="","Keep current",IF(J1859=I1859,"Use suggestion","Custom"))</x:f>
        <x:v>Keep current</x:v>
      </x:c>
      <x:c r="M1859" s="71" t="str">
        <x:v>Pending review</x:v>
      </x:c>
      <x:c r="N1859" s="71" t="str">
        <x:v>Normal</x:v>
      </x:c>
      <x:c r="O1859" s="71" t="str">
        <x:v>lib/easyt/planner.ts</x:v>
      </x:c>
      <x:c r="P1859" s="71" t="str">
        <x:v>candidates:377</x:v>
      </x:c>
      <x:c r="Q1859" s="71" t="str">
        <x:v>EN (default / shared)</x:v>
      </x:c>
      <x:c r="R1859" s="71" t="str">
        <x:v>Already clear and direct; suggested wording intentionally keeps the current copy.</x:v>
      </x:c>
      <x:c r="S1859" s="75" t="str">
        <x:v>Not applied — review required</x:v>
      </x:c>
    </x:row>
    <x:row r="1860">
      <x:c r="A1860" s="71" t="str">
        <x:v>MRV-86031BC217</x:v>
      </x:c>
      <x:c r="B1860" s="71" t="str">
        <x:v>Planning</x:v>
      </x:c>
      <x:c r="C1860" s="71" t="str">
        <x:v>Planner recommendations</x:v>
      </x:c>
      <x:c r="D1860" s="71" t="str">
        <x:v>Shared planner output</x:v>
      </x:c>
      <x:c r="E1860" s="71" t="str">
        <x:v>candidates</x:v>
      </x:c>
      <x:c r="F1860" s="71" t="str">
        <x:v>Default</x:v>
      </x:c>
      <x:c r="G1860" s="71" t="str">
        <x:v>Label</x:v>
      </x:c>
      <x:c r="H1860" s="71" t="str">
        <x:v>Take the train</x:v>
      </x:c>
      <x:c r="I1860" s="71" t="str">
        <x:v>Take the train</x:v>
      </x:c>
      <x:c r="J1860" s="73"/>
      <x:c r="K1860" s="74" t="str">
        <x:f>IF(J1860="",H1860,IF(J1860=I1860,I1860,J1860))</x:f>
        <x:v>Take the train</x:v>
      </x:c>
      <x:c r="L1860" s="74" t="str">
        <x:f>IF(J1860="","Keep current",IF(J1860=I1860,"Use suggestion","Custom"))</x:f>
        <x:v>Keep current</x:v>
      </x:c>
      <x:c r="M1860" s="71" t="str">
        <x:v>Pending review</x:v>
      </x:c>
      <x:c r="N1860" s="71" t="str">
        <x:v>Normal</x:v>
      </x:c>
      <x:c r="O1860" s="71" t="str">
        <x:v>lib/easyt/planner.ts</x:v>
      </x:c>
      <x:c r="P1860" s="71" t="str">
        <x:v>candidates:377</x:v>
      </x:c>
      <x:c r="Q1860" s="71" t="str">
        <x:v>EN (default / shared)</x:v>
      </x:c>
      <x:c r="R1860" s="71" t="str">
        <x:v>Already clear and direct; suggested wording intentionally keeps the current copy.</x:v>
      </x:c>
      <x:c r="S1860" s="75" t="str">
        <x:v>Not applied — review required</x:v>
      </x:c>
    </x:row>
    <x:row r="1861">
      <x:c r="A1861" s="71" t="str">
        <x:v>MRV-1BD76D0D93</x:v>
      </x:c>
      <x:c r="B1861" s="71" t="str">
        <x:v>Planning</x:v>
      </x:c>
      <x:c r="C1861" s="71" t="str">
        <x:v>Planner recommendations</x:v>
      </x:c>
      <x:c r="D1861" s="71" t="str">
        <x:v>Shared planner output</x:v>
      </x:c>
      <x:c r="E1861" s="71" t="str">
        <x:v>candidates</x:v>
      </x:c>
      <x:c r="F1861" s="71" t="str">
        <x:v>Default</x:v>
      </x:c>
      <x:c r="G1861" s="71" t="str">
        <x:v>Label</x:v>
      </x:c>
      <x:c r="H1861" s="71" t="str">
        <x:v>Travel by road</x:v>
      </x:c>
      <x:c r="I1861" s="71" t="str">
        <x:v>Travel by road</x:v>
      </x:c>
      <x:c r="J1861" s="73"/>
      <x:c r="K1861" s="74" t="str">
        <x:f>IF(J1861="",H1861,IF(J1861=I1861,I1861,J1861))</x:f>
        <x:v>Travel by road</x:v>
      </x:c>
      <x:c r="L1861" s="74" t="str">
        <x:f>IF(J1861="","Keep current",IF(J1861=I1861,"Use suggestion","Custom"))</x:f>
        <x:v>Keep current</x:v>
      </x:c>
      <x:c r="M1861" s="71" t="str">
        <x:v>Pending review</x:v>
      </x:c>
      <x:c r="N1861" s="71" t="str">
        <x:v>Normal</x:v>
      </x:c>
      <x:c r="O1861" s="71" t="str">
        <x:v>lib/easyt/planner.ts</x:v>
      </x:c>
      <x:c r="P1861" s="71" t="str">
        <x:v>candidates:377</x:v>
      </x:c>
      <x:c r="Q1861" s="71" t="str">
        <x:v>EN (default / shared)</x:v>
      </x:c>
      <x:c r="R1861" s="71" t="str">
        <x:v>Already clear and direct; suggested wording intentionally keeps the current copy.</x:v>
      </x:c>
      <x:c r="S1861" s="75" t="str">
        <x:v>Not applied — review required</x:v>
      </x:c>
    </x:row>
    <x:row r="1862">
      <x:c r="A1862" s="71" t="str">
        <x:v>MRV-7C383FB568</x:v>
      </x:c>
      <x:c r="B1862" s="71" t="str">
        <x:v>Planning</x:v>
      </x:c>
      <x:c r="C1862" s="71" t="str">
        <x:v>Planner recommendations</x:v>
      </x:c>
      <x:c r="D1862" s="71" t="str">
        <x:v>Shared planner output</x:v>
      </x:c>
      <x:c r="E1862" s="71" t="str">
        <x:v>legDecisionAlternatives</x:v>
      </x:c>
      <x:c r="F1862" s="71" t="str">
        <x:v>Default</x:v>
      </x:c>
      <x:c r="G1862" s="71" t="str">
        <x:v>Label</x:v>
      </x:c>
      <x:c r="H1862" s="71" t="str">
        <x:v>Direct road transfer</x:v>
      </x:c>
      <x:c r="I1862" s="71" t="str">
        <x:v>Direct road transfer</x:v>
      </x:c>
      <x:c r="J1862" s="73"/>
      <x:c r="K1862" s="74" t="str">
        <x:f>IF(J1862="",H1862,IF(J1862=I1862,I1862,J1862))</x:f>
        <x:v>Direct road transfer</x:v>
      </x:c>
      <x:c r="L1862" s="74" t="str">
        <x:f>IF(J1862="","Keep current",IF(J1862=I1862,"Use suggestion","Custom"))</x:f>
        <x:v>Keep current</x:v>
      </x:c>
      <x:c r="M1862" s="71" t="str">
        <x:v>Pending review</x:v>
      </x:c>
      <x:c r="N1862" s="71" t="str">
        <x:v>Normal</x:v>
      </x:c>
      <x:c r="O1862" s="71" t="str">
        <x:v>lib/easyt/planner.ts</x:v>
      </x:c>
      <x:c r="P1862" s="71" t="str">
        <x:v>legDecisionAlternatives:379</x:v>
      </x:c>
      <x:c r="Q1862" s="71" t="str">
        <x:v>EN (default / shared)</x:v>
      </x:c>
      <x:c r="R1862" s="71" t="str">
        <x:v>Already clear and direct; suggested wording intentionally keeps the current copy.</x:v>
      </x:c>
      <x:c r="S1862" s="75" t="str">
        <x:v>Not applied — review required</x:v>
      </x:c>
    </x:row>
    <x:row r="1863">
      <x:c r="A1863" s="71" t="str">
        <x:v>MRV-20224562D2</x:v>
      </x:c>
      <x:c r="B1863" s="71" t="str">
        <x:v>Planning</x:v>
      </x:c>
      <x:c r="C1863" s="71" t="str">
        <x:v>Planner recommendations</x:v>
      </x:c>
      <x:c r="D1863" s="71" t="str">
        <x:v>Shared planner output</x:v>
      </x:c>
      <x:c r="E1863" s="71" t="str">
        <x:v>legDecisionAlternatives</x:v>
      </x:c>
      <x:c r="F1863" s="71" t="str">
        <x:v>Default</x:v>
      </x:c>
      <x:c r="G1863" s="71" t="str">
        <x:v>Body copy</x:v>
      </x:c>
      <x:c r="H1863" s="71" t="str">
        <x:v>Compare coach or shared road travel</x:v>
      </x:c>
      <x:c r="I1863" s="71" t="str">
        <x:v>Compare coach or shared road travel</x:v>
      </x:c>
      <x:c r="J1863" s="73"/>
      <x:c r="K1863" s="74" t="str">
        <x:f>IF(J1863="",H1863,IF(J1863=I1863,I1863,J1863))</x:f>
        <x:v>Compare coach or shared road travel</x:v>
      </x:c>
      <x:c r="L1863" s="74" t="str">
        <x:f>IF(J1863="","Keep current",IF(J1863=I1863,"Use suggestion","Custom"))</x:f>
        <x:v>Keep current</x:v>
      </x:c>
      <x:c r="M1863" s="71" t="str">
        <x:v>Pending review</x:v>
      </x:c>
      <x:c r="N1863" s="71" t="str">
        <x:v>Normal</x:v>
      </x:c>
      <x:c r="O1863" s="71" t="str">
        <x:v>lib/easyt/planner.ts</x:v>
      </x:c>
      <x:c r="P1863" s="71" t="str">
        <x:v>legDecisionAlternatives:381</x:v>
      </x:c>
      <x:c r="Q1863" s="71" t="str">
        <x:v>EN (default / shared)</x:v>
      </x:c>
      <x:c r="R1863" s="71" t="str">
        <x:v>Already clear and direct; suggested wording intentionally keeps the current copy.</x:v>
      </x:c>
      <x:c r="S1863" s="75" t="str">
        <x:v>Not applied — review required</x:v>
      </x:c>
    </x:row>
    <x:row r="1864">
      <x:c r="A1864" s="71" t="str">
        <x:v>MRV-41EE6E38B9</x:v>
      </x:c>
      <x:c r="B1864" s="71" t="str">
        <x:v>Planning</x:v>
      </x:c>
      <x:c r="C1864" s="71" t="str">
        <x:v>Planner recommendations</x:v>
      </x:c>
      <x:c r="D1864" s="71" t="str">
        <x:v>Shared planner output</x:v>
      </x:c>
      <x:c r="E1864" s="71" t="str">
        <x:v>legDecisionAlternatives</x:v>
      </x:c>
      <x:c r="F1864" s="71" t="str">
        <x:v>Default</x:v>
      </x:c>
      <x:c r="G1864" s="71" t="str">
        <x:v>Label</x:v>
      </x:c>
      <x:c r="H1864" s="71" t="str">
        <x:v>Compare rail</x:v>
      </x:c>
      <x:c r="I1864" s="71" t="str">
        <x:v>Compare rail</x:v>
      </x:c>
      <x:c r="J1864" s="73"/>
      <x:c r="K1864" s="74" t="str">
        <x:f>IF(J1864="",H1864,IF(J1864=I1864,I1864,J1864))</x:f>
        <x:v>Compare rail</x:v>
      </x:c>
      <x:c r="L1864" s="74" t="str">
        <x:f>IF(J1864="","Keep current",IF(J1864=I1864,"Use suggestion","Custom"))</x:f>
        <x:v>Keep current</x:v>
      </x:c>
      <x:c r="M1864" s="71" t="str">
        <x:v>Pending review</x:v>
      </x:c>
      <x:c r="N1864" s="71" t="str">
        <x:v>Normal</x:v>
      </x:c>
      <x:c r="O1864" s="71" t="str">
        <x:v>lib/easyt/planner.ts</x:v>
      </x:c>
      <x:c r="P1864" s="71" t="str">
        <x:v>legDecisionAlternatives:382</x:v>
      </x:c>
      <x:c r="Q1864" s="71" t="str">
        <x:v>EN (default / shared)</x:v>
      </x:c>
      <x:c r="R1864" s="71" t="str">
        <x:v>Already clear and direct; suggested wording intentionally keeps the current copy.</x:v>
      </x:c>
      <x:c r="S1864" s="75" t="str">
        <x:v>Not applied — review required</x:v>
      </x:c>
    </x:row>
    <x:row r="1865">
      <x:c r="A1865" s="71" t="str">
        <x:v>MRV-A4ACD01E56</x:v>
      </x:c>
      <x:c r="B1865" s="71" t="str">
        <x:v>Planning</x:v>
      </x:c>
      <x:c r="C1865" s="71" t="str">
        <x:v>Planner recommendations</x:v>
      </x:c>
      <x:c r="D1865" s="71" t="str">
        <x:v>Shared planner output</x:v>
      </x:c>
      <x:c r="E1865" s="71" t="str">
        <x:v>legDecisionAlternatives</x:v>
      </x:c>
      <x:c r="F1865" s="71" t="str">
        <x:v>Default</x:v>
      </x:c>
      <x:c r="G1865" s="71" t="str">
        <x:v>Body copy</x:v>
      </x:c>
      <x:c r="H1865" s="71" t="str">
        <x:v>Make the journey part of the trip</x:v>
      </x:c>
      <x:c r="I1865" s="71" t="str">
        <x:v>Make the journey part of the trip</x:v>
      </x:c>
      <x:c r="J1865" s="73"/>
      <x:c r="K1865" s="74" t="str">
        <x:f>IF(J1865="",H1865,IF(J1865=I1865,I1865,J1865))</x:f>
        <x:v>Make the journey part of the trip</x:v>
      </x:c>
      <x:c r="L1865" s="74" t="str">
        <x:f>IF(J1865="","Keep current",IF(J1865=I1865,"Use suggestion","Custom"))</x:f>
        <x:v>Keep current</x:v>
      </x:c>
      <x:c r="M1865" s="71" t="str">
        <x:v>Pending review</x:v>
      </x:c>
      <x:c r="N1865" s="71" t="str">
        <x:v>Normal</x:v>
      </x:c>
      <x:c r="O1865" s="71" t="str">
        <x:v>lib/easyt/planner.ts</x:v>
      </x:c>
      <x:c r="P1865" s="71" t="str">
        <x:v>legDecisionAlternatives:383</x:v>
      </x:c>
      <x:c r="Q1865" s="71" t="str">
        <x:v>EN (default / shared)</x:v>
      </x:c>
      <x:c r="R1865" s="71" t="str">
        <x:v>Already clear and direct; suggested wording intentionally keeps the current copy. Terminology watch: ‘trip’ and ‘journey’ both describe the same plan. Terminology watch: ‘stops’, ‘destinations’ and ‘places’ overlap.</x:v>
      </x:c>
      <x:c r="S1865" s="75" t="str">
        <x:v>Not applied — review required</x:v>
      </x:c>
    </x:row>
    <x:row r="1866">
      <x:c r="A1866" s="71" t="str">
        <x:v>MRV-165C46A70C</x:v>
      </x:c>
      <x:c r="B1866" s="71" t="str">
        <x:v>Planning</x:v>
      </x:c>
      <x:c r="C1866" s="71" t="str">
        <x:v>Planner recommendations</x:v>
      </x:c>
      <x:c r="D1866" s="71" t="str">
        <x:v>Shared planner output</x:v>
      </x:c>
      <x:c r="E1866" s="71" t="str">
        <x:v>transportTradeoffs</x:v>
      </x:c>
      <x:c r="F1866" s="71" t="str">
        <x:v>Default</x:v>
      </x:c>
      <x:c r="G1866" s="71" t="str">
        <x:v>Body copy</x:v>
      </x:c>
      <x:c r="H1866" s="71" t="str">
        <x:v>Avoid driving is set, but one or more local transfers still need a rail or flight check.</x:v>
      </x:c>
      <x:c r="I1866" s="71" t="str">
        <x:v>Avoid driving is set, but one or more local transfers still need a rail or flight check.</x:v>
      </x:c>
      <x:c r="J1866" s="73"/>
      <x:c r="K1866" s="74" t="str">
        <x:f>IF(J1866="",H1866,IF(J1866=I1866,I1866,J1866))</x:f>
        <x:v>Avoid driving is set, but one or more local transfers still need a rail or flight check.</x:v>
      </x:c>
      <x:c r="L1866" s="74" t="str">
        <x:f>IF(J1866="","Keep current",IF(J1866=I1866,"Use suggestion","Custom"))</x:f>
        <x:v>Keep current</x:v>
      </x:c>
      <x:c r="M1866" s="71" t="str">
        <x:v>Pending review</x:v>
      </x:c>
      <x:c r="N1866" s="71" t="str">
        <x:v>Normal</x:v>
      </x:c>
      <x:c r="O1866" s="71" t="str">
        <x:v>lib/easyt/planner.ts</x:v>
      </x:c>
      <x:c r="P1866" s="71" t="str">
        <x:v>transportTradeoffs:419</x:v>
      </x:c>
      <x:c r="Q1866" s="71" t="str">
        <x:v>EN (default / shared)</x:v>
      </x:c>
      <x:c r="R1866" s="71" t="str">
        <x:v>Already clear and direct; suggested wording intentionally keeps the current copy.</x:v>
      </x:c>
      <x:c r="S1866" s="75" t="str">
        <x:v>Not applied — review required</x:v>
      </x:c>
    </x:row>
    <x:row r="1867">
      <x:c r="A1867" s="71" t="str">
        <x:v>MRV-5F47321842</x:v>
      </x:c>
      <x:c r="B1867" s="71" t="str">
        <x:v>Planning</x:v>
      </x:c>
      <x:c r="C1867" s="71" t="str">
        <x:v>Planner recommendations</x:v>
      </x:c>
      <x:c r="D1867" s="71" t="str">
        <x:v>Shared planner output</x:v>
      </x:c>
      <x:c r="E1867" s="71" t="str">
        <x:v>transportTradeoffs</x:v>
      </x:c>
      <x:c r="F1867" s="71" t="str">
        <x:v>Default</x:v>
      </x:c>
      <x:c r="G1867" s="71" t="str">
        <x:v>Body copy</x:v>
      </x:c>
      <x:c r="H1867" s="71" t="str">
        <x:v>This route may still need {unpreferred.join(" or ")} transfers; compare alternatives before booking.</x:v>
      </x:c>
      <x:c r="I1867" s="71" t="str">
        <x:v>This route may still need {unpreferred.join(" or ")} transfers; compare alternatives before booking.</x:v>
      </x:c>
      <x:c r="J1867" s="73"/>
      <x:c r="K1867" s="74" t="str">
        <x:f>IF(J1867="",H1867,IF(J1867=I1867,I1867,J1867))</x:f>
        <x:v>This route may still need {unpreferred.join(" or ")} transfers; compare alternatives before booking.</x:v>
      </x:c>
      <x:c r="L1867" s="74" t="str">
        <x:f>IF(J1867="","Keep current",IF(J1867=I1867,"Use suggestion","Custom"))</x:f>
        <x:v>Keep current</x:v>
      </x:c>
      <x:c r="M1867" s="71" t="str">
        <x:v>Pending review</x:v>
      </x:c>
      <x:c r="N1867" s="71" t="str">
        <x:v>Normal</x:v>
      </x:c>
      <x:c r="O1867" s="71" t="str">
        <x:v>lib/easyt/planner.ts</x:v>
      </x:c>
      <x:c r="P1867" s="71" t="str">
        <x:v>transportTradeoffs:423</x:v>
      </x:c>
      <x:c r="Q1867" s="71" t="str">
        <x:v>EN (default / shared)</x:v>
      </x:c>
      <x:c r="R1867" s="71" t="str">
        <x:v>Already clear and direct; suggested wording intentionally keeps the current copy. Dynamic traveller or trip value is represented as a token; user-generated values are excluded.</x:v>
      </x:c>
      <x:c r="S1867" s="75" t="str">
        <x:v>Not applied — review required</x:v>
      </x:c>
    </x:row>
    <x:row r="1868">
      <x:c r="A1868" s="71" t="str">
        <x:v>MRV-CD1A9B4245</x:v>
      </x:c>
      <x:c r="B1868" s="71" t="str">
        <x:v>Planning</x:v>
      </x:c>
      <x:c r="C1868" s="71" t="str">
        <x:v>Planner recommendations</x:v>
      </x:c>
      <x:c r="D1868" s="71" t="str">
        <x:v>Shared planner output</x:v>
      </x:c>
      <x:c r="E1868" s="71" t="str">
        <x:v>reasons</x:v>
      </x:c>
      <x:c r="F1868" s="71" t="str">
        <x:v>Default</x:v>
      </x:c>
      <x:c r="G1868" s="71" t="str">
        <x:v>Body copy</x:v>
      </x:c>
      <x:c r="H1868" s="71" t="str">
        <x:v>It preserves the fixed route gateways and required destinations.</x:v>
      </x:c>
      <x:c r="I1868" s="71" t="str">
        <x:v>It preserves the fixed route gateways and required destinations.</x:v>
      </x:c>
      <x:c r="J1868" s="73"/>
      <x:c r="K1868" s="74" t="str">
        <x:f>IF(J1868="",H1868,IF(J1868=I1868,I1868,J1868))</x:f>
        <x:v>It preserves the fixed route gateways and required destinations.</x:v>
      </x:c>
      <x:c r="L1868" s="74" t="str">
        <x:f>IF(J1868="","Keep current",IF(J1868=I1868,"Use suggestion","Custom"))</x:f>
        <x:v>Keep current</x:v>
      </x:c>
      <x:c r="M1868" s="71" t="str">
        <x:v>Pending review</x:v>
      </x:c>
      <x:c r="N1868" s="71" t="str">
        <x:v>Normal</x:v>
      </x:c>
      <x:c r="O1868" s="71" t="str">
        <x:v>lib/easyt/planner.ts</x:v>
      </x:c>
      <x:c r="P1868" s="71" t="str">
        <x:v>reasons:533</x:v>
      </x:c>
      <x:c r="Q1868" s="71" t="str">
        <x:v>EN (default / shared)</x:v>
      </x:c>
      <x:c r="R1868" s="71" t="str">
        <x:v>Already clear and direct; suggested wording intentionally keeps the current copy. Terminology watch: ‘trip’ and ‘journey’ both describe the same plan. Terminology watch: ‘stops’, ‘destinations’ and ‘places’ overlap.</x:v>
      </x:c>
      <x:c r="S1868" s="75" t="str">
        <x:v>Not applied — review required</x:v>
      </x:c>
    </x:row>
    <x:row r="1869">
      <x:c r="A1869" s="71" t="str">
        <x:v>MRV-28FD3450B6</x:v>
      </x:c>
      <x:c r="B1869" s="71" t="str">
        <x:v>Planning</x:v>
      </x:c>
      <x:c r="C1869" s="71" t="str">
        <x:v>Planner recommendations</x:v>
      </x:c>
      <x:c r="D1869" s="71" t="str">
        <x:v>Shared planner output</x:v>
      </x:c>
      <x:c r="E1869" s="71" t="str">
        <x:v>reasons</x:v>
      </x:c>
      <x:c r="F1869" s="71" t="str">
        <x:v>Default</x:v>
      </x:c>
      <x:c r="G1869" s="71" t="str">
        <x:v>Body copy</x:v>
      </x:c>
      <x:c r="H1869" s="71" t="str">
        <x:v>It removes about {Math.floor(improvementMinutes / 60)}h {improvementMinutes % 60}m of estimated door-to-door travel.</x:v>
      </x:c>
      <x:c r="I1869" s="71" t="str">
        <x:v>It removes about {Math.floor(improvementMinutes / 60)}h {improvementMinutes % 60}m of estimated door-to-door travel.</x:v>
      </x:c>
      <x:c r="J1869" s="73"/>
      <x:c r="K1869" s="74" t="str">
        <x:f>IF(J1869="",H1869,IF(J1869=I1869,I1869,J1869))</x:f>
        <x:v>It removes about {Math.floor(improvementMinutes / 60)}h {improvementMinutes % 60}m of estimated door-to-door travel.</x:v>
      </x:c>
      <x:c r="L1869" s="74" t="str">
        <x:f>IF(J1869="","Keep current",IF(J1869=I1869,"Use suggestion","Custom"))</x:f>
        <x:v>Keep current</x:v>
      </x:c>
      <x:c r="M1869" s="71" t="str">
        <x:v>Pending review</x:v>
      </x:c>
      <x:c r="N1869" s="71" t="str">
        <x:v>Normal</x:v>
      </x:c>
      <x:c r="O1869" s="71" t="str">
        <x:v>lib/easyt/planner.ts</x:v>
      </x:c>
      <x:c r="P1869" s="71" t="str">
        <x:v>reasons:535</x:v>
      </x:c>
      <x:c r="Q1869" s="71" t="str">
        <x:v>EN (default / shared)</x:v>
      </x:c>
      <x:c r="R1869" s="71" t="str">
        <x:v>Already clear and direct; suggested wording intentionally keeps the current copy. Dynamic traveller or trip value is represented as a token; user-generated values are excluded.</x:v>
      </x:c>
      <x:c r="S1869" s="75" t="str">
        <x:v>Not applied — review required</x:v>
      </x:c>
    </x:row>
    <x:row r="1870">
      <x:c r="A1870" s="71" t="str">
        <x:v>MRV-BE7AAC4D7A</x:v>
      </x:c>
      <x:c r="B1870" s="71" t="str">
        <x:v>Planning</x:v>
      </x:c>
      <x:c r="C1870" s="71" t="str">
        <x:v>Planner recommendations</x:v>
      </x:c>
      <x:c r="D1870" s="71" t="str">
        <x:v>Shared planner output</x:v>
      </x:c>
      <x:c r="E1870" s="71" t="str">
        <x:v>reasons</x:v>
      </x:c>
      <x:c r="F1870" s="71" t="str">
        <x:v>Default</x:v>
      </x:c>
      <x:c r="G1870" s="71" t="str">
        <x:v>Body copy</x:v>
      </x:c>
      <x:c r="H1870" s="71" t="str">
        <x:v>It also reduces the number of travel-heavy days.</x:v>
      </x:c>
      <x:c r="I1870" s="71" t="str">
        <x:v>It also reduces the number of travel-heavy days.</x:v>
      </x:c>
      <x:c r="J1870" s="73"/>
      <x:c r="K1870" s="74" t="str">
        <x:f>IF(J1870="",H1870,IF(J1870=I1870,I1870,J1870))</x:f>
        <x:v>It also reduces the number of travel-heavy days.</x:v>
      </x:c>
      <x:c r="L1870" s="74" t="str">
        <x:f>IF(J1870="","Keep current",IF(J1870=I1870,"Use suggestion","Custom"))</x:f>
        <x:v>Keep current</x:v>
      </x:c>
      <x:c r="M1870" s="71" t="str">
        <x:v>Pending review</x:v>
      </x:c>
      <x:c r="N1870" s="71" t="str">
        <x:v>Normal</x:v>
      </x:c>
      <x:c r="O1870" s="71" t="str">
        <x:v>lib/easyt/planner.ts</x:v>
      </x:c>
      <x:c r="P1870" s="71" t="str">
        <x:v>reasons:537</x:v>
      </x:c>
      <x:c r="Q1870" s="71" t="str">
        <x:v>EN (default / shared)</x:v>
      </x:c>
      <x:c r="R1870" s="71" t="str">
        <x:v>Already clear and direct; suggested wording intentionally keeps the current copy.</x:v>
      </x:c>
      <x:c r="S1870" s="75" t="str">
        <x:v>Not applied — review required</x:v>
      </x:c>
    </x:row>
    <x:row r="1871">
      <x:c r="A1871" s="71" t="str">
        <x:v>MRV-B227FC62C9</x:v>
      </x:c>
      <x:c r="B1871" s="71" t="str">
        <x:v>Planning</x:v>
      </x:c>
      <x:c r="C1871" s="71" t="str">
        <x:v>Planner recommendations</x:v>
      </x:c>
      <x:c r="D1871" s="71" t="str">
        <x:v>Shared planner output</x:v>
      </x:c>
      <x:c r="E1871" s="71" t="str">
        <x:v>reasons</x:v>
      </x:c>
      <x:c r="F1871" s="71" t="str">
        <x:v>Default</x:v>
      </x:c>
      <x:c r="G1871" s="71" t="str">
        <x:v>Body copy</x:v>
      </x:c>
      <x:c r="H1871" s="71" t="str">
        <x:v>It keeps the route moving in one direction instead of doubling back.</x:v>
      </x:c>
      <x:c r="I1871" s="71" t="str">
        <x:v>It keeps the route moving in one direction instead of doubling back.</x:v>
      </x:c>
      <x:c r="J1871" s="73"/>
      <x:c r="K1871" s="74" t="str">
        <x:f>IF(J1871="",H1871,IF(J1871=I1871,I1871,J1871))</x:f>
        <x:v>It keeps the route moving in one direction instead of doubling back.</x:v>
      </x:c>
      <x:c r="L1871" s="74" t="str">
        <x:f>IF(J1871="","Keep current",IF(J1871=I1871,"Use suggestion","Custom"))</x:f>
        <x:v>Keep current</x:v>
      </x:c>
      <x:c r="M1871" s="71" t="str">
        <x:v>Pending review</x:v>
      </x:c>
      <x:c r="N1871" s="71" t="str">
        <x:v>Normal</x:v>
      </x:c>
      <x:c r="O1871" s="71" t="str">
        <x:v>lib/easyt/planner.ts</x:v>
      </x:c>
      <x:c r="P1871" s="71" t="str">
        <x:v>reasons:537</x:v>
      </x:c>
      <x:c r="Q1871" s="71" t="str">
        <x:v>EN (default / shared)</x:v>
      </x:c>
      <x:c r="R1871" s="71" t="str">
        <x:v>Already clear and direct; suggested wording intentionally keeps the current copy.</x:v>
      </x:c>
      <x:c r="S1871" s="75" t="str">
        <x:v>Not applied — review required</x:v>
      </x:c>
    </x:row>
    <x:row r="1872">
      <x:c r="A1872" s="71" t="str">
        <x:v>MRV-1F004D7EB1</x:v>
      </x:c>
      <x:c r="B1872" s="71" t="str">
        <x:v>Planning</x:v>
      </x:c>
      <x:c r="C1872" s="71" t="str">
        <x:v>Planner recommendations</x:v>
      </x:c>
      <x:c r="D1872" s="71" t="str">
        <x:v>Shared planner output</x:v>
      </x:c>
      <x:c r="E1872" s="71" t="str">
        <x:v>reason</x:v>
      </x:c>
      <x:c r="F1872" s="71" t="str">
        <x:v>Default</x:v>
      </x:c>
      <x:c r="G1872" s="71" t="str">
        <x:v>Body copy</x:v>
      </x:c>
      <x:c r="H1872" s="71" t="str">
        <x:v>The arrival transfer takes most of the day, so one full day is protected here.</x:v>
      </x:c>
      <x:c r="I1872" s="71" t="str">
        <x:v>The arrival transfer takes most of the day, so one full day is protected here.</x:v>
      </x:c>
      <x:c r="J1872" s="73"/>
      <x:c r="K1872" s="74" t="str">
        <x:f>IF(J1872="",H1872,IF(J1872=I1872,I1872,J1872))</x:f>
        <x:v>The arrival transfer takes most of the day, so one full day is protected here.</x:v>
      </x:c>
      <x:c r="L1872" s="74" t="str">
        <x:f>IF(J1872="","Keep current",IF(J1872=I1872,"Use suggestion","Custom"))</x:f>
        <x:v>Keep current</x:v>
      </x:c>
      <x:c r="M1872" s="71" t="str">
        <x:v>Pending review</x:v>
      </x:c>
      <x:c r="N1872" s="71" t="str">
        <x:v>Normal</x:v>
      </x:c>
      <x:c r="O1872" s="71" t="str">
        <x:v>lib/easyt/planner.ts</x:v>
      </x:c>
      <x:c r="P1872" s="71" t="str">
        <x:v>reason:596</x:v>
      </x:c>
      <x:c r="Q1872" s="71" t="str">
        <x:v>EN (default / shared)</x:v>
      </x:c>
      <x:c r="R1872" s="71" t="str">
        <x:v>Already clear and direct; suggested wording intentionally keeps the current copy.</x:v>
      </x:c>
      <x:c r="S1872" s="75" t="str">
        <x:v>Not applied — review required</x:v>
      </x:c>
    </x:row>
    <x:row r="1873">
      <x:c r="A1873" s="71" t="str">
        <x:v>MRV-BE1DC11221</x:v>
      </x:c>
      <x:c r="B1873" s="71" t="str">
        <x:v>Planning</x:v>
      </x:c>
      <x:c r="C1873" s="71" t="str">
        <x:v>Planner recommendations</x:v>
      </x:c>
      <x:c r="D1873" s="71" t="str">
        <x:v>Shared planner output</x:v>
      </x:c>
      <x:c r="E1873" s="71" t="str">
        <x:v>reason</x:v>
      </x:c>
      <x:c r="F1873" s="71" t="str">
        <x:v>Default</x:v>
      </x:c>
      <x:c r="G1873" s="71" t="str">
        <x:v>Body copy</x:v>
      </x:c>
      <x:c r="H1873" s="71" t="str">
        <x:v>The arrival transfer uses a meaningful part of the day.</x:v>
      </x:c>
      <x:c r="I1873" s="71" t="str">
        <x:v>The arrival transfer uses a meaningful part of the day.</x:v>
      </x:c>
      <x:c r="J1873" s="73"/>
      <x:c r="K1873" s="74" t="str">
        <x:f>IF(J1873="",H1873,IF(J1873=I1873,I1873,J1873))</x:f>
        <x:v>The arrival transfer uses a meaningful part of the day.</x:v>
      </x:c>
      <x:c r="L1873" s="74" t="str">
        <x:f>IF(J1873="","Keep current",IF(J1873=I1873,"Use suggestion","Custom"))</x:f>
        <x:v>Keep current</x:v>
      </x:c>
      <x:c r="M1873" s="71" t="str">
        <x:v>Pending review</x:v>
      </x:c>
      <x:c r="N1873" s="71" t="str">
        <x:v>Normal</x:v>
      </x:c>
      <x:c r="O1873" s="71" t="str">
        <x:v>lib/easyt/planner.ts</x:v>
      </x:c>
      <x:c r="P1873" s="71" t="str">
        <x:v>reason:598</x:v>
      </x:c>
      <x:c r="Q1873" s="71" t="str">
        <x:v>EN (default / shared)</x:v>
      </x:c>
      <x:c r="R1873" s="71" t="str">
        <x:v>Already clear and direct; suggested wording intentionally keeps the current copy.</x:v>
      </x:c>
      <x:c r="S1873" s="75" t="str">
        <x:v>Not applied — review required</x:v>
      </x:c>
    </x:row>
    <x:row r="1874">
      <x:c r="A1874" s="71" t="str">
        <x:v>MRV-2000CEB667</x:v>
      </x:c>
      <x:c r="B1874" s="71" t="str">
        <x:v>Planning</x:v>
      </x:c>
      <x:c r="C1874" s="71" t="str">
        <x:v>Planner recommendations</x:v>
      </x:c>
      <x:c r="D1874" s="71" t="str">
        <x:v>Shared planner output</x:v>
      </x:c>
      <x:c r="E1874" s="71" t="str">
        <x:v>reason</x:v>
      </x:c>
      <x:c r="F1874" s="71" t="str">
        <x:v>Default</x:v>
      </x:c>
      <x:c r="G1874" s="71" t="str">
        <x:v>Body copy</x:v>
      </x:c>
      <x:c r="H1874" s="71" t="str">
        <x:v>Keep a full visit day protected for this landmark.</x:v>
      </x:c>
      <x:c r="I1874" s="71" t="str">
        <x:v>Keep a full visit day protected for this landmark.</x:v>
      </x:c>
      <x:c r="J1874" s="73"/>
      <x:c r="K1874" s="74" t="str">
        <x:f>IF(J1874="",H1874,IF(J1874=I1874,I1874,J1874))</x:f>
        <x:v>Keep a full visit day protected for this landmark.</x:v>
      </x:c>
      <x:c r="L1874" s="74" t="str">
        <x:f>IF(J1874="","Keep current",IF(J1874=I1874,"Use suggestion","Custom"))</x:f>
        <x:v>Keep current</x:v>
      </x:c>
      <x:c r="M1874" s="71" t="str">
        <x:v>Pending review</x:v>
      </x:c>
      <x:c r="N1874" s="71" t="str">
        <x:v>Normal</x:v>
      </x:c>
      <x:c r="O1874" s="71" t="str">
        <x:v>lib/easyt/planner.ts</x:v>
      </x:c>
      <x:c r="P1874" s="71" t="str">
        <x:v>reason:600</x:v>
      </x:c>
      <x:c r="Q1874" s="71" t="str">
        <x:v>EN (default / shared)</x:v>
      </x:c>
      <x:c r="R1874" s="71" t="str">
        <x:v>Already clear and direct; suggested wording intentionally keeps the current copy.</x:v>
      </x:c>
      <x:c r="S1874" s="75" t="str">
        <x:v>Not applied — review required</x:v>
      </x:c>
    </x:row>
    <x:row r="1875">
      <x:c r="A1875" s="71" t="str">
        <x:v>MRV-401B0A24B0</x:v>
      </x:c>
      <x:c r="B1875" s="71" t="str">
        <x:v>Planning</x:v>
      </x:c>
      <x:c r="C1875" s="71" t="str">
        <x:v>Planner recommendations</x:v>
      </x:c>
      <x:c r="D1875" s="71" t="str">
        <x:v>Shared planner output</x:v>
      </x:c>
      <x:c r="E1875" s="71" t="str">
        <x:v>reason</x:v>
      </x:c>
      <x:c r="F1875" s="71" t="str">
        <x:v>Default</x:v>
      </x:c>
      <x:c r="G1875" s="71" t="str">
        <x:v>Body copy</x:v>
      </x:c>
      <x:c r="H1875" s="71" t="str">
        <x:v>{selectedCount} selected places need more than a single rushed day.</x:v>
      </x:c>
      <x:c r="I1875" s="71" t="str">
        <x:v>{selectedCount} selected places need more than a single rushed day.</x:v>
      </x:c>
      <x:c r="J1875" s="73"/>
      <x:c r="K1875" s="74" t="str">
        <x:f>IF(J1875="",H1875,IF(J1875=I1875,I1875,J1875))</x:f>
        <x:v>{selectedCount} selected places need more than a single rushed day.</x:v>
      </x:c>
      <x:c r="L1875" s="74" t="str">
        <x:f>IF(J1875="","Keep current",IF(J1875=I1875,"Use suggestion","Custom"))</x:f>
        <x:v>Keep current</x:v>
      </x:c>
      <x:c r="M1875" s="71" t="str">
        <x:v>Pending review</x:v>
      </x:c>
      <x:c r="N1875" s="71" t="str">
        <x:v>Normal</x:v>
      </x:c>
      <x:c r="O1875" s="71" t="str">
        <x:v>lib/easyt/planner.ts</x:v>
      </x:c>
      <x:c r="P1875" s="71" t="str">
        <x:v>reason:602</x:v>
      </x:c>
      <x:c r="Q1875" s="71" t="str">
        <x:v>EN (default / shared)</x:v>
      </x:c>
      <x:c r="R1875"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75" s="75" t="str">
        <x:v>Not applied — review required</x:v>
      </x:c>
    </x:row>
    <x:row r="1876">
      <x:c r="A1876" s="71" t="str">
        <x:v>MRV-7188C226BB</x:v>
      </x:c>
      <x:c r="B1876" s="71" t="str">
        <x:v>Planning</x:v>
      </x:c>
      <x:c r="C1876" s="71" t="str">
        <x:v>Planner recommendations</x:v>
      </x:c>
      <x:c r="D1876" s="71" t="str">
        <x:v>Shared planner output</x:v>
      </x:c>
      <x:c r="E1876" s="71" t="str">
        <x:v>reason</x:v>
      </x:c>
      <x:c r="F1876" s="71" t="str">
        <x:v>Default</x:v>
      </x:c>
      <x:c r="G1876" s="71" t="str">
        <x:v>Body copy</x:v>
      </x:c>
      <x:c r="H1876" s="71" t="str">
        <x:v>This leaves time to arrive and still experience the place.</x:v>
      </x:c>
      <x:c r="I1876" s="71" t="str">
        <x:v>This leaves time to arrive and still experience the place.</x:v>
      </x:c>
      <x:c r="J1876" s="73"/>
      <x:c r="K1876" s="74" t="str">
        <x:f>IF(J1876="",H1876,IF(J1876=I1876,I1876,J1876))</x:f>
        <x:v>This leaves time to arrive and still experience the place.</x:v>
      </x:c>
      <x:c r="L1876" s="74" t="str">
        <x:f>IF(J1876="","Keep current",IF(J1876=I1876,"Use suggestion","Custom"))</x:f>
        <x:v>Keep current</x:v>
      </x:c>
      <x:c r="M1876" s="71" t="str">
        <x:v>Pending review</x:v>
      </x:c>
      <x:c r="N1876" s="71" t="str">
        <x:v>Normal</x:v>
      </x:c>
      <x:c r="O1876" s="71" t="str">
        <x:v>lib/easyt/planner.ts</x:v>
      </x:c>
      <x:c r="P1876" s="71" t="str">
        <x:v>reason:603</x:v>
      </x:c>
      <x:c r="Q1876" s="71" t="str">
        <x:v>EN (default / shared)</x:v>
      </x:c>
      <x:c r="R1876" s="71" t="str">
        <x:v>Already clear and direct; suggested wording intentionally keeps the current copy. Terminology watch: ‘trip’ and ‘journey’ both describe the same plan. Terminology watch: ‘stops’, ‘destinations’ and ‘places’ overlap.</x:v>
      </x:c>
      <x:c r="S1876" s="75" t="str">
        <x:v>Not applied — review required</x:v>
      </x:c>
    </x:row>
    <x:row r="1877">
      <x:c r="A1877" s="71" t="str">
        <x:v>MRV-30848F8ABC</x:v>
      </x:c>
      <x:c r="B1877" s="71" t="str">
        <x:v>Planning</x:v>
      </x:c>
      <x:c r="C1877" s="71" t="str">
        <x:v>Planner recommendations</x:v>
      </x:c>
      <x:c r="D1877" s="71" t="str">
        <x:v>Shared planner output</x:v>
      </x:c>
      <x:c r="E1877" s="71" t="str">
        <x:v>date</x:v>
      </x:c>
      <x:c r="F1877" s="71" t="str">
        <x:v>Default</x:v>
      </x:c>
      <x:c r="G1877" s="71" t="str">
        <x:v>Label</x:v>
      </x:c>
      <x:c r="H1877" s="71" t="str">
        <x:v>{startDate}T00:00:00</x:v>
      </x:c>
      <x:c r="I1877" s="71" t="str">
        <x:v>{startDate}T00:00:00</x:v>
      </x:c>
      <x:c r="J1877" s="73"/>
      <x:c r="K1877" s="74" t="str">
        <x:f>IF(J1877="",H1877,IF(J1877=I1877,I1877,J1877))</x:f>
        <x:v>{startDate}T00:00:00</x:v>
      </x:c>
      <x:c r="L1877" s="74" t="str">
        <x:f>IF(J1877="","Keep current",IF(J1877=I1877,"Use suggestion","Custom"))</x:f>
        <x:v>Keep current</x:v>
      </x:c>
      <x:c r="M1877" s="71" t="str">
        <x:v>Pending review</x:v>
      </x:c>
      <x:c r="N1877" s="71" t="str">
        <x:v>Normal</x:v>
      </x:c>
      <x:c r="O1877" s="71" t="str">
        <x:v>lib/easyt/planner.ts</x:v>
      </x:c>
      <x:c r="P1877" s="71" t="str">
        <x:v>date:647</x:v>
      </x:c>
      <x:c r="Q1877" s="71" t="str">
        <x:v>EN (default / shared)</x:v>
      </x:c>
      <x:c r="R1877" s="71" t="str">
        <x:v>Already clear and direct; suggested wording intentionally keeps the current copy. Duplicate wording: appears 5 times. Dynamic traveller or trip value is represented as a token; user-generated values are excluded.</x:v>
      </x:c>
      <x:c r="S1877" s="75" t="str">
        <x:v>Not applied — review required</x:v>
      </x:c>
    </x:row>
    <x:row r="1878">
      <x:c r="A1878" s="71" t="str">
        <x:v>MRV-FF7F8FE64A</x:v>
      </x:c>
      <x:c r="B1878" s="71" t="str">
        <x:v>Planning</x:v>
      </x:c>
      <x:c r="C1878" s="71" t="str">
        <x:v>Planner recommendations</x:v>
      </x:c>
      <x:c r="D1878" s="71" t="str">
        <x:v>Shared planner output</x:v>
      </x:c>
      <x:c r="E1878" s="71" t="str">
        <x:v>variants</x:v>
      </x:c>
      <x:c r="F1878" s="71" t="str">
        <x:v>Default</x:v>
      </x:c>
      <x:c r="G1878" s="71" t="str">
        <x:v>Tooltip</x:v>
      </x:c>
      <x:c r="H1878" s="71" t="str">
        <x:v>Explore {stop.name}</x:v>
      </x:c>
      <x:c r="I1878" s="71" t="str">
        <x:v>Explore {stop.name}</x:v>
      </x:c>
      <x:c r="J1878" s="73"/>
      <x:c r="K1878" s="74" t="str">
        <x:f>IF(J1878="",H1878,IF(J1878=I1878,I1878,J1878))</x:f>
        <x:v>Explore {stop.name}</x:v>
      </x:c>
      <x:c r="L1878" s="74" t="str">
        <x:f>IF(J1878="","Keep current",IF(J1878=I1878,"Use suggestion","Custom"))</x:f>
        <x:v>Keep current</x:v>
      </x:c>
      <x:c r="M1878" s="71" t="str">
        <x:v>Pending review</x:v>
      </x:c>
      <x:c r="N1878" s="71" t="str">
        <x:v>Normal</x:v>
      </x:c>
      <x:c r="O1878" s="71" t="str">
        <x:v>lib/easyt/planner.ts</x:v>
      </x:c>
      <x:c r="P1878" s="71" t="str">
        <x:v>variants:660</x:v>
      </x:c>
      <x:c r="Q1878" s="71" t="str">
        <x:v>EN (default / shared)</x:v>
      </x:c>
      <x:c r="R1878"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1878" s="75" t="str">
        <x:v>Not applied — review required</x:v>
      </x:c>
    </x:row>
    <x:row r="1879">
      <x:c r="A1879" s="71" t="str">
        <x:v>MRV-D272618799</x:v>
      </x:c>
      <x:c r="B1879" s="71" t="str">
        <x:v>Planning</x:v>
      </x:c>
      <x:c r="C1879" s="71" t="str">
        <x:v>Planner recommendations</x:v>
      </x:c>
      <x:c r="D1879" s="71" t="str">
        <x:v>Shared planner output</x:v>
      </x:c>
      <x:c r="E1879" s="71" t="str">
        <x:v>variants</x:v>
      </x:c>
      <x:c r="F1879" s="71" t="str">
        <x:v>Default</x:v>
      </x:c>
      <x:c r="G1879" s="71" t="str">
        <x:v>Tooltip</x:v>
      </x:c>
      <x:c r="H1879" s="71" t="str">
        <x:v>A slower {stop.name} day</x:v>
      </x:c>
      <x:c r="I1879" s="71" t="str">
        <x:v>A slower {stop.name} day</x:v>
      </x:c>
      <x:c r="J1879" s="73"/>
      <x:c r="K1879" s="74" t="str">
        <x:f>IF(J1879="",H1879,IF(J1879=I1879,I1879,J1879))</x:f>
        <x:v>A slower {stop.name} day</x:v>
      </x:c>
      <x:c r="L1879" s="74" t="str">
        <x:f>IF(J1879="","Keep current",IF(J1879=I1879,"Use suggestion","Custom"))</x:f>
        <x:v>Keep current</x:v>
      </x:c>
      <x:c r="M1879" s="71" t="str">
        <x:v>Pending review</x:v>
      </x:c>
      <x:c r="N1879" s="71" t="str">
        <x:v>Normal</x:v>
      </x:c>
      <x:c r="O1879" s="71" t="str">
        <x:v>lib/easyt/planner.ts</x:v>
      </x:c>
      <x:c r="P1879" s="71" t="str">
        <x:v>variants:661</x:v>
      </x:c>
      <x:c r="Q1879" s="71" t="str">
        <x:v>EN (default / shared)</x:v>
      </x:c>
      <x:c r="R187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79" s="75" t="str">
        <x:v>Not applied — review required</x:v>
      </x:c>
    </x:row>
    <x:row r="1880">
      <x:c r="A1880" s="71" t="str">
        <x:v>MRV-C27B5E5F69</x:v>
      </x:c>
      <x:c r="B1880" s="71" t="str">
        <x:v>Planning</x:v>
      </x:c>
      <x:c r="C1880" s="71" t="str">
        <x:v>Planner recommendations</x:v>
      </x:c>
      <x:c r="D1880" s="71" t="str">
        <x:v>Shared planner output</x:v>
      </x:c>
      <x:c r="E1880" s="71" t="str">
        <x:v>buildCredibleItinerary</x:v>
      </x:c>
      <x:c r="F1880" s="71" t="str">
        <x:v>Default</x:v>
      </x:c>
      <x:c r="G1880" s="71" t="str">
        <x:v>Tooltip</x:v>
      </x:c>
      <x:c r="H1880" s="71" t="str">
        <x:v>Arrive in {stop.name}</x:v>
      </x:c>
      <x:c r="I1880" s="71" t="str">
        <x:v>Arrive in {stop.name}</x:v>
      </x:c>
      <x:c r="J1880" s="73"/>
      <x:c r="K1880" s="74" t="str">
        <x:f>IF(J1880="",H1880,IF(J1880=I1880,I1880,J1880))</x:f>
        <x:v>Arrive in {stop.name}</x:v>
      </x:c>
      <x:c r="L1880" s="74" t="str">
        <x:f>IF(J1880="","Keep current",IF(J1880=I1880,"Use suggestion","Custom"))</x:f>
        <x:v>Keep current</x:v>
      </x:c>
      <x:c r="M1880" s="71" t="str">
        <x:v>Pending review</x:v>
      </x:c>
      <x:c r="N1880" s="71" t="str">
        <x:v>Normal</x:v>
      </x:c>
      <x:c r="O1880" s="71" t="str">
        <x:v>lib/easyt/planner.ts</x:v>
      </x:c>
      <x:c r="P1880" s="71" t="str">
        <x:v>buildCredibleItinerary:697</x:v>
      </x:c>
      <x:c r="Q1880" s="71" t="str">
        <x:v>EN (default / shared)</x:v>
      </x:c>
      <x:c r="R1880"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80" s="75" t="str">
        <x:v>Not applied — review required</x:v>
      </x:c>
    </x:row>
    <x:row r="1881">
      <x:c r="A1881" s="71" t="str">
        <x:v>MRV-41B9FE28D0</x:v>
      </x:c>
      <x:c r="B1881" s="71" t="str">
        <x:v>Planning</x:v>
      </x:c>
      <x:c r="C1881" s="71" t="str">
        <x:v>Planner recommendations</x:v>
      </x:c>
      <x:c r="D1881" s="71" t="str">
        <x:v>Shared planner output</x:v>
      </x:c>
      <x:c r="E1881" s="71" t="str">
        <x:v>buildCredibleItinerary</x:v>
      </x:c>
      <x:c r="F1881" s="71" t="str">
        <x:v>Default</x:v>
      </x:c>
      <x:c r="G1881" s="71" t="str">
        <x:v>Tooltip</x:v>
      </x:c>
      <x:c r="H1881" s="71" t="str">
        <x:v>Travel to {stop.name}</x:v>
      </x:c>
      <x:c r="I1881" s="71" t="str">
        <x:v>Travel to {stop.name}</x:v>
      </x:c>
      <x:c r="J1881" s="73"/>
      <x:c r="K1881" s="74" t="str">
        <x:f>IF(J1881="",H1881,IF(J1881=I1881,I1881,J1881))</x:f>
        <x:v>Travel to {stop.name}</x:v>
      </x:c>
      <x:c r="L1881" s="74" t="str">
        <x:f>IF(J1881="","Keep current",IF(J1881=I1881,"Use suggestion","Custom"))</x:f>
        <x:v>Keep current</x:v>
      </x:c>
      <x:c r="M1881" s="71" t="str">
        <x:v>Pending review</x:v>
      </x:c>
      <x:c r="N1881" s="71" t="str">
        <x:v>Normal</x:v>
      </x:c>
      <x:c r="O1881" s="71" t="str">
        <x:v>lib/easyt/planner.ts</x:v>
      </x:c>
      <x:c r="P1881" s="71" t="str">
        <x:v>buildCredibleItinerary:697</x:v>
      </x:c>
      <x:c r="Q1881" s="71" t="str">
        <x:v>EN (default / shared)</x:v>
      </x:c>
      <x:c r="R1881"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81" s="75" t="str">
        <x:v>Not applied — review required</x:v>
      </x:c>
    </x:row>
    <x:row r="1882">
      <x:c r="A1882" s="71" t="str">
        <x:v>MRV-1625E48C3D</x:v>
      </x:c>
      <x:c r="B1882" s="71" t="str">
        <x:v>Planning</x:v>
      </x:c>
      <x:c r="C1882" s="71" t="str">
        <x:v>Planner recommendations</x:v>
      </x:c>
      <x:c r="D1882" s="71" t="str">
        <x:v>Shared planner output</x:v>
      </x:c>
      <x:c r="E1882" s="71" t="str">
        <x:v>buildCredibleItinerary</x:v>
      </x:c>
      <x:c r="F1882" s="71" t="str">
        <x:v>Default</x:v>
      </x:c>
      <x:c r="G1882" s="71" t="str">
        <x:v>Tooltip</x:v>
      </x:c>
      <x:c r="H1882" s="71" t="str">
        <x:v>{primary.title} + nearby time</x:v>
      </x:c>
      <x:c r="I1882" s="71" t="str">
        <x:v>{primary.title} + nearby time</x:v>
      </x:c>
      <x:c r="J1882" s="73"/>
      <x:c r="K1882" s="74" t="str">
        <x:f>IF(J1882="",H1882,IF(J1882=I1882,I1882,J1882))</x:f>
        <x:v>{primary.title} + nearby time</x:v>
      </x:c>
      <x:c r="L1882" s="74" t="str">
        <x:f>IF(J1882="","Keep current",IF(J1882=I1882,"Use suggestion","Custom"))</x:f>
        <x:v>Keep current</x:v>
      </x:c>
      <x:c r="M1882" s="71" t="str">
        <x:v>Pending review</x:v>
      </x:c>
      <x:c r="N1882" s="71" t="str">
        <x:v>Normal</x:v>
      </x:c>
      <x:c r="O1882" s="71" t="str">
        <x:v>lib/easyt/planner.ts</x:v>
      </x:c>
      <x:c r="P1882" s="71" t="str">
        <x:v>buildCredibleItinerary:711</x:v>
      </x:c>
      <x:c r="Q1882" s="71" t="str">
        <x:v>EN (default / shared)</x:v>
      </x:c>
      <x:c r="R1882" s="71" t="str">
        <x:v>Already clear and direct; suggested wording intentionally keeps the current copy. Dynamic traveller or trip value is represented as a token; user-generated values are excluded.</x:v>
      </x:c>
      <x:c r="S1882" s="75" t="str">
        <x:v>Not applied — review required</x:v>
      </x:c>
    </x:row>
    <x:row r="1883">
      <x:c r="A1883" s="71" t="str">
        <x:v>MRV-08A469AABA</x:v>
      </x:c>
      <x:c r="B1883" s="71" t="str">
        <x:v>Planning</x:v>
      </x:c>
      <x:c r="C1883" s="71" t="str">
        <x:v>Planner recommendations</x:v>
      </x:c>
      <x:c r="D1883" s="71" t="str">
        <x:v>Shared planner output</x:v>
      </x:c>
      <x:c r="E1883" s="71" t="str">
        <x:v>buildCredibleItinerary</x:v>
      </x:c>
      <x:c r="F1883" s="71" t="str">
        <x:v>Default</x:v>
      </x:c>
      <x:c r="G1883" s="71" t="str">
        <x:v>Tooltip</x:v>
      </x:c>
      <x:c r="H1883" s="71" t="str">
        <x:v>Explore {stop.name}</x:v>
      </x:c>
      <x:c r="I1883" s="71" t="str">
        <x:v>Explore {stop.name}</x:v>
      </x:c>
      <x:c r="J1883" s="73"/>
      <x:c r="K1883" s="74" t="str">
        <x:f>IF(J1883="",H1883,IF(J1883=I1883,I1883,J1883))</x:f>
        <x:v>Explore {stop.name}</x:v>
      </x:c>
      <x:c r="L1883" s="74" t="str">
        <x:f>IF(J1883="","Keep current",IF(J1883=I1883,"Use suggestion","Custom"))</x:f>
        <x:v>Keep current</x:v>
      </x:c>
      <x:c r="M1883" s="71" t="str">
        <x:v>Pending review</x:v>
      </x:c>
      <x:c r="N1883" s="71" t="str">
        <x:v>Normal</x:v>
      </x:c>
      <x:c r="O1883" s="71" t="str">
        <x:v>lib/easyt/planner.ts</x:v>
      </x:c>
      <x:c r="P1883" s="71" t="str">
        <x:v>buildCredibleItinerary:728</x:v>
      </x:c>
      <x:c r="Q1883" s="71" t="str">
        <x:v>EN (default / shared)</x:v>
      </x:c>
      <x:c r="R1883"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1883" s="75" t="str">
        <x:v>Not applied — review required</x:v>
      </x:c>
    </x:row>
    <x:row r="1884">
      <x:c r="A1884" s="71" t="str">
        <x:v>MRV-A640E621F5</x:v>
      </x:c>
      <x:c r="B1884" s="71" t="str">
        <x:v>System</x:v>
      </x:c>
      <x:c r="C1884" s="71" t="str">
        <x:v>Shared recovery / system</x:v>
      </x:c>
      <x:c r="D1884" s="71" t="str">
        <x:v>Shared</x:v>
      </x:c>
      <x:c r="E1884" s="71" t="str">
        <x:v>validDate</x:v>
      </x:c>
      <x:c r="F1884" s="71" t="str">
        <x:v>Default</x:v>
      </x:c>
      <x:c r="G1884" s="71" t="str">
        <x:v>Label</x:v>
      </x:c>
      <x:c r="H1884" s="71" t="str">
        <x:v>{value}T00:00:00Z</x:v>
      </x:c>
      <x:c r="I1884" s="71" t="str">
        <x:v>{value}T00:00:00Z</x:v>
      </x:c>
      <x:c r="J1884" s="73"/>
      <x:c r="K1884" s="74" t="str">
        <x:f>IF(J1884="",H1884,IF(J1884=I1884,I1884,J1884))</x:f>
        <x:v>{value}T00:00:00Z</x:v>
      </x:c>
      <x:c r="L1884" s="74" t="str">
        <x:f>IF(J1884="","Keep current",IF(J1884=I1884,"Use suggestion","Custom"))</x:f>
        <x:v>Keep current</x:v>
      </x:c>
      <x:c r="M1884" s="71" t="str">
        <x:v>Pending review</x:v>
      </x:c>
      <x:c r="N1884" s="71" t="str">
        <x:v>Normal</x:v>
      </x:c>
      <x:c r="O1884" s="71" t="str">
        <x:v>lib/easyt/planning-confidence.ts</x:v>
      </x:c>
      <x:c r="P1884" s="71" t="str">
        <x:v>validDate:73</x:v>
      </x:c>
      <x:c r="Q1884" s="71" t="str">
        <x:v>EN (default / shared)</x:v>
      </x:c>
      <x:c r="R1884" s="71" t="str">
        <x:v>Already clear and direct; suggested wording intentionally keeps the current copy. Duplicate wording: appears 2 times. Dynamic traveller or trip value is represented as a token; user-generated values are excluded.</x:v>
      </x:c>
      <x:c r="S1884" s="75" t="str">
        <x:v>Not applied — review required</x:v>
      </x:c>
    </x:row>
    <x:row r="1885">
      <x:c r="A1885" s="71" t="str">
        <x:v>MRV-A2E2F57681</x:v>
      </x:c>
      <x:c r="B1885" s="71" t="str">
        <x:v>System</x:v>
      </x:c>
      <x:c r="C1885" s="71" t="str">
        <x:v>Shared recovery / system</x:v>
      </x:c>
      <x:c r="D1885" s="71" t="str">
        <x:v>Shared</x:v>
      </x:c>
      <x:c r="E1885" s="71" t="str">
        <x:v>asOf</x:v>
      </x:c>
      <x:c r="F1885" s="71" t="str">
        <x:v>Default</x:v>
      </x:c>
      <x:c r="G1885" s="71" t="str">
        <x:v>Label</x:v>
      </x:c>
      <x:c r="H1885" s="71" t="str">
        <x:v>{asOfDate}T00:00:00Z</x:v>
      </x:c>
      <x:c r="I1885" s="71" t="str">
        <x:v>{asOfDate}T00:00:00Z</x:v>
      </x:c>
      <x:c r="J1885" s="73"/>
      <x:c r="K1885" s="74" t="str">
        <x:f>IF(J1885="",H1885,IF(J1885=I1885,I1885,J1885))</x:f>
        <x:v>{asOfDate}T00:00:00Z</x:v>
      </x:c>
      <x:c r="L1885" s="74" t="str">
        <x:f>IF(J1885="","Keep current",IF(J1885=I1885,"Use suggestion","Custom"))</x:f>
        <x:v>Keep current</x:v>
      </x:c>
      <x:c r="M1885" s="71" t="str">
        <x:v>Pending review</x:v>
      </x:c>
      <x:c r="N1885" s="71" t="str">
        <x:v>Normal</x:v>
      </x:c>
      <x:c r="O1885" s="71" t="str">
        <x:v>lib/easyt/planning-confidence.ts</x:v>
      </x:c>
      <x:c r="P1885" s="71" t="str">
        <x:v>asOf:83</x:v>
      </x:c>
      <x:c r="Q1885" s="71" t="str">
        <x:v>EN (default / shared)</x:v>
      </x:c>
      <x:c r="R1885" s="71" t="str">
        <x:v>Already clear and direct; suggested wording intentionally keeps the current copy. Dynamic traveller or trip value is represented as a token; user-generated values are excluded.</x:v>
      </x:c>
      <x:c r="S1885" s="75" t="str">
        <x:v>Not applied — review required</x:v>
      </x:c>
    </x:row>
    <x:row r="1886">
      <x:c r="A1886" s="71" t="str">
        <x:v>MRV-321B0E6BD5</x:v>
      </x:c>
      <x:c r="B1886" s="71" t="str">
        <x:v>System</x:v>
      </x:c>
      <x:c r="C1886" s="71" t="str">
        <x:v>Shared recovery / system</x:v>
      </x:c>
      <x:c r="D1886" s="71" t="str">
        <x:v>Shared</x:v>
      </x:c>
      <x:c r="E1886" s="71" t="str">
        <x:v>oldestReview</x:v>
      </x:c>
      <x:c r="F1886" s="71" t="str">
        <x:v>Default</x:v>
      </x:c>
      <x:c r="G1886" s="71" t="str">
        <x:v>Label</x:v>
      </x:c>
      <x:c r="H1886" s="71" t="str">
        <x:v>{value}T00:00:00Z</x:v>
      </x:c>
      <x:c r="I1886" s="71" t="str">
        <x:v>{value}T00:00:00Z</x:v>
      </x:c>
      <x:c r="J1886" s="73"/>
      <x:c r="K1886" s="74" t="str">
        <x:f>IF(J1886="",H1886,IF(J1886=I1886,I1886,J1886))</x:f>
        <x:v>{value}T00:00:00Z</x:v>
      </x:c>
      <x:c r="L1886" s="74" t="str">
        <x:f>IF(J1886="","Keep current",IF(J1886=I1886,"Use suggestion","Custom"))</x:f>
        <x:v>Keep current</x:v>
      </x:c>
      <x:c r="M1886" s="71" t="str">
        <x:v>Pending review</x:v>
      </x:c>
      <x:c r="N1886" s="71" t="str">
        <x:v>Normal</x:v>
      </x:c>
      <x:c r="O1886" s="71" t="str">
        <x:v>lib/easyt/planning-confidence.ts</x:v>
      </x:c>
      <x:c r="P1886" s="71" t="str">
        <x:v>oldestReview:84</x:v>
      </x:c>
      <x:c r="Q1886" s="71" t="str">
        <x:v>EN (default / shared)</x:v>
      </x:c>
      <x:c r="R1886" s="71" t="str">
        <x:v>Already clear and direct; suggested wording intentionally keeps the current copy. Duplicate wording: appears 2 times. Dynamic traveller or trip value is represented as a token; user-generated values are excluded.</x:v>
      </x:c>
      <x:c r="S1886" s="75" t="str">
        <x:v>Not applied — review required</x:v>
      </x:c>
    </x:row>
    <x:row r="1887">
      <x:c r="A1887" s="71" t="str">
        <x:v>MRV-B32187E9B2</x:v>
      </x:c>
      <x:c r="B1887" s="71" t="str">
        <x:v>System</x:v>
      </x:c>
      <x:c r="C1887" s="71" t="str">
        <x:v>Shared recovery / system</x:v>
      </x:c>
      <x:c r="D1887" s="71" t="str">
        <x:v>Shared</x:v>
      </x:c>
      <x:c r="E1887" s="71" t="str">
        <x:v>staleReason</x:v>
      </x:c>
      <x:c r="F1887" s="71" t="str">
        <x:v>Default</x:v>
      </x:c>
      <x:c r="G1887" s="71" t="str">
        <x:v>Body copy</x:v>
      </x:c>
      <x:c r="H1887" s="71" t="str">
        <x:v>The supporting source is stale and needs review.</x:v>
      </x:c>
      <x:c r="I1887" s="71" t="str">
        <x:v>The supporting source is stale and needs review.</x:v>
      </x:c>
      <x:c r="J1887" s="73"/>
      <x:c r="K1887" s="74" t="str">
        <x:f>IF(J1887="",H1887,IF(J1887=I1887,I1887,J1887))</x:f>
        <x:v>The supporting source is stale and needs review.</x:v>
      </x:c>
      <x:c r="L1887" s="74" t="str">
        <x:f>IF(J1887="","Keep current",IF(J1887=I1887,"Use suggestion","Custom"))</x:f>
        <x:v>Keep current</x:v>
      </x:c>
      <x:c r="M1887" s="71" t="str">
        <x:v>Pending review</x:v>
      </x:c>
      <x:c r="N1887" s="71" t="str">
        <x:v>Normal</x:v>
      </x:c>
      <x:c r="O1887" s="71" t="str">
        <x:v>lib/easyt/planning-confidence.ts</x:v>
      </x:c>
      <x:c r="P1887" s="71" t="str">
        <x:v>staleReason:131</x:v>
      </x:c>
      <x:c r="Q1887" s="71" t="str">
        <x:v>EN (default / shared)</x:v>
      </x:c>
      <x:c r="R1887" s="71" t="str">
        <x:v>Already clear and direct; suggested wording intentionally keeps the current copy.</x:v>
      </x:c>
      <x:c r="S1887" s="75" t="str">
        <x:v>Not applied — review required</x:v>
      </x:c>
    </x:row>
    <x:row r="1888">
      <x:c r="A1888" s="71" t="str">
        <x:v>MRV-26813D2A06</x:v>
      </x:c>
      <x:c r="B1888" s="71" t="str">
        <x:v>System</x:v>
      </x:c>
      <x:c r="C1888" s="71" t="str">
        <x:v>Shared recovery / system</x:v>
      </x:c>
      <x:c r="D1888" s="71" t="str">
        <x:v>Shared</x:v>
      </x:c>
      <x:c r="E1888" s="71" t="str">
        <x:v>source</x:v>
      </x:c>
      <x:c r="F1888" s="71" t="str">
        <x:v>Default</x:v>
      </x:c>
      <x:c r="G1888" s="71" t="str">
        <x:v>Label</x:v>
      </x:c>
      <x:c r="H1888" s="71" t="str">
        <x:v>Traveller builder input</x:v>
      </x:c>
      <x:c r="I1888" s="71" t="str">
        <x:v>Traveller builder input</x:v>
      </x:c>
      <x:c r="J1888" s="73"/>
      <x:c r="K1888" s="74" t="str">
        <x:f>IF(J1888="",H1888,IF(J1888=I1888,I1888,J1888))</x:f>
        <x:v>Traveller builder input</x:v>
      </x:c>
      <x:c r="L1888" s="74" t="str">
        <x:f>IF(J1888="","Keep current",IF(J1888=I1888,"Use suggestion","Custom"))</x:f>
        <x:v>Keep current</x:v>
      </x:c>
      <x:c r="M1888" s="71" t="str">
        <x:v>Pending review</x:v>
      </x:c>
      <x:c r="N1888" s="71" t="str">
        <x:v>Normal</x:v>
      </x:c>
      <x:c r="O1888" s="71" t="str">
        <x:v>lib/easyt/planning-confidence.ts</x:v>
      </x:c>
      <x:c r="P1888" s="71" t="str">
        <x:v>source:146</x:v>
      </x:c>
      <x:c r="Q1888" s="71" t="str">
        <x:v>EN (default / shared)</x:v>
      </x:c>
      <x:c r="R1888" s="71" t="str">
        <x:v>Already clear and direct; suggested wording intentionally keeps the current copy.</x:v>
      </x:c>
      <x:c r="S1888" s="75" t="str">
        <x:v>Not applied — review required</x:v>
      </x:c>
    </x:row>
    <x:row r="1889">
      <x:c r="A1889" s="71" t="str">
        <x:v>MRV-8786578B89</x:v>
      </x:c>
      <x:c r="B1889" s="71" t="str">
        <x:v>System</x:v>
      </x:c>
      <x:c r="C1889" s="71" t="str">
        <x:v>Shared recovery / system</x:v>
      </x:c>
      <x:c r="D1889" s="71" t="str">
        <x:v>Shared</x:v>
      </x:c>
      <x:c r="E1889" s="71" t="str">
        <x:v>source</x:v>
      </x:c>
      <x:c r="F1889" s="71" t="str">
        <x:v>Default</x:v>
      </x:c>
      <x:c r="G1889" s="71" t="str">
        <x:v>Label</x:v>
      </x:c>
      <x:c r="H1889" s="71" t="str">
        <x:v>Traveller prompt</x:v>
      </x:c>
      <x:c r="I1889" s="71" t="str">
        <x:v>Traveller prompt</x:v>
      </x:c>
      <x:c r="J1889" s="73"/>
      <x:c r="K1889" s="74" t="str">
        <x:f>IF(J1889="",H1889,IF(J1889=I1889,I1889,J1889))</x:f>
        <x:v>Traveller prompt</x:v>
      </x:c>
      <x:c r="L1889" s="74" t="str">
        <x:f>IF(J1889="","Keep current",IF(J1889=I1889,"Use suggestion","Custom"))</x:f>
        <x:v>Keep current</x:v>
      </x:c>
      <x:c r="M1889" s="71" t="str">
        <x:v>Pending review</x:v>
      </x:c>
      <x:c r="N1889" s="71" t="str">
        <x:v>Normal</x:v>
      </x:c>
      <x:c r="O1889" s="71" t="str">
        <x:v>lib/easyt/planning-confidence.ts</x:v>
      </x:c>
      <x:c r="P1889" s="71" t="str">
        <x:v>source:146</x:v>
      </x:c>
      <x:c r="Q1889" s="71" t="str">
        <x:v>EN (default / shared)</x:v>
      </x:c>
      <x:c r="R1889" s="71" t="str">
        <x:v>Already clear and direct; suggested wording intentionally keeps the current copy.</x:v>
      </x:c>
      <x:c r="S1889" s="75" t="str">
        <x:v>Not applied — review required</x:v>
      </x:c>
    </x:row>
    <x:row r="1890">
      <x:c r="A1890" s="71" t="str">
        <x:v>MRV-61BFAB3D41</x:v>
      </x:c>
      <x:c r="B1890" s="71" t="str">
        <x:v>System</x:v>
      </x:c>
      <x:c r="C1890" s="71" t="str">
        <x:v>Shared recovery / system</x:v>
      </x:c>
      <x:c r="D1890" s="71" t="str">
        <x:v>Shared</x:v>
      </x:c>
      <x:c r="E1890" s="71" t="str">
        <x:v>aggregatePlanningConfidence</x:v>
      </x:c>
      <x:c r="F1890" s="71" t="str">
        <x:v>Default</x:v>
      </x:c>
      <x:c r="G1890" s="71" t="str">
        <x:v>Body copy</x:v>
      </x:c>
      <x:c r="H1890" s="71" t="str">
        <x:v>No confidence-bearing planning facts were supplied.</x:v>
      </x:c>
      <x:c r="I1890" s="71" t="str">
        <x:v>No confidence-bearing planning facts were supplied.</x:v>
      </x:c>
      <x:c r="J1890" s="73"/>
      <x:c r="K1890" s="74" t="str">
        <x:f>IF(J1890="",H1890,IF(J1890=I1890,I1890,J1890))</x:f>
        <x:v>No confidence-bearing planning facts were supplied.</x:v>
      </x:c>
      <x:c r="L1890" s="74" t="str">
        <x:f>IF(J1890="","Keep current",IF(J1890=I1890,"Use suggestion","Custom"))</x:f>
        <x:v>Keep current</x:v>
      </x:c>
      <x:c r="M1890" s="71" t="str">
        <x:v>Pending review</x:v>
      </x:c>
      <x:c r="N1890" s="71" t="str">
        <x:v>Normal</x:v>
      </x:c>
      <x:c r="O1890" s="71" t="str">
        <x:v>lib/easyt/planning-confidence.ts</x:v>
      </x:c>
      <x:c r="P1890" s="71" t="str">
        <x:v>aggregatePlanningConfidence:174</x:v>
      </x:c>
      <x:c r="Q1890" s="71" t="str">
        <x:v>EN (default / shared)</x:v>
      </x:c>
      <x:c r="R1890" s="71" t="str">
        <x:v>Already clear and direct; suggested wording intentionally keeps the current copy.</x:v>
      </x:c>
      <x:c r="S1890" s="75" t="str">
        <x:v>Not applied — review required</x:v>
      </x:c>
    </x:row>
    <x:row r="1891">
      <x:c r="A1891" s="71" t="str">
        <x:v>MRV-F0F689503E</x:v>
      </x:c>
      <x:c r="B1891" s="71" t="str">
        <x:v>System</x:v>
      </x:c>
      <x:c r="C1891" s="71" t="str">
        <x:v>Shared recovery / system</x:v>
      </x:c>
      <x:c r="D1891" s="71" t="str">
        <x:v>Shared</x:v>
      </x:c>
      <x:c r="E1891" s="71" t="str">
        <x:v>availability</x:v>
      </x:c>
      <x:c r="F1891" s="71" t="str">
        <x:v>Offline / network failure</x:v>
      </x:c>
      <x:c r="G1891" s="71" t="str">
        <x:v>Body copy</x:v>
      </x:c>
      <x:c r="H1891" s="71" t="str">
        <x:v>Connection availability has not been confirmed.</x:v>
      </x:c>
      <x:c r="I1891" s="71" t="str">
        <x:v>Connection availability has not been confirmed.</x:v>
      </x:c>
      <x:c r="J1891" s="73"/>
      <x:c r="K1891" s="74" t="str">
        <x:f>IF(J1891="",H1891,IF(J1891=I1891,I1891,J1891))</x:f>
        <x:v>Connection availability has not been confirmed.</x:v>
      </x:c>
      <x:c r="L1891" s="74" t="str">
        <x:f>IF(J1891="","Keep current",IF(J1891=I1891,"Use suggestion","Custom"))</x:f>
        <x:v>Keep current</x:v>
      </x:c>
      <x:c r="M1891" s="71" t="str">
        <x:v>Pending review</x:v>
      </x:c>
      <x:c r="N1891" s="71" t="str">
        <x:v>High</x:v>
      </x:c>
      <x:c r="O1891" s="71" t="str">
        <x:v>lib/easyt/planning-confidence.ts</x:v>
      </x:c>
      <x:c r="P1891" s="71" t="str">
        <x:v>availability:232</x:v>
      </x:c>
      <x:c r="Q1891" s="71" t="str">
        <x:v>EN (default / shared)</x:v>
      </x:c>
      <x:c r="R1891" s="71" t="str">
        <x:v>Already clear and direct; suggested wording intentionally keeps the current copy.</x:v>
      </x:c>
      <x:c r="S1891" s="75" t="str">
        <x:v>Not applied — review required</x:v>
      </x:c>
    </x:row>
    <x:row r="1892">
      <x:c r="A1892" s="71" t="str">
        <x:v>MRV-CE8C139869</x:v>
      </x:c>
      <x:c r="B1892" s="71" t="str">
        <x:v>System</x:v>
      </x:c>
      <x:c r="C1892" s="71" t="str">
        <x:v>Shared recovery / system</x:v>
      </x:c>
      <x:c r="D1892" s="71" t="str">
        <x:v>Shared</x:v>
      </x:c>
      <x:c r="E1892" s="71" t="str">
        <x:v>schedule</x:v>
      </x:c>
      <x:c r="F1892" s="71" t="str">
        <x:v>Default</x:v>
      </x:c>
      <x:c r="G1892" s="71" t="str">
        <x:v>Body copy</x:v>
      </x:c>
      <x:c r="H1892" s="71" t="str">
        <x:v>No date-specific transport schedule has been verified.</x:v>
      </x:c>
      <x:c r="I1892" s="71" t="str">
        <x:v>No date-specific transport schedule has been verified.</x:v>
      </x:c>
      <x:c r="J1892" s="73"/>
      <x:c r="K1892" s="74" t="str">
        <x:f>IF(J1892="",H1892,IF(J1892=I1892,I1892,J1892))</x:f>
        <x:v>No date-specific transport schedule has been verified.</x:v>
      </x:c>
      <x:c r="L1892" s="74" t="str">
        <x:f>IF(J1892="","Keep current",IF(J1892=I1892,"Use suggestion","Custom"))</x:f>
        <x:v>Keep current</x:v>
      </x:c>
      <x:c r="M1892" s="71" t="str">
        <x:v>Pending review</x:v>
      </x:c>
      <x:c r="N1892" s="71" t="str">
        <x:v>Normal</x:v>
      </x:c>
      <x:c r="O1892" s="71" t="str">
        <x:v>lib/easyt/planning-confidence.ts</x:v>
      </x:c>
      <x:c r="P1892" s="71" t="str">
        <x:v>schedule:233</x:v>
      </x:c>
      <x:c r="Q1892" s="71" t="str">
        <x:v>EN (default / shared)</x:v>
      </x:c>
      <x:c r="R1892" s="71" t="str">
        <x:v>Already clear and direct; suggested wording intentionally keeps the current copy.</x:v>
      </x:c>
      <x:c r="S1892" s="75" t="str">
        <x:v>Not applied — review required</x:v>
      </x:c>
    </x:row>
    <x:row r="1893">
      <x:c r="A1893" s="71" t="str">
        <x:v>MRV-D609FAA9E7</x:v>
      </x:c>
      <x:c r="B1893" s="71" t="str">
        <x:v>System</x:v>
      </x:c>
      <x:c r="C1893" s="71" t="str">
        <x:v>Shared recovery / system</x:v>
      </x:c>
      <x:c r="D1893" s="71" t="str">
        <x:v>Shared</x:v>
      </x:c>
      <x:c r="E1893" s="71" t="str">
        <x:v>duration</x:v>
      </x:c>
      <x:c r="F1893" s="71" t="str">
        <x:v>Offline / network failure</x:v>
      </x:c>
      <x:c r="G1893" s="71" t="str">
        <x:v>Body copy</x:v>
      </x:c>
      <x:c r="H1893" s="71" t="str">
        <x:v>No supported duration is available for this connection.</x:v>
      </x:c>
      <x:c r="I1893" s="71" t="str">
        <x:v>No supported duration is available for this connection.</x:v>
      </x:c>
      <x:c r="J1893" s="73"/>
      <x:c r="K1893" s="74" t="str">
        <x:f>IF(J1893="",H1893,IF(J1893=I1893,I1893,J1893))</x:f>
        <x:v>No supported duration is available for this connection.</x:v>
      </x:c>
      <x:c r="L1893" s="74" t="str">
        <x:f>IF(J1893="","Keep current",IF(J1893=I1893,"Use suggestion","Custom"))</x:f>
        <x:v>Keep current</x:v>
      </x:c>
      <x:c r="M1893" s="71" t="str">
        <x:v>Pending review</x:v>
      </x:c>
      <x:c r="N1893" s="71" t="str">
        <x:v>High</x:v>
      </x:c>
      <x:c r="O1893" s="71" t="str">
        <x:v>lib/easyt/planning-confidence.ts</x:v>
      </x:c>
      <x:c r="P1893" s="71" t="str">
        <x:v>duration:235</x:v>
      </x:c>
      <x:c r="Q1893" s="71" t="str">
        <x:v>EN (default / shared)</x:v>
      </x:c>
      <x:c r="R1893" s="71" t="str">
        <x:v>Already clear and direct; suggested wording intentionally keeps the current copy.</x:v>
      </x:c>
      <x:c r="S1893" s="75" t="str">
        <x:v>Not applied — review required</x:v>
      </x:c>
    </x:row>
    <x:row r="1894">
      <x:c r="A1894" s="71" t="str">
        <x:v>MRV-4E95790541</x:v>
      </x:c>
      <x:c r="B1894" s="71" t="str">
        <x:v>Planning</x:v>
      </x:c>
      <x:c r="C1894" s="71" t="str">
        <x:v>Planner recommendations</x:v>
      </x:c>
      <x:c r="D1894" s="71" t="str">
        <x:v>Shared planner output</x:v>
      </x:c>
      <x:c r="E1894" s="71" t="str">
        <x:v>place</x:v>
      </x:c>
      <x:c r="F1894" s="71" t="str">
        <x:v>Default</x:v>
      </x:c>
      <x:c r="G1894" s="71" t="str">
        <x:v>Body copy</x:v>
      </x:c>
      <x:c r="H1894" s="71" t="str">
        <x:v>“{issue.sourceText.trim()}”</x:v>
      </x:c>
      <x:c r="I1894" s="71" t="str">
        <x:v>“{issue.sourceText.trim()}”</x:v>
      </x:c>
      <x:c r="J1894" s="73"/>
      <x:c r="K1894" s="74" t="str">
        <x:f>IF(J1894="",H1894,IF(J1894=I1894,I1894,J1894))</x:f>
        <x:v>“{issue.sourceText.trim()}”</x:v>
      </x:c>
      <x:c r="L1894" s="74" t="str">
        <x:f>IF(J1894="","Keep current",IF(J1894=I1894,"Use suggestion","Custom"))</x:f>
        <x:v>Keep current</x:v>
      </x:c>
      <x:c r="M1894" s="71" t="str">
        <x:v>Pending review</x:v>
      </x:c>
      <x:c r="N1894" s="71" t="str">
        <x:v>Normal</x:v>
      </x:c>
      <x:c r="O1894" s="71" t="str">
        <x:v>lib/easyt/review.ts</x:v>
      </x:c>
      <x:c r="P1894" s="71" t="str">
        <x:v>place:35</x:v>
      </x:c>
      <x:c r="Q1894" s="71" t="str">
        <x:v>EN (default / shared)</x:v>
      </x:c>
      <x:c r="R1894" s="71" t="str">
        <x:v>Already clear and direct; suggested wording intentionally keeps the current copy. Duplicate wording: appears 2 times. Dynamic traveller or trip value is represented as a token; user-generated values are excluded.</x:v>
      </x:c>
      <x:c r="S1894" s="75" t="str">
        <x:v>Not applied — review required</x:v>
      </x:c>
    </x:row>
    <x:row r="1895">
      <x:c r="A1895" s="71" t="str">
        <x:v>MRV-DCD1046DB3</x:v>
      </x:c>
      <x:c r="B1895" s="71" t="str">
        <x:v>Planning</x:v>
      </x:c>
      <x:c r="C1895" s="71" t="str">
        <x:v>Planner recommendations</x:v>
      </x:c>
      <x:c r="D1895" s="71" t="str">
        <x:v>Shared planner output</x:v>
      </x:c>
      <x:c r="E1895" s="71" t="str">
        <x:v>place</x:v>
      </x:c>
      <x:c r="F1895" s="71" t="str">
        <x:v>Default</x:v>
      </x:c>
      <x:c r="G1895" s="71" t="str">
        <x:v>Label</x:v>
      </x:c>
      <x:c r="H1895" s="71" t="str">
        <x:v>this place</x:v>
      </x:c>
      <x:c r="I1895" s="71" t="str">
        <x:v>this place</x:v>
      </x:c>
      <x:c r="J1895" s="73"/>
      <x:c r="K1895" s="74" t="str">
        <x:f>IF(J1895="",H1895,IF(J1895=I1895,I1895,J1895))</x:f>
        <x:v>this place</x:v>
      </x:c>
      <x:c r="L1895" s="74" t="str">
        <x:f>IF(J1895="","Keep current",IF(J1895=I1895,"Use suggestion","Custom"))</x:f>
        <x:v>Keep current</x:v>
      </x:c>
      <x:c r="M1895" s="71" t="str">
        <x:v>Pending review</x:v>
      </x:c>
      <x:c r="N1895" s="71" t="str">
        <x:v>Normal</x:v>
      </x:c>
      <x:c r="O1895" s="71" t="str">
        <x:v>lib/easyt/review.ts</x:v>
      </x:c>
      <x:c r="P1895" s="71" t="str">
        <x:v>place:35</x:v>
      </x:c>
      <x:c r="Q1895" s="71" t="str">
        <x:v>EN (default / shared)</x:v>
      </x:c>
      <x:c r="R1895" s="71" t="str">
        <x:v>Already clear and direct; suggested wording intentionally keeps the current copy. Terminology watch: ‘trip’ and ‘journey’ both describe the same plan. Terminology watch: ‘stops’, ‘destinations’ and ‘places’ overlap.</x:v>
      </x:c>
      <x:c r="S1895" s="75" t="str">
        <x:v>Not applied — review required</x:v>
      </x:c>
    </x:row>
    <x:row r="1896">
      <x:c r="A1896" s="71" t="str">
        <x:v>MRV-4D4C930E7B</x:v>
      </x:c>
      <x:c r="B1896" s="71" t="str">
        <x:v>Planning</x:v>
      </x:c>
      <x:c r="C1896" s="71" t="str">
        <x:v>Planner recommendations</x:v>
      </x:c>
      <x:c r="D1896" s="71" t="str">
        <x:v>Shared planner output</x:v>
      </x:c>
      <x:c r="E1896" s="71" t="str">
        <x:v>placeIssueMessage</x:v>
      </x:c>
      <x:c r="F1896" s="71" t="str">
        <x:v>Default</x:v>
      </x:c>
      <x:c r="G1896" s="71" t="str">
        <x:v>Body copy</x:v>
      </x:c>
      <x:c r="H1896" s="71" t="str">
        <x:v>Confirm which place {place} refers to before relying on the route.</x:v>
      </x:c>
      <x:c r="I1896" s="71" t="str">
        <x:v>Confirm which place {place} refers to before relying on the route.</x:v>
      </x:c>
      <x:c r="J1896" s="73"/>
      <x:c r="K1896" s="74" t="str">
        <x:f>IF(J1896="",H1896,IF(J1896=I1896,I1896,J1896))</x:f>
        <x:v>Confirm which place {place} refers to before relying on the route.</x:v>
      </x:c>
      <x:c r="L1896" s="74" t="str">
        <x:f>IF(J1896="","Keep current",IF(J1896=I1896,"Use suggestion","Custom"))</x:f>
        <x:v>Keep current</x:v>
      </x:c>
      <x:c r="M1896" s="71" t="str">
        <x:v>Pending review</x:v>
      </x:c>
      <x:c r="N1896" s="71" t="str">
        <x:v>Normal</x:v>
      </x:c>
      <x:c r="O1896" s="71" t="str">
        <x:v>lib/easyt/review.ts</x:v>
      </x:c>
      <x:c r="P1896" s="71" t="str">
        <x:v>placeIssueMessage:36</x:v>
      </x:c>
      <x:c r="Q1896" s="71" t="str">
        <x:v>EN (default / shared)</x:v>
      </x:c>
      <x:c r="R1896"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96" s="75" t="str">
        <x:v>Not applied — review required</x:v>
      </x:c>
    </x:row>
    <x:row r="1897">
      <x:c r="A1897" s="71" t="str">
        <x:v>MRV-BF2EE88333</x:v>
      </x:c>
      <x:c r="B1897" s="71" t="str">
        <x:v>Planning</x:v>
      </x:c>
      <x:c r="C1897" s="71" t="str">
        <x:v>Planner recommendations</x:v>
      </x:c>
      <x:c r="D1897" s="71" t="str">
        <x:v>Shared planner output</x:v>
      </x:c>
      <x:c r="E1897" s="71" t="str">
        <x:v>placeIssueMessage</x:v>
      </x:c>
      <x:c r="F1897" s="71" t="str">
        <x:v>Default</x:v>
      </x:c>
      <x:c r="G1897" s="71" t="str">
        <x:v>Body copy</x:v>
      </x:c>
      <x:c r="H1897" s="71" t="str">
        <x:v>Confirm {place} before relying on the route.</x:v>
      </x:c>
      <x:c r="I1897" s="71" t="str">
        <x:v>Confirm {place} before relying on the route.</x:v>
      </x:c>
      <x:c r="J1897" s="73"/>
      <x:c r="K1897" s="74" t="str">
        <x:f>IF(J1897="",H1897,IF(J1897=I1897,I1897,J1897))</x:f>
        <x:v>Confirm {place} before relying on the route.</x:v>
      </x:c>
      <x:c r="L1897" s="74" t="str">
        <x:f>IF(J1897="","Keep current",IF(J1897=I1897,"Use suggestion","Custom"))</x:f>
        <x:v>Keep current</x:v>
      </x:c>
      <x:c r="M1897" s="71" t="str">
        <x:v>Pending review</x:v>
      </x:c>
      <x:c r="N1897" s="71" t="str">
        <x:v>Normal</x:v>
      </x:c>
      <x:c r="O1897" s="71" t="str">
        <x:v>lib/easyt/review.ts</x:v>
      </x:c>
      <x:c r="P1897" s="71" t="str">
        <x:v>placeIssueMessage:37</x:v>
      </x:c>
      <x:c r="Q1897" s="71" t="str">
        <x:v>EN (default / shared)</x:v>
      </x:c>
      <x:c r="R1897"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97" s="75" t="str">
        <x:v>Not applied — review required</x:v>
      </x:c>
    </x:row>
    <x:row r="1898">
      <x:c r="A1898" s="71" t="str">
        <x:v>MRV-B32F15CA43</x:v>
      </x:c>
      <x:c r="B1898" s="71" t="str">
        <x:v>Planning</x:v>
      </x:c>
      <x:c r="C1898" s="71" t="str">
        <x:v>Planner recommendations</x:v>
      </x:c>
      <x:c r="D1898" s="71" t="str">
        <x:v>Shared planner output</x:v>
      </x:c>
      <x:c r="E1898" s="71" t="str">
        <x:v>placeIssueMessage</x:v>
      </x:c>
      <x:c r="F1898" s="71" t="str">
        <x:v>Default</x:v>
      </x:c>
      <x:c r="G1898" s="71" t="str">
        <x:v>Body copy</x:v>
      </x:c>
      <x:c r="H1898" s="71" t="str">
        <x:v>Choose a practical base for {place} before relying on the route.</x:v>
      </x:c>
      <x:c r="I1898" s="71" t="str">
        <x:v>Choose a practical base for {place} before relying on the route.</x:v>
      </x:c>
      <x:c r="J1898" s="73"/>
      <x:c r="K1898" s="74" t="str">
        <x:f>IF(J1898="",H1898,IF(J1898=I1898,I1898,J1898))</x:f>
        <x:v>Choose a practical base for {place} before relying on the route.</x:v>
      </x:c>
      <x:c r="L1898" s="74" t="str">
        <x:f>IF(J1898="","Keep current",IF(J1898=I1898,"Use suggestion","Custom"))</x:f>
        <x:v>Keep current</x:v>
      </x:c>
      <x:c r="M1898" s="71" t="str">
        <x:v>Pending review</x:v>
      </x:c>
      <x:c r="N1898" s="71" t="str">
        <x:v>Normal</x:v>
      </x:c>
      <x:c r="O1898" s="71" t="str">
        <x:v>lib/easyt/review.ts</x:v>
      </x:c>
      <x:c r="P1898" s="71" t="str">
        <x:v>placeIssueMessage:38</x:v>
      </x:c>
      <x:c r="Q1898" s="71" t="str">
        <x:v>EN (default / shared)</x:v>
      </x:c>
      <x:c r="R189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98" s="75" t="str">
        <x:v>Not applied — review required</x:v>
      </x:c>
    </x:row>
    <x:row r="1899">
      <x:c r="A1899" s="71" t="str">
        <x:v>MRV-BC02C1A844</x:v>
      </x:c>
      <x:c r="B1899" s="71" t="str">
        <x:v>Planning</x:v>
      </x:c>
      <x:c r="C1899" s="71" t="str">
        <x:v>Planner recommendations</x:v>
      </x:c>
      <x:c r="D1899" s="71" t="str">
        <x:v>Shared planner output</x:v>
      </x:c>
      <x:c r="E1899" s="71" t="str">
        <x:v>placeIssueMessage</x:v>
      </x:c>
      <x:c r="F1899" s="71" t="str">
        <x:v>Default</x:v>
      </x:c>
      <x:c r="G1899" s="71" t="str">
        <x:v>CTA / button</x:v>
      </x:c>
      <x:c r="H1899" s="71" t="str">
        <x:v>Add at least one routable destination before relying on the route.</x:v>
      </x:c>
      <x:c r="I1899" s="71" t="str">
        <x:v>Add at least one routable destination before relying on the route.</x:v>
      </x:c>
      <x:c r="J1899" s="73"/>
      <x:c r="K1899" s="74" t="str">
        <x:f>IF(J1899="",H1899,IF(J1899=I1899,I1899,J1899))</x:f>
        <x:v>Add at least one routable destination before relying on the route.</x:v>
      </x:c>
      <x:c r="L1899" s="74" t="str">
        <x:f>IF(J1899="","Keep current",IF(J1899=I1899,"Use suggestion","Custom"))</x:f>
        <x:v>Keep current</x:v>
      </x:c>
      <x:c r="M1899" s="71" t="str">
        <x:v>Pending review</x:v>
      </x:c>
      <x:c r="N1899" s="71" t="str">
        <x:v>Medium</x:v>
      </x:c>
      <x:c r="O1899" s="71" t="str">
        <x:v>lib/easyt/review.ts</x:v>
      </x:c>
      <x:c r="P1899" s="71" t="str">
        <x:v>placeIssueMessage:39</x:v>
      </x:c>
      <x:c r="Q1899" s="71" t="str">
        <x:v>EN (default / shared)</x:v>
      </x:c>
      <x:c r="R1899" s="71" t="str">
        <x:v>Already clear and direct; suggested wording intentionally keeps the current copy. Terminology watch: ‘trip’ and ‘journey’ both describe the same plan. Terminology watch: ‘stops’, ‘destinations’ and ‘places’ overlap.</x:v>
      </x:c>
      <x:c r="S1899" s="75" t="str">
        <x:v>Not applied — review required</x:v>
      </x:c>
    </x:row>
    <x:row r="1900">
      <x:c r="A1900" s="71" t="str">
        <x:v>MRV-BBCB5F0071</x:v>
      </x:c>
      <x:c r="B1900" s="71" t="str">
        <x:v>Planning</x:v>
      </x:c>
      <x:c r="C1900" s="71" t="str">
        <x:v>Planner recommendations</x:v>
      </x:c>
      <x:c r="D1900" s="71" t="str">
        <x:v>Shared planner output</x:v>
      </x:c>
      <x:c r="E1900" s="71" t="str">
        <x:v>placeIssueMessage</x:v>
      </x:c>
      <x:c r="F1900" s="71" t="str">
        <x:v>Default</x:v>
      </x:c>
      <x:c r="G1900" s="71" t="str">
        <x:v>CTA / button</x:v>
      </x:c>
      <x:c r="H1900" s="71" t="str">
        <x:v>Review {place} before relying on the route.</x:v>
      </x:c>
      <x:c r="I1900" s="71" t="str">
        <x:v>Review {place} before relying on the route.</x:v>
      </x:c>
      <x:c r="J1900" s="73"/>
      <x:c r="K1900" s="74" t="str">
        <x:f>IF(J1900="",H1900,IF(J1900=I1900,I1900,J1900))</x:f>
        <x:v>Review {place} before relying on the route.</x:v>
      </x:c>
      <x:c r="L1900" s="74" t="str">
        <x:f>IF(J1900="","Keep current",IF(J1900=I1900,"Use suggestion","Custom"))</x:f>
        <x:v>Keep current</x:v>
      </x:c>
      <x:c r="M1900" s="71" t="str">
        <x:v>Pending review</x:v>
      </x:c>
      <x:c r="N1900" s="71" t="str">
        <x:v>Medium</x:v>
      </x:c>
      <x:c r="O1900" s="71" t="str">
        <x:v>lib/easyt/review.ts</x:v>
      </x:c>
      <x:c r="P1900" s="71" t="str">
        <x:v>placeIssueMessage:40</x:v>
      </x:c>
      <x:c r="Q1900" s="71" t="str">
        <x:v>EN (default / shared)</x:v>
      </x:c>
      <x:c r="R1900"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900" s="75" t="str">
        <x:v>Not applied — review required</x:v>
      </x:c>
    </x:row>
    <x:row r="1901">
      <x:c r="A1901" s="71" t="str">
        <x:v>MRV-4753B44530</x:v>
      </x:c>
      <x:c r="B1901" s="71" t="str">
        <x:v>Planning</x:v>
      </x:c>
      <x:c r="C1901" s="71" t="str">
        <x:v>Planner recommendations</x:v>
      </x:c>
      <x:c r="D1901" s="71" t="str">
        <x:v>Shared planner output</x:v>
      </x:c>
      <x:c r="E1901" s="71" t="str">
        <x:v>place</x:v>
      </x:c>
      <x:c r="F1901" s="71" t="str">
        <x:v>Default</x:v>
      </x:c>
      <x:c r="G1901" s="71" t="str">
        <x:v>Body copy</x:v>
      </x:c>
      <x:c r="H1901" s="71" t="str">
        <x:v>“{issue.sourceText.trim()}”</x:v>
      </x:c>
      <x:c r="I1901" s="71" t="str">
        <x:v>“{issue.sourceText.trim()}”</x:v>
      </x:c>
      <x:c r="J1901" s="73"/>
      <x:c r="K1901" s="74" t="str">
        <x:f>IF(J1901="",H1901,IF(J1901=I1901,I1901,J1901))</x:f>
        <x:v>“{issue.sourceText.trim()}”</x:v>
      </x:c>
      <x:c r="L1901" s="74" t="str">
        <x:f>IF(J1901="","Keep current",IF(J1901=I1901,"Use suggestion","Custom"))</x:f>
        <x:v>Keep current</x:v>
      </x:c>
      <x:c r="M1901" s="71" t="str">
        <x:v>Pending review</x:v>
      </x:c>
      <x:c r="N1901" s="71" t="str">
        <x:v>Normal</x:v>
      </x:c>
      <x:c r="O1901" s="71" t="str">
        <x:v>lib/easyt/review.ts</x:v>
      </x:c>
      <x:c r="P1901" s="71" t="str">
        <x:v>place:50</x:v>
      </x:c>
      <x:c r="Q1901" s="71" t="str">
        <x:v>EN (default / shared)</x:v>
      </x:c>
      <x:c r="R1901" s="71" t="str">
        <x:v>Already clear and direct; suggested wording intentionally keeps the current copy. Duplicate wording: appears 2 times. Dynamic traveller or trip value is represented as a token; user-generated values are excluded.</x:v>
      </x:c>
      <x:c r="S1901" s="75" t="str">
        <x:v>Not applied — review required</x:v>
      </x:c>
    </x:row>
    <x:row r="1902">
      <x:c r="A1902" s="71" t="str">
        <x:v>MRV-F388248C6D</x:v>
      </x:c>
      <x:c r="B1902" s="71" t="str">
        <x:v>Planning</x:v>
      </x:c>
      <x:c r="C1902" s="71" t="str">
        <x:v>Planner recommendations</x:v>
      </x:c>
      <x:c r="D1902" s="71" t="str">
        <x:v>Shared planner output</x:v>
      </x:c>
      <x:c r="E1902" s="71" t="str">
        <x:v>place</x:v>
      </x:c>
      <x:c r="F1902" s="71" t="str">
        <x:v>Default</x:v>
      </x:c>
      <x:c r="G1902" s="71" t="str">
        <x:v>Label</x:v>
      </x:c>
      <x:c r="H1902" s="71" t="str">
        <x:v>This place mention</x:v>
      </x:c>
      <x:c r="I1902" s="71" t="str">
        <x:v>This place mention</x:v>
      </x:c>
      <x:c r="J1902" s="73"/>
      <x:c r="K1902" s="74" t="str">
        <x:f>IF(J1902="",H1902,IF(J1902=I1902,I1902,J1902))</x:f>
        <x:v>This place mention</x:v>
      </x:c>
      <x:c r="L1902" s="74" t="str">
        <x:f>IF(J1902="","Keep current",IF(J1902=I1902,"Use suggestion","Custom"))</x:f>
        <x:v>Keep current</x:v>
      </x:c>
      <x:c r="M1902" s="71" t="str">
        <x:v>Pending review</x:v>
      </x:c>
      <x:c r="N1902" s="71" t="str">
        <x:v>Normal</x:v>
      </x:c>
      <x:c r="O1902" s="71" t="str">
        <x:v>lib/easyt/review.ts</x:v>
      </x:c>
      <x:c r="P1902" s="71" t="str">
        <x:v>place:50</x:v>
      </x:c>
      <x:c r="Q1902" s="71" t="str">
        <x:v>EN (default / shared)</x:v>
      </x:c>
      <x:c r="R1902" s="71" t="str">
        <x:v>Already clear and direct; suggested wording intentionally keeps the current copy. Terminology watch: ‘trip’ and ‘journey’ both describe the same plan. Terminology watch: ‘stops’, ‘destinations’ and ‘places’ overlap.</x:v>
      </x:c>
      <x:c r="S1902" s="75" t="str">
        <x:v>Not applied — review required</x:v>
      </x:c>
    </x:row>
    <x:row r="1903">
      <x:c r="A1903" s="71" t="str">
        <x:v>MRV-F60CD9F0D9</x:v>
      </x:c>
      <x:c r="B1903" s="71" t="str">
        <x:v>Planning</x:v>
      </x:c>
      <x:c r="C1903" s="71" t="str">
        <x:v>Planner recommendations</x:v>
      </x:c>
      <x:c r="D1903" s="71" t="str">
        <x:v>Shared planner output</x:v>
      </x:c>
      <x:c r="E1903" s="71" t="str">
        <x:v>routeImpact</x:v>
      </x:c>
      <x:c r="F1903" s="71" t="str">
        <x:v>Default</x:v>
      </x:c>
      <x:c r="G1903" s="71" t="str">
        <x:v>Body copy</x:v>
      </x:c>
      <x:c r="H1903" s="71" t="str">
        <x:v>Resolve it before relying on the current route.</x:v>
      </x:c>
      <x:c r="I1903" s="71" t="str">
        <x:v>Resolve it before relying on the current route.</x:v>
      </x:c>
      <x:c r="J1903" s="73"/>
      <x:c r="K1903" s="74" t="str">
        <x:f>IF(J1903="",H1903,IF(J1903=I1903,I1903,J1903))</x:f>
        <x:v>Resolve it before relying on the current route.</x:v>
      </x:c>
      <x:c r="L1903" s="74" t="str">
        <x:f>IF(J1903="","Keep current",IF(J1903=I1903,"Use suggestion","Custom"))</x:f>
        <x:v>Keep current</x:v>
      </x:c>
      <x:c r="M1903" s="71" t="str">
        <x:v>Pending review</x:v>
      </x:c>
      <x:c r="N1903" s="71" t="str">
        <x:v>Normal</x:v>
      </x:c>
      <x:c r="O1903" s="71" t="str">
        <x:v>lib/easyt/review.ts</x:v>
      </x:c>
      <x:c r="P1903" s="71" t="str">
        <x:v>routeImpact:53</x:v>
      </x:c>
      <x:c r="Q1903" s="71" t="str">
        <x:v>EN (default / shared)</x:v>
      </x:c>
      <x:c r="R1903" s="71" t="str">
        <x:v>Already clear and direct; suggested wording intentionally keeps the current copy.</x:v>
      </x:c>
      <x:c r="S1903" s="75" t="str">
        <x:v>Not applied — review required</x:v>
      </x:c>
    </x:row>
    <x:row r="1904">
      <x:c r="A1904" s="71" t="str">
        <x:v>MRV-4B94B07357</x:v>
      </x:c>
      <x:c r="B1904" s="71" t="str">
        <x:v>Planning</x:v>
      </x:c>
      <x:c r="C1904" s="71" t="str">
        <x:v>Planner recommendations</x:v>
      </x:c>
      <x:c r="D1904" s="71" t="str">
        <x:v>Shared planner output</x:v>
      </x:c>
      <x:c r="E1904" s="71" t="str">
        <x:v>routeImpact</x:v>
      </x:c>
      <x:c r="F1904" s="71" t="str">
        <x:v>Default</x:v>
      </x:c>
      <x:c r="G1904" s="71" t="str">
        <x:v>Body copy</x:v>
      </x:c>
      <x:c r="H1904" s="71" t="str">
        <x:v>The original place intent remains saved in the trip brief.</x:v>
      </x:c>
      <x:c r="I1904" s="71" t="str">
        <x:v>The original place intent remains saved in the trip brief.</x:v>
      </x:c>
      <x:c r="J1904" s="73"/>
      <x:c r="K1904" s="74" t="str">
        <x:f>IF(J1904="",H1904,IF(J1904=I1904,I1904,J1904))</x:f>
        <x:v>The original place intent remains saved in the trip brief.</x:v>
      </x:c>
      <x:c r="L1904" s="74" t="str">
        <x:f>IF(J1904="","Keep current",IF(J1904=I1904,"Use suggestion","Custom"))</x:f>
        <x:v>Keep current</x:v>
      </x:c>
      <x:c r="M1904" s="71" t="str">
        <x:v>Pending review</x:v>
      </x:c>
      <x:c r="N1904" s="71" t="str">
        <x:v>Normal</x:v>
      </x:c>
      <x:c r="O1904" s="71" t="str">
        <x:v>lib/easyt/review.ts</x:v>
      </x:c>
      <x:c r="P1904" s="71" t="str">
        <x:v>routeImpact:54</x:v>
      </x:c>
      <x:c r="Q1904" s="71" t="str">
        <x:v>EN (default / shared)</x:v>
      </x:c>
      <x:c r="R1904" s="71" t="str">
        <x:v>Already clear and direct; suggested wording intentionally keeps the current copy. Terminology watch: ‘trip’ and ‘journey’ both describe the same plan. Terminology watch: ‘stops’, ‘destinations’ and ‘places’ overlap.</x:v>
      </x:c>
      <x:c r="S1904" s="75" t="str">
        <x:v>Not applied — review required</x:v>
      </x:c>
    </x:row>
    <x:row r="1905">
      <x:c r="A1905" s="71" t="str">
        <x:v>MRV-E582079D44</x:v>
      </x:c>
      <x:c r="B1905" s="71" t="str">
        <x:v>Planning</x:v>
      </x:c>
      <x:c r="C1905" s="71" t="str">
        <x:v>Planner recommendations</x:v>
      </x:c>
      <x:c r="D1905" s="71" t="str">
        <x:v>Shared planner output</x:v>
      </x:c>
      <x:c r="E1905" s="71" t="str">
        <x:v>options</x:v>
      </x:c>
      <x:c r="F1905" s="71" t="str">
        <x:v>Default</x:v>
      </x:c>
      <x:c r="G1905" s="71" t="str">
        <x:v>Body copy</x:v>
      </x:c>
      <x:c r="H1905" s="71" t="str">
        <x:v>{optionCount} deterministic option{optionCount === 1 ? " is" : "s are"} available for confirmation.</x:v>
      </x:c>
      <x:c r="I1905" s="71" t="str">
        <x:v>{optionCount} deterministic option{optionCount === 1 ? " is" : "s are"} available for confirmation.</x:v>
      </x:c>
      <x:c r="J1905" s="73"/>
      <x:c r="K1905" s="74" t="str">
        <x:f>IF(J1905="",H1905,IF(J1905=I1905,I1905,J1905))</x:f>
        <x:v>{optionCount} deterministic option{optionCount === 1 ? " is" : "s are"} available for confirmation.</x:v>
      </x:c>
      <x:c r="L1905" s="74" t="str">
        <x:f>IF(J1905="","Keep current",IF(J1905=I1905,"Use suggestion","Custom"))</x:f>
        <x:v>Keep current</x:v>
      </x:c>
      <x:c r="M1905" s="71" t="str">
        <x:v>Pending review</x:v>
      </x:c>
      <x:c r="N1905" s="71" t="str">
        <x:v>Normal</x:v>
      </x:c>
      <x:c r="O1905" s="71" t="str">
        <x:v>lib/easyt/review.ts</x:v>
      </x:c>
      <x:c r="P1905" s="71" t="str">
        <x:v>options:57</x:v>
      </x:c>
      <x:c r="Q1905" s="71" t="str">
        <x:v>EN (default / shared)</x:v>
      </x:c>
      <x:c r="R1905" s="71" t="str">
        <x:v>Already clear and direct; suggested wording intentionally keeps the current copy. Dynamic traveller or trip value is represented as a token; user-generated values are excluded.</x:v>
      </x:c>
      <x:c r="S1905" s="75" t="str">
        <x:v>Not applied — review required</x:v>
      </x:c>
    </x:row>
    <x:row r="1906">
      <x:c r="A1906" s="71" t="str">
        <x:v>MRV-B881827CF3</x:v>
      </x:c>
      <x:c r="B1906" s="71" t="str">
        <x:v>Planning</x:v>
      </x:c>
      <x:c r="C1906" s="71" t="str">
        <x:v>Planner recommendations</x:v>
      </x:c>
      <x:c r="D1906" s="71" t="str">
        <x:v>Shared planner output</x:v>
      </x:c>
      <x:c r="E1906" s="71" t="str">
        <x:v>options</x:v>
      </x:c>
      <x:c r="F1906" s="71" t="str">
        <x:v>Default</x:v>
      </x:c>
      <x:c r="G1906" s="71" t="str">
        <x:v>Label</x:v>
      </x:c>
      <x:c r="H1906" s="71" t="str">
        <x:v>s are</x:v>
      </x:c>
      <x:c r="I1906" s="71" t="str">
        <x:v>s are</x:v>
      </x:c>
      <x:c r="J1906" s="73"/>
      <x:c r="K1906" s="74" t="str">
        <x:f>IF(J1906="",H1906,IF(J1906=I1906,I1906,J1906))</x:f>
        <x:v>s are</x:v>
      </x:c>
      <x:c r="L1906" s="74" t="str">
        <x:f>IF(J1906="","Keep current",IF(J1906=I1906,"Use suggestion","Custom"))</x:f>
        <x:v>Keep current</x:v>
      </x:c>
      <x:c r="M1906" s="71" t="str">
        <x:v>Pending review</x:v>
      </x:c>
      <x:c r="N1906" s="71" t="str">
        <x:v>Normal</x:v>
      </x:c>
      <x:c r="O1906" s="71" t="str">
        <x:v>lib/easyt/review.ts</x:v>
      </x:c>
      <x:c r="P1906" s="71" t="str">
        <x:v>options:57</x:v>
      </x:c>
      <x:c r="Q1906" s="71" t="str">
        <x:v>EN (default / shared)</x:v>
      </x:c>
      <x:c r="R1906" s="71" t="str">
        <x:v>Already clear and direct; suggested wording intentionally keeps the current copy.</x:v>
      </x:c>
      <x:c r="S1906" s="75" t="str">
        <x:v>Not applied — review required</x:v>
      </x:c>
    </x:row>
    <x:row r="1907">
      <x:c r="A1907" s="71" t="str">
        <x:v>MRV-4A7F7BAE1A</x:v>
      </x:c>
      <x:c r="B1907" s="71" t="str">
        <x:v>Planning</x:v>
      </x:c>
      <x:c r="C1907" s="71" t="str">
        <x:v>Planner recommendations</x:v>
      </x:c>
      <x:c r="D1907" s="71" t="str">
        <x:v>Shared planner output</x:v>
      </x:c>
      <x:c r="E1907" s="71" t="str">
        <x:v>placeIssueEvidence</x:v>
      </x:c>
      <x:c r="F1907" s="71" t="str">
        <x:v>Default</x:v>
      </x:c>
      <x:c r="G1907" s="71" t="str">
        <x:v>Body copy</x:v>
      </x:c>
      <x:c r="H1907" s="71" t="str">
        <x:v>{place} is retained as {issueKind}. {routeImpact}{options}</x:v>
      </x:c>
      <x:c r="I1907" s="71" t="str">
        <x:v>{place} is retained as {issueKind}. {routeImpact}{options}</x:v>
      </x:c>
      <x:c r="J1907" s="73"/>
      <x:c r="K1907" s="74" t="str">
        <x:f>IF(J1907="",H1907,IF(J1907=I1907,I1907,J1907))</x:f>
        <x:v>{place} is retained as {issueKind}. {routeImpact}{options}</x:v>
      </x:c>
      <x:c r="L1907" s="74" t="str">
        <x:f>IF(J1907="","Keep current",IF(J1907=I1907,"Use suggestion","Custom"))</x:f>
        <x:v>Keep current</x:v>
      </x:c>
      <x:c r="M1907" s="71" t="str">
        <x:v>Pending review</x:v>
      </x:c>
      <x:c r="N1907" s="71" t="str">
        <x:v>Normal</x:v>
      </x:c>
      <x:c r="O1907" s="71" t="str">
        <x:v>lib/easyt/review.ts</x:v>
      </x:c>
      <x:c r="P1907" s="71" t="str">
        <x:v>placeIssueEvidence:59</x:v>
      </x:c>
      <x:c r="Q1907" s="71" t="str">
        <x:v>EN (default / shared)</x:v>
      </x:c>
      <x:c r="R1907"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907" s="75" t="str">
        <x:v>Not applied — review required</x:v>
      </x:c>
    </x:row>
    <x:row r="1908">
      <x:c r="A1908" s="71" t="str">
        <x:v>MRV-A77D48C5B1</x:v>
      </x:c>
      <x:c r="B1908" s="71" t="str">
        <x:v>Planning</x:v>
      </x:c>
      <x:c r="C1908" s="71" t="str">
        <x:v>Planner recommendations</x:v>
      </x:c>
      <x:c r="D1908" s="71" t="str">
        <x:v>Shared planner output</x:v>
      </x:c>
      <x:c r="E1908" s="71" t="str">
        <x:v>persistedLegEstimator</x:v>
      </x:c>
      <x:c r="F1908" s="71" t="str">
        <x:v>Default</x:v>
      </x:c>
      <x:c r="G1908" s="71" t="str">
        <x:v>Body copy</x:v>
      </x:c>
      <x:c r="H1908" s="71" t="str">
        <x:v>{from.name} → {to.name}</x:v>
      </x:c>
      <x:c r="I1908" s="71" t="str">
        <x:v>{from.name} → {to.name}</x:v>
      </x:c>
      <x:c r="J1908" s="73"/>
      <x:c r="K1908" s="74" t="str">
        <x:f>IF(J1908="",H1908,IF(J1908=I1908,I1908,J1908))</x:f>
        <x:v>{from.name} → {to.name}</x:v>
      </x:c>
      <x:c r="L1908" s="74" t="str">
        <x:f>IF(J1908="","Keep current",IF(J1908=I1908,"Use suggestion","Custom"))</x:f>
        <x:v>Keep current</x:v>
      </x:c>
      <x:c r="M1908" s="71" t="str">
        <x:v>Pending review</x:v>
      </x:c>
      <x:c r="N1908" s="71" t="str">
        <x:v>Normal</x:v>
      </x:c>
      <x:c r="O1908" s="71" t="str">
        <x:v>lib/easyt/review.ts</x:v>
      </x:c>
      <x:c r="P1908" s="71" t="str">
        <x:v>persistedLegEstimator:87</x:v>
      </x:c>
      <x:c r="Q1908" s="71" t="str">
        <x:v>EN (default / shared)</x:v>
      </x:c>
      <x:c r="R1908" s="71" t="str">
        <x:v>Already clear and direct; suggested wording intentionally keeps the current copy. Duplicate wording: appears 9 times. Dynamic traveller or trip value is represented as a token; user-generated values are excluded.</x:v>
      </x:c>
      <x:c r="S1908" s="75" t="str">
        <x:v>Not applied — review required</x:v>
      </x:c>
    </x:row>
    <x:row r="1909">
      <x:c r="A1909" s="71" t="str">
        <x:v>MRV-D93D852E3A</x:v>
      </x:c>
      <x:c r="B1909" s="71" t="str">
        <x:v>Planning</x:v>
      </x:c>
      <x:c r="C1909" s="71" t="str">
        <x:v>Planner recommendations</x:v>
      </x:c>
      <x:c r="D1909" s="71" t="str">
        <x:v>Shared planner output</x:v>
      </x:c>
      <x:c r="E1909" s="71" t="str">
        <x:v>persistedLegEstimator</x:v>
      </x:c>
      <x:c r="F1909" s="71" t="str">
        <x:v>Default</x:v>
      </x:c>
      <x:c r="G1909" s="71" t="str">
        <x:v>Body copy</x:v>
      </x:c>
      <x:c r="H1909" s="71" t="str">
        <x:v>{from.name} → {to.name}</x:v>
      </x:c>
      <x:c r="I1909" s="71" t="str">
        <x:v>{from.name} → {to.name}</x:v>
      </x:c>
      <x:c r="J1909" s="73"/>
      <x:c r="K1909" s="74" t="str">
        <x:f>IF(J1909="",H1909,IF(J1909=I1909,I1909,J1909))</x:f>
        <x:v>{from.name} → {to.name}</x:v>
      </x:c>
      <x:c r="L1909" s="74" t="str">
        <x:f>IF(J1909="","Keep current",IF(J1909=I1909,"Use suggestion","Custom"))</x:f>
        <x:v>Keep current</x:v>
      </x:c>
      <x:c r="M1909" s="71" t="str">
        <x:v>Pending review</x:v>
      </x:c>
      <x:c r="N1909" s="71" t="str">
        <x:v>Normal</x:v>
      </x:c>
      <x:c r="O1909" s="71" t="str">
        <x:v>lib/easyt/review.ts</x:v>
      </x:c>
      <x:c r="P1909" s="71" t="str">
        <x:v>persistedLegEstimator:102</x:v>
      </x:c>
      <x:c r="Q1909" s="71" t="str">
        <x:v>EN (default / shared)</x:v>
      </x:c>
      <x:c r="R1909" s="71" t="str">
        <x:v>Already clear and direct; suggested wording intentionally keeps the current copy. Duplicate wording: appears 9 times. Dynamic traveller or trip value is represented as a token; user-generated values are excluded.</x:v>
      </x:c>
      <x:c r="S1909" s="75" t="str">
        <x:v>Not applied — review required</x:v>
      </x:c>
    </x:row>
    <x:row r="1910">
      <x:c r="A1910" s="71" t="str">
        <x:v>MRV-F036FA8DBD</x:v>
      </x:c>
      <x:c r="B1910" s="71" t="str">
        <x:v>Planning</x:v>
      </x:c>
      <x:c r="C1910" s="71" t="str">
        <x:v>Planner recommendations</x:v>
      </x:c>
      <x:c r="D1910" s="71" t="str">
        <x:v>Shared planner output</x:v>
      </x:c>
      <x:c r="E1910" s="71" t="str">
        <x:v>destination</x:v>
      </x:c>
      <x:c r="F1910" s="71" t="str">
        <x:v>Default</x:v>
      </x:c>
      <x:c r="G1910" s="71" t="str">
        <x:v>Label</x:v>
      </x:c>
      <x:c r="H1910" s="71" t="str">
        <x:v>the next stop</x:v>
      </x:c>
      <x:c r="I1910" s="71" t="str">
        <x:v>the next stop</x:v>
      </x:c>
      <x:c r="J1910" s="73"/>
      <x:c r="K1910" s="74" t="str">
        <x:f>IF(J1910="",H1910,IF(J1910=I1910,I1910,J1910))</x:f>
        <x:v>the next stop</x:v>
      </x:c>
      <x:c r="L1910" s="74" t="str">
        <x:f>IF(J1910="","Keep current",IF(J1910=I1910,"Use suggestion","Custom"))</x:f>
        <x:v>Keep current</x:v>
      </x:c>
      <x:c r="M1910" s="71" t="str">
        <x:v>Pending review</x:v>
      </x:c>
      <x:c r="N1910" s="71" t="str">
        <x:v>Normal</x:v>
      </x:c>
      <x:c r="O1910" s="71" t="str">
        <x:v>lib/easyt/review.ts</x:v>
      </x:c>
      <x:c r="P1910" s="71" t="str">
        <x:v>destination:268</x:v>
      </x:c>
      <x:c r="Q1910" s="71" t="str">
        <x:v>EN (default / shared)</x:v>
      </x:c>
      <x:c r="R1910" s="71" t="str">
        <x:v>Already clear and direct; suggested wording intentionally keeps the current copy. Duplicate wording: appears 4 times. Terminology watch: ‘trip’ and ‘journey’ both describe the same plan. Terminology watch: ‘stops’, ‘destinations’ and ‘places’ overlap.</x:v>
      </x:c>
      <x:c r="S1910" s="75" t="str">
        <x:v>Not applied — review required</x:v>
      </x:c>
    </x:row>
    <x:row r="1911">
      <x:c r="A1911" s="71" t="str">
        <x:v>MRV-0EC49004E8</x:v>
      </x:c>
      <x:c r="B1911" s="71" t="str">
        <x:v>Planning</x:v>
      </x:c>
      <x:c r="C1911" s="71" t="str">
        <x:v>Planner recommendations</x:v>
      </x:c>
      <x:c r="D1911" s="71" t="str">
        <x:v>Shared planner output</x:v>
      </x:c>
      <x:c r="E1911" s="71" t="str">
        <x:v>destination</x:v>
      </x:c>
      <x:c r="F1911" s="71" t="str">
        <x:v>Missing data / not found</x:v>
      </x:c>
      <x:c r="G1911" s="71" t="str">
        <x:v>Label</x:v>
      </x:c>
      <x:c r="H1911" s="71" t="str">
        <x:v>the next stop</x:v>
      </x:c>
      <x:c r="I1911" s="71" t="str">
        <x:v>the next stop</x:v>
      </x:c>
      <x:c r="J1911" s="73"/>
      <x:c r="K1911" s="74" t="str">
        <x:f>IF(J1911="",H1911,IF(J1911=I1911,I1911,J1911))</x:f>
        <x:v>the next stop</x:v>
      </x:c>
      <x:c r="L1911" s="74" t="str">
        <x:f>IF(J1911="","Keep current",IF(J1911=I1911,"Use suggestion","Custom"))</x:f>
        <x:v>Keep current</x:v>
      </x:c>
      <x:c r="M1911" s="71" t="str">
        <x:v>Pending review</x:v>
      </x:c>
      <x:c r="N1911" s="71" t="str">
        <x:v>Normal</x:v>
      </x:c>
      <x:c r="O1911" s="71" t="str">
        <x:v>lib/easyt/review.ts</x:v>
      </x:c>
      <x:c r="P1911" s="71" t="str">
        <x:v>destination:312</x:v>
      </x:c>
      <x:c r="Q1911" s="71" t="str">
        <x:v>EN (default / shared)</x:v>
      </x:c>
      <x:c r="R1911" s="71" t="str">
        <x:v>Already clear and direct; suggested wording intentionally keeps the current copy. Duplicate wording: appears 4 times. Terminology watch: ‘trip’ and ‘journey’ both describe the same plan. Terminology watch: ‘stops’, ‘destinations’ and ‘places’ overlap.</x:v>
      </x:c>
      <x:c r="S1911" s="75" t="str">
        <x:v>Not applied — review required</x:v>
      </x:c>
    </x:row>
    <x:row r="1912">
      <x:c r="A1912" s="71" t="str">
        <x:v>MRV-F3F6D5846E</x:v>
      </x:c>
      <x:c r="B1912" s="71" t="str">
        <x:v>Planning</x:v>
      </x:c>
      <x:c r="C1912" s="71" t="str">
        <x:v>Planner recommendations</x:v>
      </x:c>
      <x:c r="D1912" s="71" t="str">
        <x:v>Shared planner output</x:v>
      </x:c>
      <x:c r="E1912" s="71" t="str">
        <x:v>destination</x:v>
      </x:c>
      <x:c r="F1912" s="71" t="str">
        <x:v>Default</x:v>
      </x:c>
      <x:c r="G1912" s="71" t="str">
        <x:v>Label</x:v>
      </x:c>
      <x:c r="H1912" s="71" t="str">
        <x:v>the next stop</x:v>
      </x:c>
      <x:c r="I1912" s="71" t="str">
        <x:v>the next stop</x:v>
      </x:c>
      <x:c r="J1912" s="73"/>
      <x:c r="K1912" s="74" t="str">
        <x:f>IF(J1912="",H1912,IF(J1912=I1912,I1912,J1912))</x:f>
        <x:v>the next stop</x:v>
      </x:c>
      <x:c r="L1912" s="74" t="str">
        <x:f>IF(J1912="","Keep current",IF(J1912=I1912,"Use suggestion","Custom"))</x:f>
        <x:v>Keep current</x:v>
      </x:c>
      <x:c r="M1912" s="71" t="str">
        <x:v>Pending review</x:v>
      </x:c>
      <x:c r="N1912" s="71" t="str">
        <x:v>Normal</x:v>
      </x:c>
      <x:c r="O1912" s="71" t="str">
        <x:v>lib/easyt/review.ts</x:v>
      </x:c>
      <x:c r="P1912" s="71" t="str">
        <x:v>destination:326</x:v>
      </x:c>
      <x:c r="Q1912" s="71" t="str">
        <x:v>EN (default / shared)</x:v>
      </x:c>
      <x:c r="R1912" s="71" t="str">
        <x:v>Already clear and direct; suggested wording intentionally keeps the current copy. Duplicate wording: appears 4 times. Terminology watch: ‘trip’ and ‘journey’ both describe the same plan. Terminology watch: ‘stops’, ‘destinations’ and ‘places’ overlap.</x:v>
      </x:c>
      <x:c r="S1912" s="75" t="str">
        <x:v>Not applied — review required</x:v>
      </x:c>
    </x:row>
    <x:row r="1913">
      <x:c r="A1913" s="71" t="str">
        <x:v>MRV-C0AACE63BF</x:v>
      </x:c>
      <x:c r="B1913" s="71" t="str">
        <x:v>Planning</x:v>
      </x:c>
      <x:c r="C1913" s="71" t="str">
        <x:v>Planner recommendations</x:v>
      </x:c>
      <x:c r="D1913" s="71" t="str">
        <x:v>Shared planner output</x:v>
      </x:c>
      <x:c r="E1913" s="71" t="str">
        <x:v>destination</x:v>
      </x:c>
      <x:c r="F1913" s="71" t="str">
        <x:v>Default</x:v>
      </x:c>
      <x:c r="G1913" s="71" t="str">
        <x:v>Label</x:v>
      </x:c>
      <x:c r="H1913" s="71" t="str">
        <x:v>the next stop</x:v>
      </x:c>
      <x:c r="I1913" s="71" t="str">
        <x:v>the next stop</x:v>
      </x:c>
      <x:c r="J1913" s="73"/>
      <x:c r="K1913" s="74" t="str">
        <x:f>IF(J1913="",H1913,IF(J1913=I1913,I1913,J1913))</x:f>
        <x:v>the next stop</x:v>
      </x:c>
      <x:c r="L1913" s="74" t="str">
        <x:f>IF(J1913="","Keep current",IF(J1913=I1913,"Use suggestion","Custom"))</x:f>
        <x:v>Keep current</x:v>
      </x:c>
      <x:c r="M1913" s="71" t="str">
        <x:v>Pending review</x:v>
      </x:c>
      <x:c r="N1913" s="71" t="str">
        <x:v>Normal</x:v>
      </x:c>
      <x:c r="O1913" s="71" t="str">
        <x:v>lib/easyt/review.ts</x:v>
      </x:c>
      <x:c r="P1913" s="71" t="str">
        <x:v>destination:482</x:v>
      </x:c>
      <x:c r="Q1913" s="71" t="str">
        <x:v>EN (default / shared)</x:v>
      </x:c>
      <x:c r="R1913" s="71" t="str">
        <x:v>Already clear and direct; suggested wording intentionally keeps the current copy. Duplicate wording: appears 4 times. Terminology watch: ‘trip’ and ‘journey’ both describe the same plan. Terminology watch: ‘stops’, ‘destinations’ and ‘places’ overlap.</x:v>
      </x:c>
      <x:c r="S1913" s="75" t="str">
        <x:v>Not applied — review required</x:v>
      </x:c>
    </x:row>
    <x:row r="1914">
      <x:c r="A1914" s="71" t="str">
        <x:v>MRV-3D8E4C5D29</x:v>
      </x:c>
      <x:c r="B1914" s="71" t="str">
        <x:v>Planning</x:v>
      </x:c>
      <x:c r="C1914" s="71" t="str">
        <x:v>Planner recommendations</x:v>
      </x:c>
      <x:c r="D1914" s="71" t="str">
        <x:v>Shared planner output</x:v>
      </x:c>
      <x:c r="E1914" s="71" t="str">
        <x:v>leftKey</x:v>
      </x:c>
      <x:c r="F1914" s="71" t="str">
        <x:v>Default</x:v>
      </x:c>
      <x:c r="G1914" s="71" t="str">
        <x:v>Body copy</x:v>
      </x:c>
      <x:c r="H1914" s="71" t="str">
        <x:v>{left.code}:{left.mentionId}</x:v>
      </x:c>
      <x:c r="I1914" s="71" t="str">
        <x:v>{left.code}:{left.mentionId}</x:v>
      </x:c>
      <x:c r="J1914" s="73"/>
      <x:c r="K1914" s="74" t="str">
        <x:f>IF(J1914="",H1914,IF(J1914=I1914,I1914,J1914))</x:f>
        <x:v>{left.code}:{left.mentionId}</x:v>
      </x:c>
      <x:c r="L1914" s="74" t="str">
        <x:f>IF(J1914="","Keep current",IF(J1914=I1914,"Use suggestion","Custom"))</x:f>
        <x:v>Keep current</x:v>
      </x:c>
      <x:c r="M1914" s="71" t="str">
        <x:v>Pending review</x:v>
      </x:c>
      <x:c r="N1914" s="71" t="str">
        <x:v>Normal</x:v>
      </x:c>
      <x:c r="O1914" s="71" t="str">
        <x:v>lib/easyt/review.ts</x:v>
      </x:c>
      <x:c r="P1914" s="71" t="str">
        <x:v>leftKey:507</x:v>
      </x:c>
      <x:c r="Q1914" s="71" t="str">
        <x:v>EN (default / shared)</x:v>
      </x:c>
      <x:c r="R1914" s="71" t="str">
        <x:v>Already clear and direct; suggested wording intentionally keeps the current copy. Dynamic traveller or trip value is represented as a token; user-generated values are excluded.</x:v>
      </x:c>
      <x:c r="S1914" s="75" t="str">
        <x:v>Not applied — review required</x:v>
      </x:c>
    </x:row>
    <x:row r="1915">
      <x:c r="A1915" s="71" t="str">
        <x:v>MRV-B3C62A93F1</x:v>
      </x:c>
      <x:c r="B1915" s="71" t="str">
        <x:v>Planning</x:v>
      </x:c>
      <x:c r="C1915" s="71" t="str">
        <x:v>Planner recommendations</x:v>
      </x:c>
      <x:c r="D1915" s="71" t="str">
        <x:v>Shared planner output</x:v>
      </x:c>
      <x:c r="E1915" s="71" t="str">
        <x:v>rightKey</x:v>
      </x:c>
      <x:c r="F1915" s="71" t="str">
        <x:v>Default</x:v>
      </x:c>
      <x:c r="G1915" s="71" t="str">
        <x:v>Body copy</x:v>
      </x:c>
      <x:c r="H1915" s="71" t="str">
        <x:v>{right.code}:{right.mentionId}</x:v>
      </x:c>
      <x:c r="I1915" s="71" t="str">
        <x:v>{right.code}:{right.mentionId}</x:v>
      </x:c>
      <x:c r="J1915" s="73"/>
      <x:c r="K1915" s="74" t="str">
        <x:f>IF(J1915="",H1915,IF(J1915=I1915,I1915,J1915))</x:f>
        <x:v>{right.code}:{right.mentionId}</x:v>
      </x:c>
      <x:c r="L1915" s="74" t="str">
        <x:f>IF(J1915="","Keep current",IF(J1915=I1915,"Use suggestion","Custom"))</x:f>
        <x:v>Keep current</x:v>
      </x:c>
      <x:c r="M1915" s="71" t="str">
        <x:v>Pending review</x:v>
      </x:c>
      <x:c r="N1915" s="71" t="str">
        <x:v>Normal</x:v>
      </x:c>
      <x:c r="O1915" s="71" t="str">
        <x:v>lib/easyt/review.ts</x:v>
      </x:c>
      <x:c r="P1915" s="71" t="str">
        <x:v>rightKey:508</x:v>
      </x:c>
      <x:c r="Q1915" s="71" t="str">
        <x:v>EN (default / shared)</x:v>
      </x:c>
      <x:c r="R1915" s="71" t="str">
        <x:v>Already clear and direct; suggested wording intentionally keeps the current copy. Dynamic traveller or trip value is represented as a token; user-generated values are excluded.</x:v>
      </x:c>
      <x:c r="S1915" s="75" t="str">
        <x:v>Not applied — review required</x:v>
      </x:c>
    </x:row>
    <x:row r="1916">
      <x:c r="A1916" s="71" t="str">
        <x:v>MRV-CE4D4C6575</x:v>
      </x:c>
      <x:c r="B1916" s="71" t="str">
        <x:v>Planning</x:v>
      </x:c>
      <x:c r="C1916" s="71" t="str">
        <x:v>Planner recommendations</x:v>
      </x:c>
      <x:c r="D1916" s="71" t="str">
        <x:v>Shared planner output</x:v>
      </x:c>
      <x:c r="E1916" s="71" t="str">
        <x:v>recommendationImpact</x:v>
      </x:c>
      <x:c r="F1916" s="71" t="str">
        <x:v>Default</x:v>
      </x:c>
      <x:c r="G1916" s="71" t="str">
        <x:v>Body copy</x:v>
      </x:c>
      <x:c r="H1916" s="71" t="str">
        <x:v>Keeps the original place intent visible until it is resolved; no route stop is added or changed automatically.</x:v>
      </x:c>
      <x:c r="I1916" s="71" t="str">
        <x:v>Keeps the original place intent visible until it is resolved; no route stop is added or changed automatically.</x:v>
      </x:c>
      <x:c r="J1916" s="73"/>
      <x:c r="K1916" s="74" t="str">
        <x:f>IF(J1916="",H1916,IF(J1916=I1916,I1916,J1916))</x:f>
        <x:v>Keeps the original place intent visible until it is resolved; no route stop is added or changed automatically.</x:v>
      </x:c>
      <x:c r="L1916" s="74" t="str">
        <x:f>IF(J1916="","Keep current",IF(J1916=I1916,"Use suggestion","Custom"))</x:f>
        <x:v>Keep current</x:v>
      </x:c>
      <x:c r="M1916" s="71" t="str">
        <x:v>Pending review</x:v>
      </x:c>
      <x:c r="N1916" s="71" t="str">
        <x:v>Normal</x:v>
      </x:c>
      <x:c r="O1916" s="71" t="str">
        <x:v>lib/easyt/review.ts</x:v>
      </x:c>
      <x:c r="P1916" s="71" t="str">
        <x:v>recommendationImpact:574</x:v>
      </x:c>
      <x:c r="Q1916" s="71" t="str">
        <x:v>EN (default / shared)</x:v>
      </x:c>
      <x:c r="R1916" s="71" t="str">
        <x:v>Already clear and direct; suggested wording intentionally keeps the current copy. Terminology watch: ‘trip’ and ‘journey’ both describe the same plan. Terminology watch: ‘stops’, ‘destinations’ and ‘places’ overlap.</x:v>
      </x:c>
      <x:c r="S1916" s="75" t="str">
        <x:v>Not applied — review required</x:v>
      </x:c>
    </x:row>
    <x:row r="1917">
      <x:c r="A1917" s="71" t="str">
        <x:v>MRV-9E14F992A6</x:v>
      </x:c>
      <x:c r="B1917" s="71" t="str">
        <x:v>Planning</x:v>
      </x:c>
      <x:c r="C1917" s="71" t="str">
        <x:v>Planner recommendations</x:v>
      </x:c>
      <x:c r="D1917" s="71" t="str">
        <x:v>Shared planner output</x:v>
      </x:c>
      <x:c r="E1917" s="71" t="str">
        <x:v>recommendationImpact</x:v>
      </x:c>
      <x:c r="F1917" s="71" t="str">
        <x:v>Default</x:v>
      </x:c>
      <x:c r="G1917" s="71" t="str">
        <x:v>CTA / button</x:v>
      </x:c>
      <x:c r="H1917" s="71" t="str">
        <x:v>Adds open planning days so the day-by-day plan covers the full trip.</x:v>
      </x:c>
      <x:c r="I1917" s="71" t="str">
        <x:v>Adds open planning days so the day-by-day plan covers the full trip.</x:v>
      </x:c>
      <x:c r="J1917" s="73"/>
      <x:c r="K1917" s="74" t="str">
        <x:f>IF(J1917="",H1917,IF(J1917=I1917,I1917,J1917))</x:f>
        <x:v>Adds open planning days so the day-by-day plan covers the full trip.</x:v>
      </x:c>
      <x:c r="L1917" s="74" t="str">
        <x:f>IF(J1917="","Keep current",IF(J1917=I1917,"Use suggestion","Custom"))</x:f>
        <x:v>Keep current</x:v>
      </x:c>
      <x:c r="M1917" s="71" t="str">
        <x:v>Pending review</x:v>
      </x:c>
      <x:c r="N1917" s="71" t="str">
        <x:v>Medium</x:v>
      </x:c>
      <x:c r="O1917" s="71" t="str">
        <x:v>lib/easyt/review.ts</x:v>
      </x:c>
      <x:c r="P1917" s="71" t="str">
        <x:v>recommendationImpact:575</x:v>
      </x:c>
      <x:c r="Q1917" s="71" t="str">
        <x:v>EN (default / shared)</x:v>
      </x:c>
      <x:c r="R1917" s="71" t="str">
        <x:v>Already clear and direct; suggested wording intentionally keeps the current copy. Terminology watch: ‘trip’ and ‘journey’ both describe the same plan. Terminology watch: ‘stops’, ‘destinations’ and ‘places’ overlap.</x:v>
      </x:c>
      <x:c r="S1917" s="75" t="str">
        <x:v>Not applied — review required</x:v>
      </x:c>
    </x:row>
    <x:row r="1918">
      <x:c r="A1918" s="71" t="str">
        <x:v>MRV-5C3B35BB46</x:v>
      </x:c>
      <x:c r="B1918" s="71" t="str">
        <x:v>Planning</x:v>
      </x:c>
      <x:c r="C1918" s="71" t="str">
        <x:v>Planner recommendations</x:v>
      </x:c>
      <x:c r="D1918" s="71" t="str">
        <x:v>Shared planner output</x:v>
      </x:c>
      <x:c r="E1918" s="71" t="str">
        <x:v>recommendationImpact</x:v>
      </x:c>
      <x:c r="F1918" s="71" t="str">
        <x:v>Default</x:v>
      </x:c>
      <x:c r="G1918" s="71" t="str">
        <x:v>Body copy</x:v>
      </x:c>
      <x:c r="H1918" s="71" t="str">
        <x:v>Flags the affected stops for an extra night; no bookings are changed automatically.</x:v>
      </x:c>
      <x:c r="I1918" s="71" t="str">
        <x:v>Flags the affected stops for an extra night; no bookings are changed automatically.</x:v>
      </x:c>
      <x:c r="J1918" s="73"/>
      <x:c r="K1918" s="74" t="str">
        <x:f>IF(J1918="",H1918,IF(J1918=I1918,I1918,J1918))</x:f>
        <x:v>Flags the affected stops for an extra night; no bookings are changed automatically.</x:v>
      </x:c>
      <x:c r="L1918" s="74" t="str">
        <x:f>IF(J1918="","Keep current",IF(J1918=I1918,"Use suggestion","Custom"))</x:f>
        <x:v>Keep current</x:v>
      </x:c>
      <x:c r="M1918" s="71" t="str">
        <x:v>Pending review</x:v>
      </x:c>
      <x:c r="N1918" s="71" t="str">
        <x:v>Normal</x:v>
      </x:c>
      <x:c r="O1918" s="71" t="str">
        <x:v>lib/easyt/review.ts</x:v>
      </x:c>
      <x:c r="P1918" s="71" t="str">
        <x:v>recommendationImpact:576</x:v>
      </x:c>
      <x:c r="Q1918" s="71" t="str">
        <x:v>EN (default / shared)</x:v>
      </x:c>
      <x:c r="R1918" s="71" t="str">
        <x:v>Already clear and direct; suggested wording intentionally keeps the current copy. Terminology watch: ‘trip’ and ‘journey’ both describe the same plan. Terminology watch: ‘stops’, ‘destinations’ and ‘places’ overlap.</x:v>
      </x:c>
      <x:c r="S1918" s="75" t="str">
        <x:v>Not applied — review required</x:v>
      </x:c>
    </x:row>
    <x:row r="1919">
      <x:c r="A1919" s="71" t="str">
        <x:v>MRV-96354E468B</x:v>
      </x:c>
      <x:c r="B1919" s="71" t="str">
        <x:v>Planning</x:v>
      </x:c>
      <x:c r="C1919" s="71" t="str">
        <x:v>Planner recommendations</x:v>
      </x:c>
      <x:c r="D1919" s="71" t="str">
        <x:v>Shared planner output</x:v>
      </x:c>
      <x:c r="E1919" s="71" t="str">
        <x:v>recommendationImpact</x:v>
      </x:c>
      <x:c r="F1919" s="71" t="str">
        <x:v>Default</x:v>
      </x:c>
      <x:c r="G1919" s="71" t="str">
        <x:v>Body copy</x:v>
      </x:c>
      <x:c r="H1919" s="71" t="str">
        <x:v>Marks the transfer for a stopover or rail comparison; the route remains unchanged until you choose one.</x:v>
      </x:c>
      <x:c r="I1919" s="71" t="str">
        <x:v>Marks the transfer for a stopover or rail comparison; the route remains unchanged until you choose one.</x:v>
      </x:c>
      <x:c r="J1919" s="73"/>
      <x:c r="K1919" s="74" t="str">
        <x:f>IF(J1919="",H1919,IF(J1919=I1919,I1919,J1919))</x:f>
        <x:v>Marks the transfer for a stopover or rail comparison; the route remains unchanged until you choose one.</x:v>
      </x:c>
      <x:c r="L1919" s="74" t="str">
        <x:f>IF(J1919="","Keep current",IF(J1919=I1919,"Use suggestion","Custom"))</x:f>
        <x:v>Keep current</x:v>
      </x:c>
      <x:c r="M1919" s="71" t="str">
        <x:v>Pending review</x:v>
      </x:c>
      <x:c r="N1919" s="71" t="str">
        <x:v>Normal</x:v>
      </x:c>
      <x:c r="O1919" s="71" t="str">
        <x:v>lib/easyt/review.ts</x:v>
      </x:c>
      <x:c r="P1919" s="71" t="str">
        <x:v>recommendationImpact:577</x:v>
      </x:c>
      <x:c r="Q1919" s="71" t="str">
        <x:v>EN (default / shared)</x:v>
      </x:c>
      <x:c r="R1919" s="71" t="str">
        <x:v>Already clear and direct; suggested wording intentionally keeps the current copy.</x:v>
      </x:c>
      <x:c r="S1919" s="75" t="str">
        <x:v>Not applied — review required</x:v>
      </x:c>
    </x:row>
    <x:row r="1920">
      <x:c r="A1920" s="71" t="str">
        <x:v>MRV-901999D6B9</x:v>
      </x:c>
      <x:c r="B1920" s="71" t="str">
        <x:v>Planning</x:v>
      </x:c>
      <x:c r="C1920" s="71" t="str">
        <x:v>Planner recommendations</x:v>
      </x:c>
      <x:c r="D1920" s="71" t="str">
        <x:v>Shared planner output</x:v>
      </x:c>
      <x:c r="E1920" s="71" t="str">
        <x:v>recommendationImpact</x:v>
      </x:c>
      <x:c r="F1920" s="71" t="str">
        <x:v>Offline / network failure</x:v>
      </x:c>
      <x:c r="G1920" s="71" t="str">
        <x:v>Body copy</x:v>
      </x:c>
      <x:c r="H1920" s="71" t="str">
        <x:v>Keeps the route in place while recording that this connection needs a confirmed estimate.</x:v>
      </x:c>
      <x:c r="I1920" s="71" t="str">
        <x:v>Keeps the route in place while recording that this connection needs a confirmed estimate.</x:v>
      </x:c>
      <x:c r="J1920" s="73"/>
      <x:c r="K1920" s="74" t="str">
        <x:f>IF(J1920="",H1920,IF(J1920=I1920,I1920,J1920))</x:f>
        <x:v>Keeps the route in place while recording that this connection needs a confirmed estimate.</x:v>
      </x:c>
      <x:c r="L1920" s="74" t="str">
        <x:f>IF(J1920="","Keep current",IF(J1920=I1920,"Use suggestion","Custom"))</x:f>
        <x:v>Keep current</x:v>
      </x:c>
      <x:c r="M1920" s="71" t="str">
        <x:v>Pending review</x:v>
      </x:c>
      <x:c r="N1920" s="71" t="str">
        <x:v>High</x:v>
      </x:c>
      <x:c r="O1920" s="71" t="str">
        <x:v>lib/easyt/review.ts</x:v>
      </x:c>
      <x:c r="P1920" s="71" t="str">
        <x:v>recommendationImpact:578</x:v>
      </x:c>
      <x:c r="Q1920" s="71" t="str">
        <x:v>EN (default / shared)</x:v>
      </x:c>
      <x:c r="R1920" s="71" t="str">
        <x:v>Already clear and direct; suggested wording intentionally keeps the current copy. Terminology watch: ‘trip’ and ‘journey’ both describe the same plan. Terminology watch: ‘stops’, ‘destinations’ and ‘places’ overlap.</x:v>
      </x:c>
      <x:c r="S1920" s="75" t="str">
        <x:v>Not applied — review required</x:v>
      </x:c>
    </x:row>
    <x:row r="1921">
      <x:c r="A1921" s="71" t="str">
        <x:v>MRV-7C601BD104</x:v>
      </x:c>
      <x:c r="B1921" s="71" t="str">
        <x:v>Planning</x:v>
      </x:c>
      <x:c r="C1921" s="71" t="str">
        <x:v>Planner recommendations</x:v>
      </x:c>
      <x:c r="D1921" s="71" t="str">
        <x:v>Shared planner output</x:v>
      </x:c>
      <x:c r="E1921" s="71" t="str">
        <x:v>recommendationImpact</x:v>
      </x:c>
      <x:c r="F1921" s="71" t="str">
        <x:v>Default</x:v>
      </x:c>
      <x:c r="G1921" s="71" t="str">
        <x:v>CTA / button</x:v>
      </x:c>
      <x:c r="H1921" s="71" t="str">
        <x:v>Remove an optional stop, add days, or accept a faster-paced route before booking.</x:v>
      </x:c>
      <x:c r="I1921" s="71" t="str">
        <x:v>Remove an optional stop, add days, or accept a faster-paced route before booking.</x:v>
      </x:c>
      <x:c r="J1921" s="73"/>
      <x:c r="K1921" s="74" t="str">
        <x:f>IF(J1921="",H1921,IF(J1921=I1921,I1921,J1921))</x:f>
        <x:v>Remove an optional stop, add days, or accept a faster-paced route before booking.</x:v>
      </x:c>
      <x:c r="L1921" s="74" t="str">
        <x:f>IF(J1921="","Keep current",IF(J1921=I1921,"Use suggestion","Custom"))</x:f>
        <x:v>Keep current</x:v>
      </x:c>
      <x:c r="M1921" s="71" t="str">
        <x:v>Pending review</x:v>
      </x:c>
      <x:c r="N1921" s="71" t="str">
        <x:v>Medium</x:v>
      </x:c>
      <x:c r="O1921" s="71" t="str">
        <x:v>lib/easyt/review.ts</x:v>
      </x:c>
      <x:c r="P1921" s="71" t="str">
        <x:v>recommendationImpact:579</x:v>
      </x:c>
      <x:c r="Q1921" s="71" t="str">
        <x:v>EN (default / shared)</x:v>
      </x:c>
      <x:c r="R1921" s="71" t="str">
        <x:v>Already clear and direct; suggested wording intentionally keeps the current copy. Terminology watch: ‘trip’ and ‘journey’ both describe the same plan. Terminology watch: ‘stops’, ‘destinations’ and ‘places’ overlap.</x:v>
      </x:c>
      <x:c r="S1921" s="75" t="str">
        <x:v>Not applied — review required</x:v>
      </x:c>
    </x:row>
    <x:row r="1922">
      <x:c r="A1922" s="71" t="str">
        <x:v>MRV-B82F5C1B8C</x:v>
      </x:c>
      <x:c r="B1922" s="71" t="str">
        <x:v>Planning</x:v>
      </x:c>
      <x:c r="C1922" s="71" t="str">
        <x:v>Planner recommendations</x:v>
      </x:c>
      <x:c r="D1922" s="71" t="str">
        <x:v>Shared planner output</x:v>
      </x:c>
      <x:c r="E1922" s="71" t="str">
        <x:v>recommendationImpact</x:v>
      </x:c>
      <x:c r="F1922" s="71" t="str">
        <x:v>Default</x:v>
      </x:c>
      <x:c r="G1922" s="71" t="str">
        <x:v>CTA / button</x:v>
      </x:c>
      <x:c r="H1922" s="71" t="str">
        <x:v>Change the trip dates or move the fixed commitment into the travel window.</x:v>
      </x:c>
      <x:c r="I1922" s="71" t="str">
        <x:v>Change the trip dates or move the fixed commitment into the travel window.</x:v>
      </x:c>
      <x:c r="J1922" s="73"/>
      <x:c r="K1922" s="74" t="str">
        <x:f>IF(J1922="",H1922,IF(J1922=I1922,I1922,J1922))</x:f>
        <x:v>Change the trip dates or move the fixed commitment into the travel window.</x:v>
      </x:c>
      <x:c r="L1922" s="74" t="str">
        <x:f>IF(J1922="","Keep current",IF(J1922=I1922,"Use suggestion","Custom"))</x:f>
        <x:v>Keep current</x:v>
      </x:c>
      <x:c r="M1922" s="71" t="str">
        <x:v>Pending review</x:v>
      </x:c>
      <x:c r="N1922" s="71" t="str">
        <x:v>Medium</x:v>
      </x:c>
      <x:c r="O1922" s="71" t="str">
        <x:v>lib/easyt/review.ts</x:v>
      </x:c>
      <x:c r="P1922" s="71" t="str">
        <x:v>recommendationImpact:580</x:v>
      </x:c>
      <x:c r="Q1922" s="71" t="str">
        <x:v>EN (default / shared)</x:v>
      </x:c>
      <x:c r="R1922" s="71" t="str">
        <x:v>Already clear and direct; suggested wording intentionally keeps the current copy. Terminology watch: ‘trip’ and ‘journey’ both describe the same plan. Terminology watch: ‘stops’, ‘destinations’ and ‘places’ overlap.</x:v>
      </x:c>
      <x:c r="S1922" s="75" t="str">
        <x:v>Not applied — review required</x:v>
      </x:c>
    </x:row>
    <x:row r="1923">
      <x:c r="A1923" s="71" t="str">
        <x:v>MRV-B11C614920</x:v>
      </x:c>
      <x:c r="B1923" s="71" t="str">
        <x:v>Planning</x:v>
      </x:c>
      <x:c r="C1923" s="71" t="str">
        <x:v>Planner recommendations</x:v>
      </x:c>
      <x:c r="D1923" s="71" t="str">
        <x:v>Shared planner output</x:v>
      </x:c>
      <x:c r="E1923" s="71" t="str">
        <x:v>recommendationImpact</x:v>
      </x:c>
      <x:c r="F1923" s="71" t="str">
        <x:v>Default</x:v>
      </x:c>
      <x:c r="G1923" s="71" t="str">
        <x:v>Body copy</x:v>
      </x:c>
      <x:c r="H1923" s="71" t="str">
        <x:v>Move the locked arrival, change the surrounding nights, or keep the gap intentionally.</x:v>
      </x:c>
      <x:c r="I1923" s="71" t="str">
        <x:v>Move the locked arrival, change the surrounding nights, or keep the gap intentionally.</x:v>
      </x:c>
      <x:c r="J1923" s="73"/>
      <x:c r="K1923" s="74" t="str">
        <x:f>IF(J1923="",H1923,IF(J1923=I1923,I1923,J1923))</x:f>
        <x:v>Move the locked arrival, change the surrounding nights, or keep the gap intentionally.</x:v>
      </x:c>
      <x:c r="L1923" s="74" t="str">
        <x:f>IF(J1923="","Keep current",IF(J1923=I1923,"Use suggestion","Custom"))</x:f>
        <x:v>Keep current</x:v>
      </x:c>
      <x:c r="M1923" s="71" t="str">
        <x:v>Pending review</x:v>
      </x:c>
      <x:c r="N1923" s="71" t="str">
        <x:v>Normal</x:v>
      </x:c>
      <x:c r="O1923" s="71" t="str">
        <x:v>lib/easyt/review.ts</x:v>
      </x:c>
      <x:c r="P1923" s="71" t="str">
        <x:v>recommendationImpact:581</x:v>
      </x:c>
      <x:c r="Q1923" s="71" t="str">
        <x:v>EN (default / shared)</x:v>
      </x:c>
      <x:c r="R1923" s="71" t="str">
        <x:v>Already clear and direct; suggested wording intentionally keeps the current copy.</x:v>
      </x:c>
      <x:c r="S1923" s="75" t="str">
        <x:v>Not applied — review required</x:v>
      </x:c>
    </x:row>
    <x:row r="1924">
      <x:c r="A1924" s="71" t="str">
        <x:v>MRV-EFAEB879C7</x:v>
      </x:c>
      <x:c r="B1924" s="71" t="str">
        <x:v>Planning</x:v>
      </x:c>
      <x:c r="C1924" s="71" t="str">
        <x:v>Planner recommendations</x:v>
      </x:c>
      <x:c r="D1924" s="71" t="str">
        <x:v>Shared planner output</x:v>
      </x:c>
      <x:c r="E1924" s="71" t="str">
        <x:v>recommendationImpact</x:v>
      </x:c>
      <x:c r="F1924" s="71" t="str">
        <x:v>Default</x:v>
      </x:c>
      <x:c r="G1924" s="71" t="str">
        <x:v>Body copy</x:v>
      </x:c>
      <x:c r="H1924" s="71" t="str">
        <x:v>Reorder the route in the builder if the suggested sequence still suits your must-see stops.</x:v>
      </x:c>
      <x:c r="I1924" s="71" t="str">
        <x:v>Reorder the route in the builder if the suggested sequence still suits your must-see stops.</x:v>
      </x:c>
      <x:c r="J1924" s="73"/>
      <x:c r="K1924" s="74" t="str">
        <x:f>IF(J1924="",H1924,IF(J1924=I1924,I1924,J1924))</x:f>
        <x:v>Reorder the route in the builder if the suggested sequence still suits your must-see stops.</x:v>
      </x:c>
      <x:c r="L1924" s="74" t="str">
        <x:f>IF(J1924="","Keep current",IF(J1924=I1924,"Use suggestion","Custom"))</x:f>
        <x:v>Keep current</x:v>
      </x:c>
      <x:c r="M1924" s="71" t="str">
        <x:v>Pending review</x:v>
      </x:c>
      <x:c r="N1924" s="71" t="str">
        <x:v>Normal</x:v>
      </x:c>
      <x:c r="O1924" s="71" t="str">
        <x:v>lib/easyt/review.ts</x:v>
      </x:c>
      <x:c r="P1924" s="71" t="str">
        <x:v>recommendationImpact:582</x:v>
      </x:c>
      <x:c r="Q1924" s="71" t="str">
        <x:v>EN (default / shared)</x:v>
      </x:c>
      <x:c r="R1924" s="71" t="str">
        <x:v>Already clear and direct; suggested wording intentionally keeps the current copy. Terminology watch: ‘trip’ and ‘journey’ both describe the same plan. Terminology watch: ‘stops’, ‘destinations’ and ‘places’ overlap.</x:v>
      </x:c>
      <x:c r="S1924" s="75" t="str">
        <x:v>Not applied — review required</x:v>
      </x:c>
    </x:row>
    <x:row r="1925">
      <x:c r="A1925" s="71" t="str">
        <x:v>MRV-C2C83AC925</x:v>
      </x:c>
      <x:c r="B1925" s="71" t="str">
        <x:v>Planning</x:v>
      </x:c>
      <x:c r="C1925" s="71" t="str">
        <x:v>Planner recommendations</x:v>
      </x:c>
      <x:c r="D1925" s="71" t="str">
        <x:v>Shared planner output</x:v>
      </x:c>
      <x:c r="E1925" s="71" t="str">
        <x:v>recommendationImpact</x:v>
      </x:c>
      <x:c r="F1925" s="71" t="str">
        <x:v>Default</x:v>
      </x:c>
      <x:c r="G1925" s="71" t="str">
        <x:v>Body copy</x:v>
      </x:c>
      <x:c r="H1925" s="71" t="str">
        <x:v>Adjust the final stay or the overall trip end so your departure day is explicit.</x:v>
      </x:c>
      <x:c r="I1925" s="71" t="str">
        <x:v>Adjust the final stay or the overall trip end so your departure day is explicit.</x:v>
      </x:c>
      <x:c r="J1925" s="73"/>
      <x:c r="K1925" s="74" t="str">
        <x:f>IF(J1925="",H1925,IF(J1925=I1925,I1925,J1925))</x:f>
        <x:v>Adjust the final stay or the overall trip end so your departure day is explicit.</x:v>
      </x:c>
      <x:c r="L1925" s="74" t="str">
        <x:f>IF(J1925="","Keep current",IF(J1925=I1925,"Use suggestion","Custom"))</x:f>
        <x:v>Keep current</x:v>
      </x:c>
      <x:c r="M1925" s="71" t="str">
        <x:v>Pending review</x:v>
      </x:c>
      <x:c r="N1925" s="71" t="str">
        <x:v>Normal</x:v>
      </x:c>
      <x:c r="O1925" s="71" t="str">
        <x:v>lib/easyt/review.ts</x:v>
      </x:c>
      <x:c r="P1925" s="71" t="str">
        <x:v>recommendationImpact:583</x:v>
      </x:c>
      <x:c r="Q1925" s="71" t="str">
        <x:v>EN (default / shared)</x:v>
      </x:c>
      <x:c r="R1925" s="71" t="str">
        <x:v>Already clear and direct; suggested wording intentionally keeps the current copy. Terminology watch: ‘trip’ and ‘journey’ both describe the same plan. Terminology watch: ‘stops’, ‘destinations’ and ‘places’ overlap.</x:v>
      </x:c>
      <x:c r="S1925" s="75" t="str">
        <x:v>Not applied — review required</x:v>
      </x:c>
    </x:row>
    <x:row r="1926">
      <x:c r="A1926" s="71" t="str">
        <x:v>MRV-B6C17797C8</x:v>
      </x:c>
      <x:c r="B1926" s="71" t="str">
        <x:v>Planning</x:v>
      </x:c>
      <x:c r="C1926" s="71" t="str">
        <x:v>Planner recommendations</x:v>
      </x:c>
      <x:c r="D1926" s="71" t="str">
        <x:v>Shared planner output</x:v>
      </x:c>
      <x:c r="E1926" s="71" t="str">
        <x:v>recommendationImpact</x:v>
      </x:c>
      <x:c r="F1926" s="71" t="str">
        <x:v>Default</x:v>
      </x:c>
      <x:c r="G1926" s="71" t="str">
        <x:v>Body copy</x:v>
      </x:c>
      <x:c r="H1926" s="71" t="str">
        <x:v>Records your decision without changing booked items.</x:v>
      </x:c>
      <x:c r="I1926" s="71" t="str">
        <x:v>Records your decision without changing booked items.</x:v>
      </x:c>
      <x:c r="J1926" s="73"/>
      <x:c r="K1926" s="74" t="str">
        <x:f>IF(J1926="",H1926,IF(J1926=I1926,I1926,J1926))</x:f>
        <x:v>Records your decision without changing booked items.</x:v>
      </x:c>
      <x:c r="L1926" s="74" t="str">
        <x:f>IF(J1926="","Keep current",IF(J1926=I1926,"Use suggestion","Custom"))</x:f>
        <x:v>Keep current</x:v>
      </x:c>
      <x:c r="M1926" s="71" t="str">
        <x:v>Pending review</x:v>
      </x:c>
      <x:c r="N1926" s="71" t="str">
        <x:v>Normal</x:v>
      </x:c>
      <x:c r="O1926" s="71" t="str">
        <x:v>lib/easyt/review.ts</x:v>
      </x:c>
      <x:c r="P1926" s="71" t="str">
        <x:v>recommendationImpact:584</x:v>
      </x:c>
      <x:c r="Q1926" s="71" t="str">
        <x:v>EN (default / shared)</x:v>
      </x:c>
      <x:c r="R1926" s="71" t="str">
        <x:v>Already clear and direct; suggested wording intentionally keeps the current copy.</x:v>
      </x:c>
      <x:c r="S1926" s="75" t="str">
        <x:v>Not applied — review required</x:v>
      </x:c>
    </x:row>
    <x:row r="1927">
      <x:c r="A1927" s="71" t="str">
        <x:v>MRV-2BB0403F5A</x:v>
      </x:c>
      <x:c r="B1927" s="71" t="str">
        <x:v>Planning</x:v>
      </x:c>
      <x:c r="C1927" s="71" t="str">
        <x:v>Planner recommendations</x:v>
      </x:c>
      <x:c r="D1927" s="71" t="str">
        <x:v>Shared planner output</x:v>
      </x:c>
      <x:c r="E1927" s="71" t="str">
        <x:v>date</x:v>
      </x:c>
      <x:c r="F1927" s="71" t="str">
        <x:v>Default</x:v>
      </x:c>
      <x:c r="G1927" s="71" t="str">
        <x:v>Body copy</x:v>
      </x:c>
      <x:c r="H1927" s="71" t="str">
        <x:v>{trip.startDate}T00:00:00</x:v>
      </x:c>
      <x:c r="I1927" s="71" t="str">
        <x:v>{trip.startDate}T00:00:00</x:v>
      </x:c>
      <x:c r="J1927" s="73"/>
      <x:c r="K1927" s="74" t="str">
        <x:f>IF(J1927="",H1927,IF(J1927=I1927,I1927,J1927))</x:f>
        <x:v>{trip.startDate}T00:00:00</x:v>
      </x:c>
      <x:c r="L1927" s="74" t="str">
        <x:f>IF(J1927="","Keep current",IF(J1927=I1927,"Use suggestion","Custom"))</x:f>
        <x:v>Keep current</x:v>
      </x:c>
      <x:c r="M1927" s="71" t="str">
        <x:v>Pending review</x:v>
      </x:c>
      <x:c r="N1927" s="71" t="str">
        <x:v>Normal</x:v>
      </x:c>
      <x:c r="O1927" s="71" t="str">
        <x:v>lib/easyt/review.ts</x:v>
      </x:c>
      <x:c r="P1927" s="71" t="str">
        <x:v>date:598</x:v>
      </x:c>
      <x:c r="Q1927" s="71" t="str">
        <x:v>EN (default / shared)</x:v>
      </x:c>
      <x:c r="R1927"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1927" s="75" t="str">
        <x:v>Not applied — review required</x:v>
      </x:c>
    </x:row>
    <x:row r="1928">
      <x:c r="A1928" s="71" t="str">
        <x:v>MRV-13935FE962</x:v>
      </x:c>
      <x:c r="B1928" s="71" t="str">
        <x:v>Planning</x:v>
      </x:c>
      <x:c r="C1928" s="71" t="str">
        <x:v>Planner recommendations</x:v>
      </x:c>
      <x:c r="D1928" s="71" t="str">
        <x:v>Shared planner output</x:v>
      </x:c>
      <x:c r="E1928" s="71" t="str">
        <x:v>additions</x:v>
      </x:c>
      <x:c r="F1928" s="71" t="str">
        <x:v>Default</x:v>
      </x:c>
      <x:c r="G1928" s="71" t="str">
        <x:v>Tooltip</x:v>
      </x:c>
      <x:c r="H1928" s="71" t="str">
        <x:v>Open planning day</x:v>
      </x:c>
      <x:c r="I1928" s="71" t="str">
        <x:v>Open planning day</x:v>
      </x:c>
      <x:c r="J1928" s="73"/>
      <x:c r="K1928" s="74" t="str">
        <x:f>IF(J1928="",H1928,IF(J1928=I1928,I1928,J1928))</x:f>
        <x:v>Open planning day</x:v>
      </x:c>
      <x:c r="L1928" s="74" t="str">
        <x:f>IF(J1928="","Keep current",IF(J1928=I1928,"Use suggestion","Custom"))</x:f>
        <x:v>Keep current</x:v>
      </x:c>
      <x:c r="M1928" s="71" t="str">
        <x:v>Pending review</x:v>
      </x:c>
      <x:c r="N1928" s="71" t="str">
        <x:v>Normal</x:v>
      </x:c>
      <x:c r="O1928" s="71" t="str">
        <x:v>lib/easyt/review.ts</x:v>
      </x:c>
      <x:c r="P1928" s="71" t="str">
        <x:v>additions:600</x:v>
      </x:c>
      <x:c r="Q1928" s="71" t="str">
        <x:v>EN (default / shared)</x:v>
      </x:c>
      <x:c r="R1928" s="71" t="str">
        <x:v>Already clear and direct; suggested wording intentionally keeps the current copy.</x:v>
      </x:c>
      <x:c r="S1928" s="75" t="str">
        <x:v>Not applied — review required</x:v>
      </x:c>
    </x:row>
    <x:row r="1929">
      <x:c r="A1929" s="71" t="str">
        <x:v>MRV-49EABE5170</x:v>
      </x:c>
      <x:c r="B1929" s="71" t="str">
        <x:v>Planning</x:v>
      </x:c>
      <x:c r="C1929" s="71" t="str">
        <x:v>Planner recommendations</x:v>
      </x:c>
      <x:c r="D1929" s="71" t="str">
        <x:v>Shared planner output</x:v>
      </x:c>
      <x:c r="E1929" s="71" t="str">
        <x:v>applyRecommendation</x:v>
      </x:c>
      <x:c r="F1929" s="71" t="str">
        <x:v>Default</x:v>
      </x:c>
      <x:c r="G1929" s="71" t="str">
        <x:v>CTA / button</x:v>
      </x:c>
      <x:c r="H1929" s="71" t="str">
        <x:v>Added {count} open planning day{count === 1 ? "" : "s"}.</x:v>
      </x:c>
      <x:c r="I1929" s="71" t="str">
        <x:v>Added {count} open planning day{count === 1 ? "" : "s"}.</x:v>
      </x:c>
      <x:c r="J1929" s="73"/>
      <x:c r="K1929" s="74" t="str">
        <x:f>IF(J1929="",H1929,IF(J1929=I1929,I1929,J1929))</x:f>
        <x:v>Added {count} open planning day{count === 1 ? "" : "s"}.</x:v>
      </x:c>
      <x:c r="L1929" s="74" t="str">
        <x:f>IF(J1929="","Keep current",IF(J1929=I1929,"Use suggestion","Custom"))</x:f>
        <x:v>Keep current</x:v>
      </x:c>
      <x:c r="M1929" s="71" t="str">
        <x:v>Pending review</x:v>
      </x:c>
      <x:c r="N1929" s="71" t="str">
        <x:v>Medium</x:v>
      </x:c>
      <x:c r="O1929" s="71" t="str">
        <x:v>lib/easyt/review.ts</x:v>
      </x:c>
      <x:c r="P1929" s="71" t="str">
        <x:v>applyRecommendation:603</x:v>
      </x:c>
      <x:c r="Q1929" s="71" t="str">
        <x:v>EN (default / shared)</x:v>
      </x:c>
      <x:c r="R1929" s="71" t="str">
        <x:v>Already clear and direct; suggested wording intentionally keeps the current copy. Dynamic traveller or trip value is represented as a token; user-generated values are excluded.</x:v>
      </x:c>
      <x:c r="S1929" s="75" t="str">
        <x:v>Not applied — review required</x:v>
      </x:c>
    </x:row>
    <x:row r="1930">
      <x:c r="A1930" s="71" t="str">
        <x:v>MRV-D49B3E0C36</x:v>
      </x:c>
      <x:c r="B1930" s="71" t="str">
        <x:v>Planning</x:v>
      </x:c>
      <x:c r="C1930" s="71" t="str">
        <x:v>Planner recommendations</x:v>
      </x:c>
      <x:c r="D1930" s="71" t="str">
        <x:v>Shared planner output</x:v>
      </x:c>
      <x:c r="E1930" s="71" t="str">
        <x:v>planItems</x:v>
      </x:c>
      <x:c r="F1930" s="71" t="str">
        <x:v>Default</x:v>
      </x:c>
      <x:c r="G1930" s="71" t="str">
        <x:v>Body copy</x:v>
      </x:c>
      <x:c r="H1930" s="71" t="str">
        <x:v>{trip.id}-review-open-</x:v>
      </x:c>
      <x:c r="I1930" s="71" t="str">
        <x:v>{trip.id}-review-open-</x:v>
      </x:c>
      <x:c r="J1930" s="73"/>
      <x:c r="K1930" s="74" t="str">
        <x:f>IF(J1930="",H1930,IF(J1930=I1930,I1930,J1930))</x:f>
        <x:v>{trip.id}-review-open-</x:v>
      </x:c>
      <x:c r="L1930" s="74" t="str">
        <x:f>IF(J1930="","Keep current",IF(J1930=I1930,"Use suggestion","Custom"))</x:f>
        <x:v>Keep current</x:v>
      </x:c>
      <x:c r="M1930" s="71" t="str">
        <x:v>Pending review</x:v>
      </x:c>
      <x:c r="N1930" s="71" t="str">
        <x:v>Normal</x:v>
      </x:c>
      <x:c r="O1930" s="71" t="str">
        <x:v>lib/easyt/review.ts</x:v>
      </x:c>
      <x:c r="P1930" s="71" t="str">
        <x:v>planItems:615</x:v>
      </x:c>
      <x:c r="Q1930" s="71" t="str">
        <x:v>EN (default / shared)</x:v>
      </x:c>
      <x:c r="R1930"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930" s="75" t="str">
        <x:v>Not applied — review required</x:v>
      </x:c>
    </x:row>
    <x:row r="1931">
      <x:c r="A1931" s="71" t="str">
        <x:v>MRV-86860A8A8A</x:v>
      </x:c>
      <x:c r="B1931" s="71" t="str">
        <x:v>System</x:v>
      </x:c>
      <x:c r="C1931" s="71" t="str">
        <x:v>Shared recovery / system</x:v>
      </x:c>
      <x:c r="D1931" s="71" t="str">
        <x:v>Shared</x:v>
      </x:c>
      <x:c r="E1931" s="71" t="str">
        <x:v>entrySourcesByCountry</x:v>
      </x:c>
      <x:c r="F1931" s="71" t="str">
        <x:v>Default</x:v>
      </x:c>
      <x:c r="G1931" s="71" t="str">
        <x:v>Body copy</x:v>
      </x:c>
      <x:c r="H1931" s="71" t="str">
        <x:v>Australian Department of Home Affairs</x:v>
      </x:c>
      <x:c r="I1931" s="71" t="str">
        <x:v>Australian Department of Home Affairs</x:v>
      </x:c>
      <x:c r="J1931" s="73"/>
      <x:c r="K1931" s="74" t="str">
        <x:f>IF(J1931="",H1931,IF(J1931=I1931,I1931,J1931))</x:f>
        <x:v>Australian Department of Home Affairs</x:v>
      </x:c>
      <x:c r="L1931" s="74" t="str">
        <x:f>IF(J1931="","Keep current",IF(J1931=I1931,"Use suggestion","Custom"))</x:f>
        <x:v>Keep current</x:v>
      </x:c>
      <x:c r="M1931" s="71" t="str">
        <x:v>Pending review</x:v>
      </x:c>
      <x:c r="N1931" s="71" t="str">
        <x:v>Normal</x:v>
      </x:c>
      <x:c r="O1931" s="71" t="str">
        <x:v>lib/easyt/travel-readiness.ts</x:v>
      </x:c>
      <x:c r="P1931" s="71" t="str">
        <x:v>entrySourcesByCountry:50</x:v>
      </x:c>
      <x:c r="Q1931" s="71" t="str">
        <x:v>EN (default / shared)</x:v>
      </x:c>
      <x:c r="R1931" s="71" t="str">
        <x:v>Already clear and direct; suggested wording intentionally keeps the current copy.</x:v>
      </x:c>
      <x:c r="S1931" s="75" t="str">
        <x:v>Not applied — review required</x:v>
      </x:c>
    </x:row>
    <x:row r="1932">
      <x:c r="A1932" s="71" t="str">
        <x:v>MRV-DB1B76EE1B</x:v>
      </x:c>
      <x:c r="B1932" s="71" t="str">
        <x:v>System</x:v>
      </x:c>
      <x:c r="C1932" s="71" t="str">
        <x:v>Shared recovery / system</x:v>
      </x:c>
      <x:c r="D1932" s="71" t="str">
        <x:v>Shared</x:v>
      </x:c>
      <x:c r="E1932" s="71" t="str">
        <x:v>entrySourcesByCountry</x:v>
      </x:c>
      <x:c r="F1932" s="71" t="str">
        <x:v>Default</x:v>
      </x:c>
      <x:c r="G1932" s="71" t="str">
        <x:v>Body copy</x:v>
      </x:c>
      <x:c r="H1932" s="71" t="str">
        <x:v>Austrian Ministry of Foreign Affairs</x:v>
      </x:c>
      <x:c r="I1932" s="71" t="str">
        <x:v>Austrian Ministry of Foreign Affairs</x:v>
      </x:c>
      <x:c r="J1932" s="73"/>
      <x:c r="K1932" s="74" t="str">
        <x:f>IF(J1932="",H1932,IF(J1932=I1932,I1932,J1932))</x:f>
        <x:v>Austrian Ministry of Foreign Affairs</x:v>
      </x:c>
      <x:c r="L1932" s="74" t="str">
        <x:f>IF(J1932="","Keep current",IF(J1932=I1932,"Use suggestion","Custom"))</x:f>
        <x:v>Keep current</x:v>
      </x:c>
      <x:c r="M1932" s="71" t="str">
        <x:v>Pending review</x:v>
      </x:c>
      <x:c r="N1932" s="71" t="str">
        <x:v>Normal</x:v>
      </x:c>
      <x:c r="O1932" s="71" t="str">
        <x:v>lib/easyt/travel-readiness.ts</x:v>
      </x:c>
      <x:c r="P1932" s="71" t="str">
        <x:v>entrySourcesByCountry:51</x:v>
      </x:c>
      <x:c r="Q1932" s="71" t="str">
        <x:v>EN (default / shared)</x:v>
      </x:c>
      <x:c r="R1932" s="71" t="str">
        <x:v>Already clear and direct; suggested wording intentionally keeps the current copy.</x:v>
      </x:c>
      <x:c r="S1932" s="75" t="str">
        <x:v>Not applied — review required</x:v>
      </x:c>
    </x:row>
    <x:row r="1933">
      <x:c r="A1933" s="71" t="str">
        <x:v>MRV-85A633324B</x:v>
      </x:c>
      <x:c r="B1933" s="71" t="str">
        <x:v>System</x:v>
      </x:c>
      <x:c r="C1933" s="71" t="str">
        <x:v>Shared recovery / system</x:v>
      </x:c>
      <x:c r="D1933" s="71" t="str">
        <x:v>Shared</x:v>
      </x:c>
      <x:c r="E1933" s="71" t="str">
        <x:v>entrySourcesByCountry</x:v>
      </x:c>
      <x:c r="F1933" s="71" t="str">
        <x:v>Default</x:v>
      </x:c>
      <x:c r="G1933" s="71" t="str">
        <x:v>Body copy</x:v>
      </x:c>
      <x:c r="H1933" s="71" t="str">
        <x:v>Brazilian Ministry of Foreign Affairs</x:v>
      </x:c>
      <x:c r="I1933" s="71" t="str">
        <x:v>Brazilian Ministry of Foreign Affairs</x:v>
      </x:c>
      <x:c r="J1933" s="73"/>
      <x:c r="K1933" s="74" t="str">
        <x:f>IF(J1933="",H1933,IF(J1933=I1933,I1933,J1933))</x:f>
        <x:v>Brazilian Ministry of Foreign Affairs</x:v>
      </x:c>
      <x:c r="L1933" s="74" t="str">
        <x:f>IF(J1933="","Keep current",IF(J1933=I1933,"Use suggestion","Custom"))</x:f>
        <x:v>Keep current</x:v>
      </x:c>
      <x:c r="M1933" s="71" t="str">
        <x:v>Pending review</x:v>
      </x:c>
      <x:c r="N1933" s="71" t="str">
        <x:v>Normal</x:v>
      </x:c>
      <x:c r="O1933" s="71" t="str">
        <x:v>lib/easyt/travel-readiness.ts</x:v>
      </x:c>
      <x:c r="P1933" s="71" t="str">
        <x:v>entrySourcesByCountry:52</x:v>
      </x:c>
      <x:c r="Q1933" s="71" t="str">
        <x:v>EN (default / shared)</x:v>
      </x:c>
      <x:c r="R1933" s="71" t="str">
        <x:v>Already clear and direct; suggested wording intentionally keeps the current copy.</x:v>
      </x:c>
      <x:c r="S1933" s="75" t="str">
        <x:v>Not applied — review required</x:v>
      </x:c>
    </x:row>
    <x:row r="1934">
      <x:c r="A1934" s="71" t="str">
        <x:v>MRV-4239C03FE9</x:v>
      </x:c>
      <x:c r="B1934" s="71" t="str">
        <x:v>System</x:v>
      </x:c>
      <x:c r="C1934" s="71" t="str">
        <x:v>Shared recovery / system</x:v>
      </x:c>
      <x:c r="D1934" s="71" t="str">
        <x:v>Shared</x:v>
      </x:c>
      <x:c r="E1934" s="71" t="str">
        <x:v>entrySourcesByCountry</x:v>
      </x:c>
      <x:c r="F1934" s="71" t="str">
        <x:v>Default</x:v>
      </x:c>
      <x:c r="G1934" s="71" t="str">
        <x:v>Body copy</x:v>
      </x:c>
      <x:c r="H1934" s="71" t="str">
        <x:v>Immigration, Refugees and Citizenship Canada</x:v>
      </x:c>
      <x:c r="I1934" s="71" t="str">
        <x:v>Immigration, Refugees and Citizenship Canada</x:v>
      </x:c>
      <x:c r="J1934" s="73"/>
      <x:c r="K1934" s="74" t="str">
        <x:f>IF(J1934="",H1934,IF(J1934=I1934,I1934,J1934))</x:f>
        <x:v>Immigration, Refugees and Citizenship Canada</x:v>
      </x:c>
      <x:c r="L1934" s="74" t="str">
        <x:f>IF(J1934="","Keep current",IF(J1934=I1934,"Use suggestion","Custom"))</x:f>
        <x:v>Keep current</x:v>
      </x:c>
      <x:c r="M1934" s="71" t="str">
        <x:v>Pending review</x:v>
      </x:c>
      <x:c r="N1934" s="71" t="str">
        <x:v>Normal</x:v>
      </x:c>
      <x:c r="O1934" s="71" t="str">
        <x:v>lib/easyt/travel-readiness.ts</x:v>
      </x:c>
      <x:c r="P1934" s="71" t="str">
        <x:v>entrySourcesByCountry:53</x:v>
      </x:c>
      <x:c r="Q1934" s="71" t="str">
        <x:v>EN (default / shared)</x:v>
      </x:c>
      <x:c r="R1934" s="71" t="str">
        <x:v>Already clear and direct; suggested wording intentionally keeps the current copy.</x:v>
      </x:c>
      <x:c r="S1934" s="75" t="str">
        <x:v>Not applied — review required</x:v>
      </x:c>
    </x:row>
    <x:row r="1935">
      <x:c r="A1935" s="71" t="str">
        <x:v>MRV-4BE010C7F4</x:v>
      </x:c>
      <x:c r="B1935" s="71" t="str">
        <x:v>System</x:v>
      </x:c>
      <x:c r="C1935" s="71" t="str">
        <x:v>Shared recovery / system</x:v>
      </x:c>
      <x:c r="D1935" s="71" t="str">
        <x:v>Shared</x:v>
      </x:c>
      <x:c r="E1935" s="71" t="str">
        <x:v>entrySourcesByCountry</x:v>
      </x:c>
      <x:c r="F1935" s="71" t="str">
        <x:v>Default</x:v>
      </x:c>
      <x:c r="G1935" s="71" t="str">
        <x:v>Body copy</x:v>
      </x:c>
      <x:c r="H1935" s="71" t="str">
        <x:v>Chinese Visa Application Service Center</x:v>
      </x:c>
      <x:c r="I1935" s="71" t="str">
        <x:v>Chinese Visa Application Service Center</x:v>
      </x:c>
      <x:c r="J1935" s="73"/>
      <x:c r="K1935" s="74" t="str">
        <x:f>IF(J1935="",H1935,IF(J1935=I1935,I1935,J1935))</x:f>
        <x:v>Chinese Visa Application Service Center</x:v>
      </x:c>
      <x:c r="L1935" s="74" t="str">
        <x:f>IF(J1935="","Keep current",IF(J1935=I1935,"Use suggestion","Custom"))</x:f>
        <x:v>Keep current</x:v>
      </x:c>
      <x:c r="M1935" s="71" t="str">
        <x:v>Pending review</x:v>
      </x:c>
      <x:c r="N1935" s="71" t="str">
        <x:v>High</x:v>
      </x:c>
      <x:c r="O1935" s="71" t="str">
        <x:v>lib/easyt/travel-readiness.ts</x:v>
      </x:c>
      <x:c r="P1935" s="71" t="str">
        <x:v>entrySourcesByCountry:54</x:v>
      </x:c>
      <x:c r="Q1935" s="71" t="str">
        <x:v>EN (default / shared)</x:v>
      </x:c>
      <x:c r="R1935" s="71" t="str">
        <x:v>Already clear and direct; suggested wording intentionally keeps the current copy.</x:v>
      </x:c>
      <x:c r="S1935" s="75" t="str">
        <x:v>Not applied — review required</x:v>
      </x:c>
    </x:row>
    <x:row r="1936">
      <x:c r="A1936" s="71" t="str">
        <x:v>MRV-71F3CAED62</x:v>
      </x:c>
      <x:c r="B1936" s="71" t="str">
        <x:v>System</x:v>
      </x:c>
      <x:c r="C1936" s="71" t="str">
        <x:v>Shared recovery / system</x:v>
      </x:c>
      <x:c r="D1936" s="71" t="str">
        <x:v>Shared</x:v>
      </x:c>
      <x:c r="E1936" s="71" t="str">
        <x:v>entrySourcesByCountry</x:v>
      </x:c>
      <x:c r="F1936" s="71" t="str">
        <x:v>Default</x:v>
      </x:c>
      <x:c r="G1936" s="71" t="str">
        <x:v>Body copy</x:v>
      </x:c>
      <x:c r="H1936" s="71" t="str">
        <x:v>Croatian Ministry of Foreign and European Affairs</x:v>
      </x:c>
      <x:c r="I1936" s="71" t="str">
        <x:v>Croatian Ministry of Foreign and European Affairs</x:v>
      </x:c>
      <x:c r="J1936" s="73"/>
      <x:c r="K1936" s="74" t="str">
        <x:f>IF(J1936="",H1936,IF(J1936=I1936,I1936,J1936))</x:f>
        <x:v>Croatian Ministry of Foreign and European Affairs</x:v>
      </x:c>
      <x:c r="L1936" s="74" t="str">
        <x:f>IF(J1936="","Keep current",IF(J1936=I1936,"Use suggestion","Custom"))</x:f>
        <x:v>Keep current</x:v>
      </x:c>
      <x:c r="M1936" s="71" t="str">
        <x:v>Pending review</x:v>
      </x:c>
      <x:c r="N1936" s="71" t="str">
        <x:v>Normal</x:v>
      </x:c>
      <x:c r="O1936" s="71" t="str">
        <x:v>lib/easyt/travel-readiness.ts</x:v>
      </x:c>
      <x:c r="P1936" s="71" t="str">
        <x:v>entrySourcesByCountry:55</x:v>
      </x:c>
      <x:c r="Q1936" s="71" t="str">
        <x:v>EN (default / shared)</x:v>
      </x:c>
      <x:c r="R1936" s="71" t="str">
        <x:v>Already clear and direct; suggested wording intentionally keeps the current copy.</x:v>
      </x:c>
      <x:c r="S1936" s="75" t="str">
        <x:v>Not applied — review required</x:v>
      </x:c>
    </x:row>
    <x:row r="1937">
      <x:c r="A1937" s="71" t="str">
        <x:v>MRV-F9CB7BB46B</x:v>
      </x:c>
      <x:c r="B1937" s="71" t="str">
        <x:v>System</x:v>
      </x:c>
      <x:c r="C1937" s="71" t="str">
        <x:v>Shared recovery / system</x:v>
      </x:c>
      <x:c r="D1937" s="71" t="str">
        <x:v>Shared</x:v>
      </x:c>
      <x:c r="E1937" s="71" t="str">
        <x:v>entrySourcesByCountry</x:v>
      </x:c>
      <x:c r="F1937" s="71" t="str">
        <x:v>Default</x:v>
      </x:c>
      <x:c r="G1937" s="71" t="str">
        <x:v>Label</x:v>
      </x:c>
      <x:c r="H1937" s="71" t="str">
        <x:v>Egypt e-Visa portal</x:v>
      </x:c>
      <x:c r="I1937" s="71" t="str">
        <x:v>Egypt e-Visa portal</x:v>
      </x:c>
      <x:c r="J1937" s="73"/>
      <x:c r="K1937" s="74" t="str">
        <x:f>IF(J1937="",H1937,IF(J1937=I1937,I1937,J1937))</x:f>
        <x:v>Egypt e-Visa portal</x:v>
      </x:c>
      <x:c r="L1937" s="74" t="str">
        <x:f>IF(J1937="","Keep current",IF(J1937=I1937,"Use suggestion","Custom"))</x:f>
        <x:v>Keep current</x:v>
      </x:c>
      <x:c r="M1937" s="71" t="str">
        <x:v>Pending review</x:v>
      </x:c>
      <x:c r="N1937" s="71" t="str">
        <x:v>High</x:v>
      </x:c>
      <x:c r="O1937" s="71" t="str">
        <x:v>lib/easyt/travel-readiness.ts</x:v>
      </x:c>
      <x:c r="P1937" s="71" t="str">
        <x:v>entrySourcesByCountry:56</x:v>
      </x:c>
      <x:c r="Q1937" s="71" t="str">
        <x:v>EN (default / shared)</x:v>
      </x:c>
      <x:c r="R1937" s="71" t="str">
        <x:v>Already clear and direct; suggested wording intentionally keeps the current copy.</x:v>
      </x:c>
      <x:c r="S1937" s="75" t="str">
        <x:v>Not applied — review required</x:v>
      </x:c>
    </x:row>
    <x:row r="1938">
      <x:c r="A1938" s="71" t="str">
        <x:v>MRV-1839593D90</x:v>
      </x:c>
      <x:c r="B1938" s="71" t="str">
        <x:v>System</x:v>
      </x:c>
      <x:c r="C1938" s="71" t="str">
        <x:v>Shared recovery / system</x:v>
      </x:c>
      <x:c r="D1938" s="71" t="str">
        <x:v>Shared</x:v>
      </x:c>
      <x:c r="E1938" s="71" t="str">
        <x:v>entrySourcesByCountry</x:v>
      </x:c>
      <x:c r="F1938" s="71" t="str">
        <x:v>Default</x:v>
      </x:c>
      <x:c r="G1938" s="71" t="str">
        <x:v>Label</x:v>
      </x:c>
      <x:c r="H1938" s="71" t="str">
        <x:v>France-Visas</x:v>
      </x:c>
      <x:c r="I1938" s="71" t="str">
        <x:v>France-Visas</x:v>
      </x:c>
      <x:c r="J1938" s="73"/>
      <x:c r="K1938" s="74" t="str">
        <x:f>IF(J1938="",H1938,IF(J1938=I1938,I1938,J1938))</x:f>
        <x:v>France-Visas</x:v>
      </x:c>
      <x:c r="L1938" s="74" t="str">
        <x:f>IF(J1938="","Keep current",IF(J1938=I1938,"Use suggestion","Custom"))</x:f>
        <x:v>Keep current</x:v>
      </x:c>
      <x:c r="M1938" s="71" t="str">
        <x:v>Pending review</x:v>
      </x:c>
      <x:c r="N1938" s="71" t="str">
        <x:v>High</x:v>
      </x:c>
      <x:c r="O1938" s="71" t="str">
        <x:v>lib/easyt/travel-readiness.ts</x:v>
      </x:c>
      <x:c r="P1938" s="71" t="str">
        <x:v>entrySourcesByCountry:57</x:v>
      </x:c>
      <x:c r="Q1938" s="71" t="str">
        <x:v>EN (default / shared)</x:v>
      </x:c>
      <x:c r="R1938" s="71" t="str">
        <x:v>Already clear and direct; suggested wording intentionally keeps the current copy.</x:v>
      </x:c>
      <x:c r="S1938" s="75" t="str">
        <x:v>Not applied — review required</x:v>
      </x:c>
    </x:row>
    <x:row r="1939">
      <x:c r="A1939" s="71" t="str">
        <x:v>MRV-D6CB4B66A2</x:v>
      </x:c>
      <x:c r="B1939" s="71" t="str">
        <x:v>System</x:v>
      </x:c>
      <x:c r="C1939" s="71" t="str">
        <x:v>Shared recovery / system</x:v>
      </x:c>
      <x:c r="D1939" s="71" t="str">
        <x:v>Shared</x:v>
      </x:c>
      <x:c r="E1939" s="71" t="str">
        <x:v>entrySourcesByCountry</x:v>
      </x:c>
      <x:c r="F1939" s="71" t="str">
        <x:v>Default</x:v>
      </x:c>
      <x:c r="G1939" s="71" t="str">
        <x:v>Body copy</x:v>
      </x:c>
      <x:c r="H1939" s="71" t="str">
        <x:v>German Federal Foreign Office</x:v>
      </x:c>
      <x:c r="I1939" s="71" t="str">
        <x:v>German Federal Foreign Office</x:v>
      </x:c>
      <x:c r="J1939" s="73"/>
      <x:c r="K1939" s="74" t="str">
        <x:f>IF(J1939="",H1939,IF(J1939=I1939,I1939,J1939))</x:f>
        <x:v>German Federal Foreign Office</x:v>
      </x:c>
      <x:c r="L1939" s="74" t="str">
        <x:f>IF(J1939="","Keep current",IF(J1939=I1939,"Use suggestion","Custom"))</x:f>
        <x:v>Keep current</x:v>
      </x:c>
      <x:c r="M1939" s="71" t="str">
        <x:v>Pending review</x:v>
      </x:c>
      <x:c r="N1939" s="71" t="str">
        <x:v>Normal</x:v>
      </x:c>
      <x:c r="O1939" s="71" t="str">
        <x:v>lib/easyt/travel-readiness.ts</x:v>
      </x:c>
      <x:c r="P1939" s="71" t="str">
        <x:v>entrySourcesByCountry:58</x:v>
      </x:c>
      <x:c r="Q1939" s="71" t="str">
        <x:v>EN (default / shared)</x:v>
      </x:c>
      <x:c r="R1939" s="71" t="str">
        <x:v>Already clear and direct; suggested wording intentionally keeps the current copy.</x:v>
      </x:c>
      <x:c r="S1939" s="75" t="str">
        <x:v>Not applied — review required</x:v>
      </x:c>
    </x:row>
    <x:row r="1940">
      <x:c r="A1940" s="71" t="str">
        <x:v>MRV-EF429FB2F8</x:v>
      </x:c>
      <x:c r="B1940" s="71" t="str">
        <x:v>System</x:v>
      </x:c>
      <x:c r="C1940" s="71" t="str">
        <x:v>Shared recovery / system</x:v>
      </x:c>
      <x:c r="D1940" s="71" t="str">
        <x:v>Shared</x:v>
      </x:c>
      <x:c r="E1940" s="71" t="str">
        <x:v>entrySourcesByCountry</x:v>
      </x:c>
      <x:c r="F1940" s="71" t="str">
        <x:v>Default</x:v>
      </x:c>
      <x:c r="G1940" s="71" t="str">
        <x:v>Body copy</x:v>
      </x:c>
      <x:c r="H1940" s="71" t="str">
        <x:v>Greek Ministry of Foreign Affairs</x:v>
      </x:c>
      <x:c r="I1940" s="71" t="str">
        <x:v>Greek Ministry of Foreign Affairs</x:v>
      </x:c>
      <x:c r="J1940" s="73"/>
      <x:c r="K1940" s="74" t="str">
        <x:f>IF(J1940="",H1940,IF(J1940=I1940,I1940,J1940))</x:f>
        <x:v>Greek Ministry of Foreign Affairs</x:v>
      </x:c>
      <x:c r="L1940" s="74" t="str">
        <x:f>IF(J1940="","Keep current",IF(J1940=I1940,"Use suggestion","Custom"))</x:f>
        <x:v>Keep current</x:v>
      </x:c>
      <x:c r="M1940" s="71" t="str">
        <x:v>Pending review</x:v>
      </x:c>
      <x:c r="N1940" s="71" t="str">
        <x:v>Normal</x:v>
      </x:c>
      <x:c r="O1940" s="71" t="str">
        <x:v>lib/easyt/travel-readiness.ts</x:v>
      </x:c>
      <x:c r="P1940" s="71" t="str">
        <x:v>entrySourcesByCountry:59</x:v>
      </x:c>
      <x:c r="Q1940" s="71" t="str">
        <x:v>EN (default / shared)</x:v>
      </x:c>
      <x:c r="R1940" s="71" t="str">
        <x:v>Already clear and direct; suggested wording intentionally keeps the current copy.</x:v>
      </x:c>
      <x:c r="S1940" s="75" t="str">
        <x:v>Not applied — review required</x:v>
      </x:c>
    </x:row>
    <x:row r="1941">
      <x:c r="A1941" s="71" t="str">
        <x:v>MRV-D73EC8AB5A</x:v>
      </x:c>
      <x:c r="B1941" s="71" t="str">
        <x:v>System</x:v>
      </x:c>
      <x:c r="C1941" s="71" t="str">
        <x:v>Shared recovery / system</x:v>
      </x:c>
      <x:c r="D1941" s="71" t="str">
        <x:v>Shared</x:v>
      </x:c>
      <x:c r="E1941" s="71" t="str">
        <x:v>entrySourcesByCountry</x:v>
      </x:c>
      <x:c r="F1941" s="71" t="str">
        <x:v>Default</x:v>
      </x:c>
      <x:c r="G1941" s="71" t="str">
        <x:v>Body copy</x:v>
      </x:c>
      <x:c r="H1941" s="71" t="str">
        <x:v>Guatemalan Institute of Migration</x:v>
      </x:c>
      <x:c r="I1941" s="71" t="str">
        <x:v>Guatemalan Institute of Migration</x:v>
      </x:c>
      <x:c r="J1941" s="73"/>
      <x:c r="K1941" s="74" t="str">
        <x:f>IF(J1941="",H1941,IF(J1941=I1941,I1941,J1941))</x:f>
        <x:v>Guatemalan Institute of Migration</x:v>
      </x:c>
      <x:c r="L1941" s="74" t="str">
        <x:f>IF(J1941="","Keep current",IF(J1941=I1941,"Use suggestion","Custom"))</x:f>
        <x:v>Keep current</x:v>
      </x:c>
      <x:c r="M1941" s="71" t="str">
        <x:v>Pending review</x:v>
      </x:c>
      <x:c r="N1941" s="71" t="str">
        <x:v>Normal</x:v>
      </x:c>
      <x:c r="O1941" s="71" t="str">
        <x:v>lib/easyt/travel-readiness.ts</x:v>
      </x:c>
      <x:c r="P1941" s="71" t="str">
        <x:v>entrySourcesByCountry:60</x:v>
      </x:c>
      <x:c r="Q1941" s="71" t="str">
        <x:v>EN (default / shared)</x:v>
      </x:c>
      <x:c r="R1941" s="71" t="str">
        <x:v>Already clear and direct; suggested wording intentionally keeps the current copy.</x:v>
      </x:c>
      <x:c r="S1941" s="75" t="str">
        <x:v>Not applied — review required</x:v>
      </x:c>
    </x:row>
    <x:row r="1942">
      <x:c r="A1942" s="71" t="str">
        <x:v>MRV-7F1754A0C8</x:v>
      </x:c>
      <x:c r="B1942" s="71" t="str">
        <x:v>System</x:v>
      </x:c>
      <x:c r="C1942" s="71" t="str">
        <x:v>Shared recovery / system</x:v>
      </x:c>
      <x:c r="D1942" s="71" t="str">
        <x:v>Shared</x:v>
      </x:c>
      <x:c r="E1942" s="71" t="str">
        <x:v>entrySourcesByCountry</x:v>
      </x:c>
      <x:c r="F1942" s="71" t="str">
        <x:v>Default</x:v>
      </x:c>
      <x:c r="G1942" s="71" t="str">
        <x:v>CTA / button</x:v>
      </x:c>
      <x:c r="H1942" s="71" t="str">
        <x:v>Government of India e-Visa</x:v>
      </x:c>
      <x:c r="I1942" s="71" t="str">
        <x:v>Government of India e-Visa</x:v>
      </x:c>
      <x:c r="J1942" s="73"/>
      <x:c r="K1942" s="74" t="str">
        <x:f>IF(J1942="",H1942,IF(J1942=I1942,I1942,J1942))</x:f>
        <x:v>Government of India e-Visa</x:v>
      </x:c>
      <x:c r="L1942" s="74" t="str">
        <x:f>IF(J1942="","Keep current",IF(J1942=I1942,"Use suggestion","Custom"))</x:f>
        <x:v>Keep current</x:v>
      </x:c>
      <x:c r="M1942" s="71" t="str">
        <x:v>Pending review</x:v>
      </x:c>
      <x:c r="N1942" s="71" t="str">
        <x:v>High</x:v>
      </x:c>
      <x:c r="O1942" s="71" t="str">
        <x:v>lib/easyt/travel-readiness.ts</x:v>
      </x:c>
      <x:c r="P1942" s="71" t="str">
        <x:v>entrySourcesByCountry:61</x:v>
      </x:c>
      <x:c r="Q1942" s="71" t="str">
        <x:v>EN (default / shared)</x:v>
      </x:c>
      <x:c r="R1942" s="71" t="str">
        <x:v>Already clear and direct; suggested wording intentionally keeps the current copy.</x:v>
      </x:c>
      <x:c r="S1942" s="75" t="str">
        <x:v>Not applied — review required</x:v>
      </x:c>
    </x:row>
    <x:row r="1943">
      <x:c r="A1943" s="71" t="str">
        <x:v>MRV-FFF3FB7957</x:v>
      </x:c>
      <x:c r="B1943" s="71" t="str">
        <x:v>System</x:v>
      </x:c>
      <x:c r="C1943" s="71" t="str">
        <x:v>Shared recovery / system</x:v>
      </x:c>
      <x:c r="D1943" s="71" t="str">
        <x:v>Shared</x:v>
      </x:c>
      <x:c r="E1943" s="71" t="str">
        <x:v>entrySourcesByCountry</x:v>
      </x:c>
      <x:c r="F1943" s="71" t="str">
        <x:v>Default</x:v>
      </x:c>
      <x:c r="G1943" s="71" t="str">
        <x:v>Label</x:v>
      </x:c>
      <x:c r="H1943" s="71" t="str">
        <x:v>Indonesian Immigration</x:v>
      </x:c>
      <x:c r="I1943" s="71" t="str">
        <x:v>Indonesian Immigration</x:v>
      </x:c>
      <x:c r="J1943" s="73"/>
      <x:c r="K1943" s="74" t="str">
        <x:f>IF(J1943="",H1943,IF(J1943=I1943,I1943,J1943))</x:f>
        <x:v>Indonesian Immigration</x:v>
      </x:c>
      <x:c r="L1943" s="74" t="str">
        <x:f>IF(J1943="","Keep current",IF(J1943=I1943,"Use suggestion","Custom"))</x:f>
        <x:v>Keep current</x:v>
      </x:c>
      <x:c r="M1943" s="71" t="str">
        <x:v>Pending review</x:v>
      </x:c>
      <x:c r="N1943" s="71" t="str">
        <x:v>Normal</x:v>
      </x:c>
      <x:c r="O1943" s="71" t="str">
        <x:v>lib/easyt/travel-readiness.ts</x:v>
      </x:c>
      <x:c r="P1943" s="71" t="str">
        <x:v>entrySourcesByCountry:62</x:v>
      </x:c>
      <x:c r="Q1943" s="71" t="str">
        <x:v>EN (default / shared)</x:v>
      </x:c>
      <x:c r="R1943" s="71" t="str">
        <x:v>Already clear and direct; suggested wording intentionally keeps the current copy.</x:v>
      </x:c>
      <x:c r="S1943" s="75" t="str">
        <x:v>Not applied — review required</x:v>
      </x:c>
    </x:row>
    <x:row r="1944">
      <x:c r="A1944" s="71" t="str">
        <x:v>MRV-C3332B1CAC</x:v>
      </x:c>
      <x:c r="B1944" s="71" t="str">
        <x:v>System</x:v>
      </x:c>
      <x:c r="C1944" s="71" t="str">
        <x:v>Shared recovery / system</x:v>
      </x:c>
      <x:c r="D1944" s="71" t="str">
        <x:v>Shared</x:v>
      </x:c>
      <x:c r="E1944" s="71" t="str">
        <x:v>entrySourcesByCountry</x:v>
      </x:c>
      <x:c r="F1944" s="71" t="str">
        <x:v>Default</x:v>
      </x:c>
      <x:c r="G1944" s="71" t="str">
        <x:v>Body copy</x:v>
      </x:c>
      <x:c r="H1944" s="71" t="str">
        <x:v>Italian Ministry of Foreign Affairs – Visa for Italy</x:v>
      </x:c>
      <x:c r="I1944" s="71" t="str">
        <x:v>Italian Ministry of Foreign Affairs – Visa for Italy</x:v>
      </x:c>
      <x:c r="J1944" s="73"/>
      <x:c r="K1944" s="74" t="str">
        <x:f>IF(J1944="",H1944,IF(J1944=I1944,I1944,J1944))</x:f>
        <x:v>Italian Ministry of Foreign Affairs – Visa for Italy</x:v>
      </x:c>
      <x:c r="L1944" s="74" t="str">
        <x:f>IF(J1944="","Keep current",IF(J1944=I1944,"Use suggestion","Custom"))</x:f>
        <x:v>Keep current</x:v>
      </x:c>
      <x:c r="M1944" s="71" t="str">
        <x:v>Pending review</x:v>
      </x:c>
      <x:c r="N1944" s="71" t="str">
        <x:v>High</x:v>
      </x:c>
      <x:c r="O1944" s="71" t="str">
        <x:v>lib/easyt/travel-readiness.ts</x:v>
      </x:c>
      <x:c r="P1944" s="71" t="str">
        <x:v>entrySourcesByCountry:63</x:v>
      </x:c>
      <x:c r="Q1944" s="71" t="str">
        <x:v>EN (default / shared)</x:v>
      </x:c>
      <x:c r="R1944" s="71" t="str">
        <x:v>Already clear and direct; suggested wording intentionally keeps the current copy.</x:v>
      </x:c>
      <x:c r="S1944" s="75" t="str">
        <x:v>Not applied — review required</x:v>
      </x:c>
    </x:row>
    <x:row r="1945">
      <x:c r="A1945" s="71" t="str">
        <x:v>MRV-A5C326E2FF</x:v>
      </x:c>
      <x:c r="B1945" s="71" t="str">
        <x:v>System</x:v>
      </x:c>
      <x:c r="C1945" s="71" t="str">
        <x:v>Shared recovery / system</x:v>
      </x:c>
      <x:c r="D1945" s="71" t="str">
        <x:v>Shared</x:v>
      </x:c>
      <x:c r="E1945" s="71" t="str">
        <x:v>entrySourcesByCountry</x:v>
      </x:c>
      <x:c r="F1945" s="71" t="str">
        <x:v>Default</x:v>
      </x:c>
      <x:c r="G1945" s="71" t="str">
        <x:v>Body copy</x:v>
      </x:c>
      <x:c r="H1945" s="71" t="str">
        <x:v>Ministry of Foreign Affairs of Japan</x:v>
      </x:c>
      <x:c r="I1945" s="71" t="str">
        <x:v>Ministry of Foreign Affairs of Japan</x:v>
      </x:c>
      <x:c r="J1945" s="73"/>
      <x:c r="K1945" s="74" t="str">
        <x:f>IF(J1945="",H1945,IF(J1945=I1945,I1945,J1945))</x:f>
        <x:v>Ministry of Foreign Affairs of Japan</x:v>
      </x:c>
      <x:c r="L1945" s="74" t="str">
        <x:f>IF(J1945="","Keep current",IF(J1945=I1945,"Use suggestion","Custom"))</x:f>
        <x:v>Keep current</x:v>
      </x:c>
      <x:c r="M1945" s="71" t="str">
        <x:v>Pending review</x:v>
      </x:c>
      <x:c r="N1945" s="71" t="str">
        <x:v>Normal</x:v>
      </x:c>
      <x:c r="O1945" s="71" t="str">
        <x:v>lib/easyt/travel-readiness.ts</x:v>
      </x:c>
      <x:c r="P1945" s="71" t="str">
        <x:v>entrySourcesByCountry:64</x:v>
      </x:c>
      <x:c r="Q1945" s="71" t="str">
        <x:v>EN (default / shared)</x:v>
      </x:c>
      <x:c r="R1945" s="71" t="str">
        <x:v>Already clear and direct; suggested wording intentionally keeps the current copy.</x:v>
      </x:c>
      <x:c r="S1945" s="75" t="str">
        <x:v>Not applied — review required</x:v>
      </x:c>
    </x:row>
    <x:row r="1946">
      <x:c r="A1946" s="71" t="str">
        <x:v>MRV-396EDA0072</x:v>
      </x:c>
      <x:c r="B1946" s="71" t="str">
        <x:v>System</x:v>
      </x:c>
      <x:c r="C1946" s="71" t="str">
        <x:v>Shared recovery / system</x:v>
      </x:c>
      <x:c r="D1946" s="71" t="str">
        <x:v>Shared</x:v>
      </x:c>
      <x:c r="E1946" s="71" t="str">
        <x:v>entrySourcesByCountry</x:v>
      </x:c>
      <x:c r="F1946" s="71" t="str">
        <x:v>Default</x:v>
      </x:c>
      <x:c r="G1946" s="71" t="str">
        <x:v>Body copy</x:v>
      </x:c>
      <x:c r="H1946" s="71" t="str">
        <x:v>Immigration Department of Malaysia</x:v>
      </x:c>
      <x:c r="I1946" s="71" t="str">
        <x:v>Immigration Department of Malaysia</x:v>
      </x:c>
      <x:c r="J1946" s="73"/>
      <x:c r="K1946" s="74" t="str">
        <x:f>IF(J1946="",H1946,IF(J1946=I1946,I1946,J1946))</x:f>
        <x:v>Immigration Department of Malaysia</x:v>
      </x:c>
      <x:c r="L1946" s="74" t="str">
        <x:f>IF(J1946="","Keep current",IF(J1946=I1946,"Use suggestion","Custom"))</x:f>
        <x:v>Keep current</x:v>
      </x:c>
      <x:c r="M1946" s="71" t="str">
        <x:v>Pending review</x:v>
      </x:c>
      <x:c r="N1946" s="71" t="str">
        <x:v>Normal</x:v>
      </x:c>
      <x:c r="O1946" s="71" t="str">
        <x:v>lib/easyt/travel-readiness.ts</x:v>
      </x:c>
      <x:c r="P1946" s="71" t="str">
        <x:v>entrySourcesByCountry:65</x:v>
      </x:c>
      <x:c r="Q1946" s="71" t="str">
        <x:v>EN (default / shared)</x:v>
      </x:c>
      <x:c r="R1946" s="71" t="str">
        <x:v>Already clear and direct; suggested wording intentionally keeps the current copy.</x:v>
      </x:c>
      <x:c r="S1946" s="75" t="str">
        <x:v>Not applied — review required</x:v>
      </x:c>
    </x:row>
    <x:row r="1947">
      <x:c r="A1947" s="71" t="str">
        <x:v>MRV-6FADA593B2</x:v>
      </x:c>
      <x:c r="B1947" s="71" t="str">
        <x:v>System</x:v>
      </x:c>
      <x:c r="C1947" s="71" t="str">
        <x:v>Shared recovery / system</x:v>
      </x:c>
      <x:c r="D1947" s="71" t="str">
        <x:v>Shared</x:v>
      </x:c>
      <x:c r="E1947" s="71" t="str">
        <x:v>entrySourcesByCountry</x:v>
      </x:c>
      <x:c r="F1947" s="71" t="str">
        <x:v>Default</x:v>
      </x:c>
      <x:c r="G1947" s="71" t="str">
        <x:v>Body copy</x:v>
      </x:c>
      <x:c r="H1947" s="71" t="str">
        <x:v>Mexican Ministry of Foreign Affairs</x:v>
      </x:c>
      <x:c r="I1947" s="71" t="str">
        <x:v>Mexican Ministry of Foreign Affairs</x:v>
      </x:c>
      <x:c r="J1947" s="73"/>
      <x:c r="K1947" s="74" t="str">
        <x:f>IF(J1947="",H1947,IF(J1947=I1947,I1947,J1947))</x:f>
        <x:v>Mexican Ministry of Foreign Affairs</x:v>
      </x:c>
      <x:c r="L1947" s="74" t="str">
        <x:f>IF(J1947="","Keep current",IF(J1947=I1947,"Use suggestion","Custom"))</x:f>
        <x:v>Keep current</x:v>
      </x:c>
      <x:c r="M1947" s="71" t="str">
        <x:v>Pending review</x:v>
      </x:c>
      <x:c r="N1947" s="71" t="str">
        <x:v>Normal</x:v>
      </x:c>
      <x:c r="O1947" s="71" t="str">
        <x:v>lib/easyt/travel-readiness.ts</x:v>
      </x:c>
      <x:c r="P1947" s="71" t="str">
        <x:v>entrySourcesByCountry:66</x:v>
      </x:c>
      <x:c r="Q1947" s="71" t="str">
        <x:v>EN (default / shared)</x:v>
      </x:c>
      <x:c r="R1947" s="71" t="str">
        <x:v>Already clear and direct; suggested wording intentionally keeps the current copy.</x:v>
      </x:c>
      <x:c r="S1947" s="75" t="str">
        <x:v>Not applied — review required</x:v>
      </x:c>
    </x:row>
    <x:row r="1948">
      <x:c r="A1948" s="71" t="str">
        <x:v>MRV-B80E805D2A</x:v>
      </x:c>
      <x:c r="B1948" s="71" t="str">
        <x:v>System</x:v>
      </x:c>
      <x:c r="C1948" s="71" t="str">
        <x:v>Shared recovery / system</x:v>
      </x:c>
      <x:c r="D1948" s="71" t="str">
        <x:v>Shared</x:v>
      </x:c>
      <x:c r="E1948" s="71" t="str">
        <x:v>entrySourcesByCountry</x:v>
      </x:c>
      <x:c r="F1948" s="71" t="str">
        <x:v>Default</x:v>
      </x:c>
      <x:c r="G1948" s="71" t="str">
        <x:v>Label</x:v>
      </x:c>
      <x:c r="H1948" s="71" t="str">
        <x:v>Consular Services of Morocco</x:v>
      </x:c>
      <x:c r="I1948" s="71" t="str">
        <x:v>Consular Services of Morocco</x:v>
      </x:c>
      <x:c r="J1948" s="73"/>
      <x:c r="K1948" s="74" t="str">
        <x:f>IF(J1948="",H1948,IF(J1948=I1948,I1948,J1948))</x:f>
        <x:v>Consular Services of Morocco</x:v>
      </x:c>
      <x:c r="L1948" s="74" t="str">
        <x:f>IF(J1948="","Keep current",IF(J1948=I1948,"Use suggestion","Custom"))</x:f>
        <x:v>Keep current</x:v>
      </x:c>
      <x:c r="M1948" s="71" t="str">
        <x:v>Pending review</x:v>
      </x:c>
      <x:c r="N1948" s="71" t="str">
        <x:v>Normal</x:v>
      </x:c>
      <x:c r="O1948" s="71" t="str">
        <x:v>lib/easyt/travel-readiness.ts</x:v>
      </x:c>
      <x:c r="P1948" s="71" t="str">
        <x:v>entrySourcesByCountry:67</x:v>
      </x:c>
      <x:c r="Q1948" s="71" t="str">
        <x:v>EN (default / shared)</x:v>
      </x:c>
      <x:c r="R1948" s="71" t="str">
        <x:v>Already clear and direct; suggested wording intentionally keeps the current copy.</x:v>
      </x:c>
      <x:c r="S1948" s="75" t="str">
        <x:v>Not applied — review required</x:v>
      </x:c>
    </x:row>
    <x:row r="1949">
      <x:c r="A1949" s="71" t="str">
        <x:v>MRV-321B632123</x:v>
      </x:c>
      <x:c r="B1949" s="71" t="str">
        <x:v>System</x:v>
      </x:c>
      <x:c r="C1949" s="71" t="str">
        <x:v>Shared recovery / system</x:v>
      </x:c>
      <x:c r="D1949" s="71" t="str">
        <x:v>Shared</x:v>
      </x:c>
      <x:c r="E1949" s="71" t="str">
        <x:v>entrySourcesByCountry</x:v>
      </x:c>
      <x:c r="F1949" s="71" t="str">
        <x:v>Default</x:v>
      </x:c>
      <x:c r="G1949" s="71" t="str">
        <x:v>Label</x:v>
      </x:c>
      <x:c r="H1949" s="71" t="str">
        <x:v>NetherlandsWorldwide</x:v>
      </x:c>
      <x:c r="I1949" s="71" t="str">
        <x:v>NetherlandsWorldwide</x:v>
      </x:c>
      <x:c r="J1949" s="73"/>
      <x:c r="K1949" s="74" t="str">
        <x:f>IF(J1949="",H1949,IF(J1949=I1949,I1949,J1949))</x:f>
        <x:v>NetherlandsWorldwide</x:v>
      </x:c>
      <x:c r="L1949" s="74" t="str">
        <x:f>IF(J1949="","Keep current",IF(J1949=I1949,"Use suggestion","Custom"))</x:f>
        <x:v>Keep current</x:v>
      </x:c>
      <x:c r="M1949" s="71" t="str">
        <x:v>Pending review</x:v>
      </x:c>
      <x:c r="N1949" s="71" t="str">
        <x:v>Normal</x:v>
      </x:c>
      <x:c r="O1949" s="71" t="str">
        <x:v>lib/easyt/travel-readiness.ts</x:v>
      </x:c>
      <x:c r="P1949" s="71" t="str">
        <x:v>entrySourcesByCountry:68</x:v>
      </x:c>
      <x:c r="Q1949" s="71" t="str">
        <x:v>EN (default / shared)</x:v>
      </x:c>
      <x:c r="R1949" s="71" t="str">
        <x:v>Already clear and direct; suggested wording intentionally keeps the current copy.</x:v>
      </x:c>
      <x:c r="S1949" s="75" t="str">
        <x:v>Not applied — review required</x:v>
      </x:c>
    </x:row>
    <x:row r="1950">
      <x:c r="A1950" s="71" t="str">
        <x:v>MRV-51978018B1</x:v>
      </x:c>
      <x:c r="B1950" s="71" t="str">
        <x:v>System</x:v>
      </x:c>
      <x:c r="C1950" s="71" t="str">
        <x:v>Shared recovery / system</x:v>
      </x:c>
      <x:c r="D1950" s="71" t="str">
        <x:v>Shared</x:v>
      </x:c>
      <x:c r="E1950" s="71" t="str">
        <x:v>entrySourcesByCountry</x:v>
      </x:c>
      <x:c r="F1950" s="71" t="str">
        <x:v>Default</x:v>
      </x:c>
      <x:c r="G1950" s="71" t="str">
        <x:v>Body copy</x:v>
      </x:c>
      <x:c r="H1950" s="71" t="str">
        <x:v>Republic of Poland – Visa information</x:v>
      </x:c>
      <x:c r="I1950" s="71" t="str">
        <x:v>Republic of Poland – Visa information</x:v>
      </x:c>
      <x:c r="J1950" s="73"/>
      <x:c r="K1950" s="74" t="str">
        <x:f>IF(J1950="",H1950,IF(J1950=I1950,I1950,J1950))</x:f>
        <x:v>Republic of Poland – Visa information</x:v>
      </x:c>
      <x:c r="L1950" s="74" t="str">
        <x:f>IF(J1950="","Keep current",IF(J1950=I1950,"Use suggestion","Custom"))</x:f>
        <x:v>Keep current</x:v>
      </x:c>
      <x:c r="M1950" s="71" t="str">
        <x:v>Pending review</x:v>
      </x:c>
      <x:c r="N1950" s="71" t="str">
        <x:v>High</x:v>
      </x:c>
      <x:c r="O1950" s="71" t="str">
        <x:v>lib/easyt/travel-readiness.ts</x:v>
      </x:c>
      <x:c r="P1950" s="71" t="str">
        <x:v>entrySourcesByCountry:69</x:v>
      </x:c>
      <x:c r="Q1950" s="71" t="str">
        <x:v>EN (default / shared)</x:v>
      </x:c>
      <x:c r="R1950" s="71" t="str">
        <x:v>Already clear and direct; suggested wording intentionally keeps the current copy.</x:v>
      </x:c>
      <x:c r="S1950" s="75" t="str">
        <x:v>Not applied — review required</x:v>
      </x:c>
    </x:row>
    <x:row r="1951">
      <x:c r="A1951" s="71" t="str">
        <x:v>MRV-CB9E0BBA78</x:v>
      </x:c>
      <x:c r="B1951" s="71" t="str">
        <x:v>System</x:v>
      </x:c>
      <x:c r="C1951" s="71" t="str">
        <x:v>Shared recovery / system</x:v>
      </x:c>
      <x:c r="D1951" s="71" t="str">
        <x:v>Shared</x:v>
      </x:c>
      <x:c r="E1951" s="71" t="str">
        <x:v>entrySourcesByCountry</x:v>
      </x:c>
      <x:c r="F1951" s="71" t="str">
        <x:v>Default</x:v>
      </x:c>
      <x:c r="G1951" s="71" t="str">
        <x:v>Body copy</x:v>
      </x:c>
      <x:c r="H1951" s="71" t="str">
        <x:v>Portuguese Ministry of Foreign Affairs</x:v>
      </x:c>
      <x:c r="I1951" s="71" t="str">
        <x:v>Portuguese Ministry of Foreign Affairs</x:v>
      </x:c>
      <x:c r="J1951" s="73"/>
      <x:c r="K1951" s="74" t="str">
        <x:f>IF(J1951="",H1951,IF(J1951=I1951,I1951,J1951))</x:f>
        <x:v>Portuguese Ministry of Foreign Affairs</x:v>
      </x:c>
      <x:c r="L1951" s="74" t="str">
        <x:f>IF(J1951="","Keep current",IF(J1951=I1951,"Use suggestion","Custom"))</x:f>
        <x:v>Keep current</x:v>
      </x:c>
      <x:c r="M1951" s="71" t="str">
        <x:v>Pending review</x:v>
      </x:c>
      <x:c r="N1951" s="71" t="str">
        <x:v>Normal</x:v>
      </x:c>
      <x:c r="O1951" s="71" t="str">
        <x:v>lib/easyt/travel-readiness.ts</x:v>
      </x:c>
      <x:c r="P1951" s="71" t="str">
        <x:v>entrySourcesByCountry:70</x:v>
      </x:c>
      <x:c r="Q1951" s="71" t="str">
        <x:v>EN (default / shared)</x:v>
      </x:c>
      <x:c r="R1951" s="71" t="str">
        <x:v>Already clear and direct; suggested wording intentionally keeps the current copy.</x:v>
      </x:c>
      <x:c r="S1951" s="75" t="str">
        <x:v>Not applied — review required</x:v>
      </x:c>
    </x:row>
    <x:row r="1952">
      <x:c r="A1952" s="71" t="str">
        <x:v>MRV-28FEF86DD8</x:v>
      </x:c>
      <x:c r="B1952" s="71" t="str">
        <x:v>System</x:v>
      </x:c>
      <x:c r="C1952" s="71" t="str">
        <x:v>Shared recovery / system</x:v>
      </x:c>
      <x:c r="D1952" s="71" t="str">
        <x:v>Shared</x:v>
      </x:c>
      <x:c r="E1952" s="71" t="str">
        <x:v>entrySourcesByCountry</x:v>
      </x:c>
      <x:c r="F1952" s="71" t="str">
        <x:v>Default</x:v>
      </x:c>
      <x:c r="G1952" s="71" t="str">
        <x:v>Label</x:v>
      </x:c>
      <x:c r="H1952" s="71" t="str">
        <x:v>Saudi eVisa</x:v>
      </x:c>
      <x:c r="I1952" s="71" t="str">
        <x:v>Saudi eVisa</x:v>
      </x:c>
      <x:c r="J1952" s="73"/>
      <x:c r="K1952" s="74" t="str">
        <x:f>IF(J1952="",H1952,IF(J1952=I1952,I1952,J1952))</x:f>
        <x:v>Saudi eVisa</x:v>
      </x:c>
      <x:c r="L1952" s="74" t="str">
        <x:f>IF(J1952="","Keep current",IF(J1952=I1952,"Use suggestion","Custom"))</x:f>
        <x:v>Keep current</x:v>
      </x:c>
      <x:c r="M1952" s="71" t="str">
        <x:v>Pending review</x:v>
      </x:c>
      <x:c r="N1952" s="71" t="str">
        <x:v>High</x:v>
      </x:c>
      <x:c r="O1952" s="71" t="str">
        <x:v>lib/easyt/travel-readiness.ts</x:v>
      </x:c>
      <x:c r="P1952" s="71" t="str">
        <x:v>entrySourcesByCountry:71</x:v>
      </x:c>
      <x:c r="Q1952" s="71" t="str">
        <x:v>EN (default / shared)</x:v>
      </x:c>
      <x:c r="R1952" s="71" t="str">
        <x:v>Already clear and direct; suggested wording intentionally keeps the current copy.</x:v>
      </x:c>
      <x:c r="S1952" s="75" t="str">
        <x:v>Not applied — review required</x:v>
      </x:c>
    </x:row>
    <x:row r="1953">
      <x:c r="A1953" s="71" t="str">
        <x:v>MRV-A1DB00383F</x:v>
      </x:c>
      <x:c r="B1953" s="71" t="str">
        <x:v>System</x:v>
      </x:c>
      <x:c r="C1953" s="71" t="str">
        <x:v>Shared recovery / system</x:v>
      </x:c>
      <x:c r="D1953" s="71" t="str">
        <x:v>Shared</x:v>
      </x:c>
      <x:c r="E1953" s="71" t="str">
        <x:v>entrySourcesByCountry</x:v>
      </x:c>
      <x:c r="F1953" s="71" t="str">
        <x:v>Default</x:v>
      </x:c>
      <x:c r="G1953" s="71" t="str">
        <x:v>Body copy</x:v>
      </x:c>
      <x:c r="H1953" s="71" t="str">
        <x:v>Immigration &amp; Checkpoints Authority</x:v>
      </x:c>
      <x:c r="I1953" s="71" t="str">
        <x:v>Immigration &amp; Checkpoints Authority</x:v>
      </x:c>
      <x:c r="J1953" s="73"/>
      <x:c r="K1953" s="74" t="str">
        <x:f>IF(J1953="",H1953,IF(J1953=I1953,I1953,J1953))</x:f>
        <x:v>Immigration &amp; Checkpoints Authority</x:v>
      </x:c>
      <x:c r="L1953" s="74" t="str">
        <x:f>IF(J1953="","Keep current",IF(J1953=I1953,"Use suggestion","Custom"))</x:f>
        <x:v>Keep current</x:v>
      </x:c>
      <x:c r="M1953" s="71" t="str">
        <x:v>Pending review</x:v>
      </x:c>
      <x:c r="N1953" s="71" t="str">
        <x:v>Normal</x:v>
      </x:c>
      <x:c r="O1953" s="71" t="str">
        <x:v>lib/easyt/travel-readiness.ts</x:v>
      </x:c>
      <x:c r="P1953" s="71" t="str">
        <x:v>entrySourcesByCountry:72</x:v>
      </x:c>
      <x:c r="Q1953" s="71" t="str">
        <x:v>EN (default / shared)</x:v>
      </x:c>
      <x:c r="R1953" s="71" t="str">
        <x:v>Already clear and direct; suggested wording intentionally keeps the current copy.</x:v>
      </x:c>
      <x:c r="S1953" s="75" t="str">
        <x:v>Not applied — review required</x:v>
      </x:c>
    </x:row>
    <x:row r="1954">
      <x:c r="A1954" s="71" t="str">
        <x:v>MRV-C8A764610F</x:v>
      </x:c>
      <x:c r="B1954" s="71" t="str">
        <x:v>System</x:v>
      </x:c>
      <x:c r="C1954" s="71" t="str">
        <x:v>Shared recovery / system</x:v>
      </x:c>
      <x:c r="D1954" s="71" t="str">
        <x:v>Shared</x:v>
      </x:c>
      <x:c r="E1954" s="71" t="str">
        <x:v>entrySourcesByCountry</x:v>
      </x:c>
      <x:c r="F1954" s="71" t="str">
        <x:v>Default</x:v>
      </x:c>
      <x:c r="G1954" s="71" t="str">
        <x:v>Label</x:v>
      </x:c>
      <x:c r="H1954" s="71" t="str">
        <x:v>Korea Visa Portal</x:v>
      </x:c>
      <x:c r="I1954" s="71" t="str">
        <x:v>Korea Visa Portal</x:v>
      </x:c>
      <x:c r="J1954" s="73"/>
      <x:c r="K1954" s="74" t="str">
        <x:f>IF(J1954="",H1954,IF(J1954=I1954,I1954,J1954))</x:f>
        <x:v>Korea Visa Portal</x:v>
      </x:c>
      <x:c r="L1954" s="74" t="str">
        <x:f>IF(J1954="","Keep current",IF(J1954=I1954,"Use suggestion","Custom"))</x:f>
        <x:v>Keep current</x:v>
      </x:c>
      <x:c r="M1954" s="71" t="str">
        <x:v>Pending review</x:v>
      </x:c>
      <x:c r="N1954" s="71" t="str">
        <x:v>High</x:v>
      </x:c>
      <x:c r="O1954" s="71" t="str">
        <x:v>lib/easyt/travel-readiness.ts</x:v>
      </x:c>
      <x:c r="P1954" s="71" t="str">
        <x:v>entrySourcesByCountry:73</x:v>
      </x:c>
      <x:c r="Q1954" s="71" t="str">
        <x:v>EN (default / shared)</x:v>
      </x:c>
      <x:c r="R1954" s="71" t="str">
        <x:v>Already clear and direct; suggested wording intentionally keeps the current copy.</x:v>
      </x:c>
      <x:c r="S1954" s="75" t="str">
        <x:v>Not applied — review required</x:v>
      </x:c>
    </x:row>
    <x:row r="1955">
      <x:c r="A1955" s="71" t="str">
        <x:v>MRV-BF53C98D14</x:v>
      </x:c>
      <x:c r="B1955" s="71" t="str">
        <x:v>System</x:v>
      </x:c>
      <x:c r="C1955" s="71" t="str">
        <x:v>Shared recovery / system</x:v>
      </x:c>
      <x:c r="D1955" s="71" t="str">
        <x:v>Shared</x:v>
      </x:c>
      <x:c r="E1955" s="71" t="str">
        <x:v>entrySourcesByCountry</x:v>
      </x:c>
      <x:c r="F1955" s="71" t="str">
        <x:v>Default</x:v>
      </x:c>
      <x:c r="G1955" s="71" t="str">
        <x:v>Body copy</x:v>
      </x:c>
      <x:c r="H1955" s="71" t="str">
        <x:v>Spanish Ministry of Foreign Affairs</x:v>
      </x:c>
      <x:c r="I1955" s="71" t="str">
        <x:v>Spanish Ministry of Foreign Affairs</x:v>
      </x:c>
      <x:c r="J1955" s="73"/>
      <x:c r="K1955" s="74" t="str">
        <x:f>IF(J1955="",H1955,IF(J1955=I1955,I1955,J1955))</x:f>
        <x:v>Spanish Ministry of Foreign Affairs</x:v>
      </x:c>
      <x:c r="L1955" s="74" t="str">
        <x:f>IF(J1955="","Keep current",IF(J1955=I1955,"Use suggestion","Custom"))</x:f>
        <x:v>Keep current</x:v>
      </x:c>
      <x:c r="M1955" s="71" t="str">
        <x:v>Pending review</x:v>
      </x:c>
      <x:c r="N1955" s="71" t="str">
        <x:v>Normal</x:v>
      </x:c>
      <x:c r="O1955" s="71" t="str">
        <x:v>lib/easyt/travel-readiness.ts</x:v>
      </x:c>
      <x:c r="P1955" s="71" t="str">
        <x:v>entrySourcesByCountry:74</x:v>
      </x:c>
      <x:c r="Q1955" s="71" t="str">
        <x:v>EN (default / shared)</x:v>
      </x:c>
      <x:c r="R1955" s="71" t="str">
        <x:v>Already clear and direct; suggested wording intentionally keeps the current copy.</x:v>
      </x:c>
      <x:c r="S1955" s="75" t="str">
        <x:v>Not applied — review required</x:v>
      </x:c>
    </x:row>
    <x:row r="1956">
      <x:c r="A1956" s="71" t="str">
        <x:v>MRV-8FC6DB4792</x:v>
      </x:c>
      <x:c r="B1956" s="71" t="str">
        <x:v>System</x:v>
      </x:c>
      <x:c r="C1956" s="71" t="str">
        <x:v>Shared recovery / system</x:v>
      </x:c>
      <x:c r="D1956" s="71" t="str">
        <x:v>Shared</x:v>
      </x:c>
      <x:c r="E1956" s="71" t="str">
        <x:v>entrySourcesByCountry</x:v>
      </x:c>
      <x:c r="F1956" s="71" t="str">
        <x:v>Default</x:v>
      </x:c>
      <x:c r="G1956" s="71" t="str">
        <x:v>Label</x:v>
      </x:c>
      <x:c r="H1956" s="71" t="str">
        <x:v>Thai e-Visa</x:v>
      </x:c>
      <x:c r="I1956" s="71" t="str">
        <x:v>Thai e-Visa</x:v>
      </x:c>
      <x:c r="J1956" s="73"/>
      <x:c r="K1956" s="74" t="str">
        <x:f>IF(J1956="",H1956,IF(J1956=I1956,I1956,J1956))</x:f>
        <x:v>Thai e-Visa</x:v>
      </x:c>
      <x:c r="L1956" s="74" t="str">
        <x:f>IF(J1956="","Keep current",IF(J1956=I1956,"Use suggestion","Custom"))</x:f>
        <x:v>Keep current</x:v>
      </x:c>
      <x:c r="M1956" s="71" t="str">
        <x:v>Pending review</x:v>
      </x:c>
      <x:c r="N1956" s="71" t="str">
        <x:v>High</x:v>
      </x:c>
      <x:c r="O1956" s="71" t="str">
        <x:v>lib/easyt/travel-readiness.ts</x:v>
      </x:c>
      <x:c r="P1956" s="71" t="str">
        <x:v>entrySourcesByCountry:75</x:v>
      </x:c>
      <x:c r="Q1956" s="71" t="str">
        <x:v>EN (default / shared)</x:v>
      </x:c>
      <x:c r="R1956" s="71" t="str">
        <x:v>Already clear and direct; suggested wording intentionally keeps the current copy.</x:v>
      </x:c>
      <x:c r="S1956" s="75" t="str">
        <x:v>Not applied — review required</x:v>
      </x:c>
    </x:row>
    <x:row r="1957">
      <x:c r="A1957" s="71" t="str">
        <x:v>MRV-2A75D06F7C</x:v>
      </x:c>
      <x:c r="B1957" s="71" t="str">
        <x:v>System</x:v>
      </x:c>
      <x:c r="C1957" s="71" t="str">
        <x:v>Shared recovery / system</x:v>
      </x:c>
      <x:c r="D1957" s="71" t="str">
        <x:v>Shared</x:v>
      </x:c>
      <x:c r="E1957" s="71" t="str">
        <x:v>entrySourcesByCountry</x:v>
      </x:c>
      <x:c r="F1957" s="71" t="str">
        <x:v>Default</x:v>
      </x:c>
      <x:c r="G1957" s="71" t="str">
        <x:v>Label</x:v>
      </x:c>
      <x:c r="H1957" s="71" t="str">
        <x:v>Republic of Türkiye e-Visa</x:v>
      </x:c>
      <x:c r="I1957" s="71" t="str">
        <x:v>Republic of Türkiye e-Visa</x:v>
      </x:c>
      <x:c r="J1957" s="73"/>
      <x:c r="K1957" s="74" t="str">
        <x:f>IF(J1957="",H1957,IF(J1957=I1957,I1957,J1957))</x:f>
        <x:v>Republic of Türkiye e-Visa</x:v>
      </x:c>
      <x:c r="L1957" s="74" t="str">
        <x:f>IF(J1957="","Keep current",IF(J1957=I1957,"Use suggestion","Custom"))</x:f>
        <x:v>Keep current</x:v>
      </x:c>
      <x:c r="M1957" s="71" t="str">
        <x:v>Pending review</x:v>
      </x:c>
      <x:c r="N1957" s="71" t="str">
        <x:v>High</x:v>
      </x:c>
      <x:c r="O1957" s="71" t="str">
        <x:v>lib/easyt/travel-readiness.ts</x:v>
      </x:c>
      <x:c r="P1957" s="71" t="str">
        <x:v>entrySourcesByCountry:76</x:v>
      </x:c>
      <x:c r="Q1957" s="71" t="str">
        <x:v>EN (default / shared)</x:v>
      </x:c>
      <x:c r="R1957" s="71" t="str">
        <x:v>Already clear and direct; suggested wording intentionally keeps the current copy.</x:v>
      </x:c>
      <x:c r="S1957" s="75" t="str">
        <x:v>Not applied — review required</x:v>
      </x:c>
    </x:row>
    <x:row r="1958">
      <x:c r="A1958" s="71" t="str">
        <x:v>MRV-ECEE9A8233</x:v>
      </x:c>
      <x:c r="B1958" s="71" t="str">
        <x:v>System</x:v>
      </x:c>
      <x:c r="C1958" s="71" t="str">
        <x:v>Shared recovery / system</x:v>
      </x:c>
      <x:c r="D1958" s="71" t="str">
        <x:v>Shared</x:v>
      </x:c>
      <x:c r="E1958" s="71" t="str">
        <x:v>entrySourcesByCountry</x:v>
      </x:c>
      <x:c r="F1958" s="71" t="str">
        <x:v>Default</x:v>
      </x:c>
      <x:c r="G1958" s="71" t="str">
        <x:v>Body copy</x:v>
      </x:c>
      <x:c r="H1958" s="71" t="str">
        <x:v>UAE Government Portal – Visa and entry</x:v>
      </x:c>
      <x:c r="I1958" s="71" t="str">
        <x:v>UAE Government Portal – Visa and entry</x:v>
      </x:c>
      <x:c r="J1958" s="73"/>
      <x:c r="K1958" s="74" t="str">
        <x:f>IF(J1958="",H1958,IF(J1958=I1958,I1958,J1958))</x:f>
        <x:v>UAE Government Portal – Visa and entry</x:v>
      </x:c>
      <x:c r="L1958" s="74" t="str">
        <x:f>IF(J1958="","Keep current",IF(J1958=I1958,"Use suggestion","Custom"))</x:f>
        <x:v>Keep current</x:v>
      </x:c>
      <x:c r="M1958" s="71" t="str">
        <x:v>Pending review</x:v>
      </x:c>
      <x:c r="N1958" s="71" t="str">
        <x:v>High</x:v>
      </x:c>
      <x:c r="O1958" s="71" t="str">
        <x:v>lib/easyt/travel-readiness.ts</x:v>
      </x:c>
      <x:c r="P1958" s="71" t="str">
        <x:v>entrySourcesByCountry:77</x:v>
      </x:c>
      <x:c r="Q1958" s="71" t="str">
        <x:v>EN (default / shared)</x:v>
      </x:c>
      <x:c r="R1958" s="71" t="str">
        <x:v>Already clear and direct; suggested wording intentionally keeps the current copy.</x:v>
      </x:c>
      <x:c r="S1958" s="75" t="str">
        <x:v>Not applied — review required</x:v>
      </x:c>
    </x:row>
    <x:row r="1959">
      <x:c r="A1959" s="71" t="str">
        <x:v>MRV-7F186BA3FD</x:v>
      </x:c>
      <x:c r="B1959" s="71" t="str">
        <x:v>System</x:v>
      </x:c>
      <x:c r="C1959" s="71" t="str">
        <x:v>Shared recovery / system</x:v>
      </x:c>
      <x:c r="D1959" s="71" t="str">
        <x:v>Shared</x:v>
      </x:c>
      <x:c r="E1959" s="71" t="str">
        <x:v>entrySourcesByCountry</x:v>
      </x:c>
      <x:c r="F1959" s="71" t="str">
        <x:v>Default</x:v>
      </x:c>
      <x:c r="G1959" s="71" t="str">
        <x:v>Body copy</x:v>
      </x:c>
      <x:c r="H1959" s="71" t="str">
        <x:v>UK Government – Check if you need a visa</x:v>
      </x:c>
      <x:c r="I1959" s="71" t="str">
        <x:v>UK Government – Check if you need a visa</x:v>
      </x:c>
      <x:c r="J1959" s="73"/>
      <x:c r="K1959" s="74" t="str">
        <x:f>IF(J1959="",H1959,IF(J1959=I1959,I1959,J1959))</x:f>
        <x:v>UK Government – Check if you need a visa</x:v>
      </x:c>
      <x:c r="L1959" s="74" t="str">
        <x:f>IF(J1959="","Keep current",IF(J1959=I1959,"Use suggestion","Custom"))</x:f>
        <x:v>Keep current</x:v>
      </x:c>
      <x:c r="M1959" s="71" t="str">
        <x:v>Pending review</x:v>
      </x:c>
      <x:c r="N1959" s="71" t="str">
        <x:v>High</x:v>
      </x:c>
      <x:c r="O1959" s="71" t="str">
        <x:v>lib/easyt/travel-readiness.ts</x:v>
      </x:c>
      <x:c r="P1959" s="71" t="str">
        <x:v>entrySourcesByCountry:78</x:v>
      </x:c>
      <x:c r="Q1959" s="71" t="str">
        <x:v>EN (default / shared)</x:v>
      </x:c>
      <x:c r="R1959" s="71" t="str">
        <x:v>Already clear and direct; suggested wording intentionally keeps the current copy.</x:v>
      </x:c>
      <x:c r="S1959" s="75" t="str">
        <x:v>Not applied — review required</x:v>
      </x:c>
    </x:row>
    <x:row r="1960">
      <x:c r="A1960" s="71" t="str">
        <x:v>MRV-1FFBFBE1FD</x:v>
      </x:c>
      <x:c r="B1960" s="71" t="str">
        <x:v>System</x:v>
      </x:c>
      <x:c r="C1960" s="71" t="str">
        <x:v>Shared recovery / system</x:v>
      </x:c>
      <x:c r="D1960" s="71" t="str">
        <x:v>Shared</x:v>
      </x:c>
      <x:c r="E1960" s="71" t="str">
        <x:v>entrySourcesByCountry</x:v>
      </x:c>
      <x:c r="F1960" s="71" t="str">
        <x:v>Default</x:v>
      </x:c>
      <x:c r="G1960" s="71" t="str">
        <x:v>Body copy</x:v>
      </x:c>
      <x:c r="H1960" s="71" t="str">
        <x:v>US Department of State – Visitor visas</x:v>
      </x:c>
      <x:c r="I1960" s="71" t="str">
        <x:v>US Department of State – Visitor visas</x:v>
      </x:c>
      <x:c r="J1960" s="73"/>
      <x:c r="K1960" s="74" t="str">
        <x:f>IF(J1960="",H1960,IF(J1960=I1960,I1960,J1960))</x:f>
        <x:v>US Department of State – Visitor visas</x:v>
      </x:c>
      <x:c r="L1960" s="74" t="str">
        <x:f>IF(J1960="","Keep current",IF(J1960=I1960,"Use suggestion","Custom"))</x:f>
        <x:v>Keep current</x:v>
      </x:c>
      <x:c r="M1960" s="71" t="str">
        <x:v>Pending review</x:v>
      </x:c>
      <x:c r="N1960" s="71" t="str">
        <x:v>High</x:v>
      </x:c>
      <x:c r="O1960" s="71" t="str">
        <x:v>lib/easyt/travel-readiness.ts</x:v>
      </x:c>
      <x:c r="P1960" s="71" t="str">
        <x:v>entrySourcesByCountry:79</x:v>
      </x:c>
      <x:c r="Q1960" s="71" t="str">
        <x:v>EN (default / shared)</x:v>
      </x:c>
      <x:c r="R1960" s="71" t="str">
        <x:v>Already clear and direct; suggested wording intentionally keeps the current copy.</x:v>
      </x:c>
      <x:c r="S1960" s="75" t="str">
        <x:v>Not applied — review required</x:v>
      </x:c>
    </x:row>
    <x:row r="1961">
      <x:c r="A1961" s="71" t="str">
        <x:v>MRV-F8AA94649C</x:v>
      </x:c>
      <x:c r="B1961" s="71" t="str">
        <x:v>System</x:v>
      </x:c>
      <x:c r="C1961" s="71" t="str">
        <x:v>Shared recovery / system</x:v>
      </x:c>
      <x:c r="D1961" s="71" t="str">
        <x:v>Shared</x:v>
      </x:c>
      <x:c r="E1961" s="71" t="str">
        <x:v>entrySourcesByCountry</x:v>
      </x:c>
      <x:c r="F1961" s="71" t="str">
        <x:v>Default</x:v>
      </x:c>
      <x:c r="G1961" s="71" t="str">
        <x:v>Label</x:v>
      </x:c>
      <x:c r="H1961" s="71" t="str">
        <x:v>Vietnam e-Visa</x:v>
      </x:c>
      <x:c r="I1961" s="71" t="str">
        <x:v>Vietnam e-Visa</x:v>
      </x:c>
      <x:c r="J1961" s="73"/>
      <x:c r="K1961" s="74" t="str">
        <x:f>IF(J1961="",H1961,IF(J1961=I1961,I1961,J1961))</x:f>
        <x:v>Vietnam e-Visa</x:v>
      </x:c>
      <x:c r="L1961" s="74" t="str">
        <x:f>IF(J1961="","Keep current",IF(J1961=I1961,"Use suggestion","Custom"))</x:f>
        <x:v>Keep current</x:v>
      </x:c>
      <x:c r="M1961" s="71" t="str">
        <x:v>Pending review</x:v>
      </x:c>
      <x:c r="N1961" s="71" t="str">
        <x:v>High</x:v>
      </x:c>
      <x:c r="O1961" s="71" t="str">
        <x:v>lib/easyt/travel-readiness.ts</x:v>
      </x:c>
      <x:c r="P1961" s="71" t="str">
        <x:v>entrySourcesByCountry:80</x:v>
      </x:c>
      <x:c r="Q1961" s="71" t="str">
        <x:v>EN (default / shared)</x:v>
      </x:c>
      <x:c r="R1961" s="71" t="str">
        <x:v>Already clear and direct; suggested wording intentionally keeps the current copy.</x:v>
      </x:c>
      <x:c r="S1961" s="75" t="str">
        <x:v>Not applied — review required</x:v>
      </x:c>
    </x:row>
    <x:row r="1962">
      <x:c r="A1962" s="71" t="str">
        <x:v>MRV-67B058629F</x:v>
      </x:c>
      <x:c r="B1962" s="71" t="str">
        <x:v>System</x:v>
      </x:c>
      <x:c r="C1962" s="71" t="str">
        <x:v>Shared recovery / system</x:v>
      </x:c>
      <x:c r="D1962" s="71" t="str">
        <x:v>Shared</x:v>
      </x:c>
      <x:c r="E1962" s="71" t="str">
        <x:v>entrySourcesByCountry</x:v>
      </x:c>
      <x:c r="F1962" s="71" t="str">
        <x:v>Default</x:v>
      </x:c>
      <x:c r="G1962" s="71" t="str">
        <x:v>Body copy</x:v>
      </x:c>
      <x:c r="H1962" s="71" t="str">
        <x:v>Antigua and Barbuda Immigration Department</x:v>
      </x:c>
      <x:c r="I1962" s="71" t="str">
        <x:v>Antigua and Barbuda Immigration Department</x:v>
      </x:c>
      <x:c r="J1962" s="73"/>
      <x:c r="K1962" s="74" t="str">
        <x:f>IF(J1962="",H1962,IF(J1962=I1962,I1962,J1962))</x:f>
        <x:v>Antigua and Barbuda Immigration Department</x:v>
      </x:c>
      <x:c r="L1962" s="74" t="str">
        <x:f>IF(J1962="","Keep current",IF(J1962=I1962,"Use suggestion","Custom"))</x:f>
        <x:v>Keep current</x:v>
      </x:c>
      <x:c r="M1962" s="71" t="str">
        <x:v>Pending review</x:v>
      </x:c>
      <x:c r="N1962" s="71" t="str">
        <x:v>Normal</x:v>
      </x:c>
      <x:c r="O1962" s="71" t="str">
        <x:v>lib/easyt/travel-readiness.ts</x:v>
      </x:c>
      <x:c r="P1962" s="71" t="str">
        <x:v>entrySourcesByCountry:81</x:v>
      </x:c>
      <x:c r="Q1962" s="71" t="str">
        <x:v>EN (default / shared)</x:v>
      </x:c>
      <x:c r="R1962" s="71" t="str">
        <x:v>Already clear and direct; suggested wording intentionally keeps the current copy.</x:v>
      </x:c>
      <x:c r="S1962" s="75" t="str">
        <x:v>Not applied — review required</x:v>
      </x:c>
    </x:row>
    <x:row r="1963">
      <x:c r="A1963" s="71" t="str">
        <x:v>MRV-48C4B7BE65</x:v>
      </x:c>
      <x:c r="B1963" s="71" t="str">
        <x:v>System</x:v>
      </x:c>
      <x:c r="C1963" s="71" t="str">
        <x:v>Shared recovery / system</x:v>
      </x:c>
      <x:c r="D1963" s="71" t="str">
        <x:v>Shared</x:v>
      </x:c>
      <x:c r="E1963" s="71" t="str">
        <x:v>entrySourcesByCountry</x:v>
      </x:c>
      <x:c r="F1963" s="71" t="str">
        <x:v>Default</x:v>
      </x:c>
      <x:c r="G1963" s="71" t="str">
        <x:v>CTA / button</x:v>
      </x:c>
      <x:c r="H1963" s="71" t="str">
        <x:v>Government of The Bahamas – Visa information</x:v>
      </x:c>
      <x:c r="I1963" s="71" t="str">
        <x:v>Government of The Bahamas – Visa information</x:v>
      </x:c>
      <x:c r="J1963" s="73"/>
      <x:c r="K1963" s="74" t="str">
        <x:f>IF(J1963="",H1963,IF(J1963=I1963,I1963,J1963))</x:f>
        <x:v>Government of The Bahamas – Visa information</x:v>
      </x:c>
      <x:c r="L1963" s="74" t="str">
        <x:f>IF(J1963="","Keep current",IF(J1963=I1963,"Use suggestion","Custom"))</x:f>
        <x:v>Keep current</x:v>
      </x:c>
      <x:c r="M1963" s="71" t="str">
        <x:v>Pending review</x:v>
      </x:c>
      <x:c r="N1963" s="71" t="str">
        <x:v>High</x:v>
      </x:c>
      <x:c r="O1963" s="71" t="str">
        <x:v>lib/easyt/travel-readiness.ts</x:v>
      </x:c>
      <x:c r="P1963" s="71" t="str">
        <x:v>entrySourcesByCountry:82</x:v>
      </x:c>
      <x:c r="Q1963" s="71" t="str">
        <x:v>EN (default / shared)</x:v>
      </x:c>
      <x:c r="R1963" s="71" t="str">
        <x:v>Already clear and direct; suggested wording intentionally keeps the current copy.</x:v>
      </x:c>
      <x:c r="S1963" s="75" t="str">
        <x:v>Not applied — review required</x:v>
      </x:c>
    </x:row>
    <x:row r="1964">
      <x:c r="A1964" s="71" t="str">
        <x:v>MRV-045D9DC2A2</x:v>
      </x:c>
      <x:c r="B1964" s="71" t="str">
        <x:v>System</x:v>
      </x:c>
      <x:c r="C1964" s="71" t="str">
        <x:v>Shared recovery / system</x:v>
      </x:c>
      <x:c r="D1964" s="71" t="str">
        <x:v>Shared</x:v>
      </x:c>
      <x:c r="E1964" s="71" t="str">
        <x:v>entrySourcesByCountry</x:v>
      </x:c>
      <x:c r="F1964" s="71" t="str">
        <x:v>Default</x:v>
      </x:c>
      <x:c r="G1964" s="71" t="str">
        <x:v>Body copy</x:v>
      </x:c>
      <x:c r="H1964" s="71" t="str">
        <x:v>Barbados Immigration Department</x:v>
      </x:c>
      <x:c r="I1964" s="71" t="str">
        <x:v>Barbados Immigration Department</x:v>
      </x:c>
      <x:c r="J1964" s="73"/>
      <x:c r="K1964" s="74" t="str">
        <x:f>IF(J1964="",H1964,IF(J1964=I1964,I1964,J1964))</x:f>
        <x:v>Barbados Immigration Department</x:v>
      </x:c>
      <x:c r="L1964" s="74" t="str">
        <x:f>IF(J1964="","Keep current",IF(J1964=I1964,"Use suggestion","Custom"))</x:f>
        <x:v>Keep current</x:v>
      </x:c>
      <x:c r="M1964" s="71" t="str">
        <x:v>Pending review</x:v>
      </x:c>
      <x:c r="N1964" s="71" t="str">
        <x:v>Normal</x:v>
      </x:c>
      <x:c r="O1964" s="71" t="str">
        <x:v>lib/easyt/travel-readiness.ts</x:v>
      </x:c>
      <x:c r="P1964" s="71" t="str">
        <x:v>entrySourcesByCountry:83</x:v>
      </x:c>
      <x:c r="Q1964" s="71" t="str">
        <x:v>EN (default / shared)</x:v>
      </x:c>
      <x:c r="R1964" s="71" t="str">
        <x:v>Already clear and direct; suggested wording intentionally keeps the current copy.</x:v>
      </x:c>
      <x:c r="S1964" s="75" t="str">
        <x:v>Not applied — review required</x:v>
      </x:c>
    </x:row>
    <x:row r="1965">
      <x:c r="A1965" s="71" t="str">
        <x:v>MRV-E364A88DDF</x:v>
      </x:c>
      <x:c r="B1965" s="71" t="str">
        <x:v>System</x:v>
      </x:c>
      <x:c r="C1965" s="71" t="str">
        <x:v>Shared recovery / system</x:v>
      </x:c>
      <x:c r="D1965" s="71" t="str">
        <x:v>Shared</x:v>
      </x:c>
      <x:c r="E1965" s="71" t="str">
        <x:v>entrySourcesByCountry</x:v>
      </x:c>
      <x:c r="F1965" s="71" t="str">
        <x:v>Default</x:v>
      </x:c>
      <x:c r="G1965" s="71" t="str">
        <x:v>Body copy</x:v>
      </x:c>
      <x:c r="H1965" s="71" t="str">
        <x:v>Belize Immigration Department</x:v>
      </x:c>
      <x:c r="I1965" s="71" t="str">
        <x:v>Belize Immigration Department</x:v>
      </x:c>
      <x:c r="J1965" s="73"/>
      <x:c r="K1965" s="74" t="str">
        <x:f>IF(J1965="",H1965,IF(J1965=I1965,I1965,J1965))</x:f>
        <x:v>Belize Immigration Department</x:v>
      </x:c>
      <x:c r="L1965" s="74" t="str">
        <x:f>IF(J1965="","Keep current",IF(J1965=I1965,"Use suggestion","Custom"))</x:f>
        <x:v>Keep current</x:v>
      </x:c>
      <x:c r="M1965" s="71" t="str">
        <x:v>Pending review</x:v>
      </x:c>
      <x:c r="N1965" s="71" t="str">
        <x:v>Normal</x:v>
      </x:c>
      <x:c r="O1965" s="71" t="str">
        <x:v>lib/easyt/travel-readiness.ts</x:v>
      </x:c>
      <x:c r="P1965" s="71" t="str">
        <x:v>entrySourcesByCountry:84</x:v>
      </x:c>
      <x:c r="Q1965" s="71" t="str">
        <x:v>EN (default / shared)</x:v>
      </x:c>
      <x:c r="R1965" s="71" t="str">
        <x:v>Already clear and direct; suggested wording intentionally keeps the current copy.</x:v>
      </x:c>
      <x:c r="S1965" s="75" t="str">
        <x:v>Not applied — review required</x:v>
      </x:c>
    </x:row>
    <x:row r="1966">
      <x:c r="A1966" s="71" t="str">
        <x:v>MRV-53D4E9BEF6</x:v>
      </x:c>
      <x:c r="B1966" s="71" t="str">
        <x:v>System</x:v>
      </x:c>
      <x:c r="C1966" s="71" t="str">
        <x:v>Shared recovery / system</x:v>
      </x:c>
      <x:c r="D1966" s="71" t="str">
        <x:v>Shared</x:v>
      </x:c>
      <x:c r="E1966" s="71" t="str">
        <x:v>entrySourcesByCountry</x:v>
      </x:c>
      <x:c r="F1966" s="71" t="str">
        <x:v>Default</x:v>
      </x:c>
      <x:c r="G1966" s="71" t="str">
        <x:v>Body copy</x:v>
      </x:c>
      <x:c r="H1966" s="71" t="str">
        <x:v>Botswana Government – Visa information</x:v>
      </x:c>
      <x:c r="I1966" s="71" t="str">
        <x:v>Botswana Government – Visa information</x:v>
      </x:c>
      <x:c r="J1966" s="73"/>
      <x:c r="K1966" s="74" t="str">
        <x:f>IF(J1966="",H1966,IF(J1966=I1966,I1966,J1966))</x:f>
        <x:v>Botswana Government – Visa information</x:v>
      </x:c>
      <x:c r="L1966" s="74" t="str">
        <x:f>IF(J1966="","Keep current",IF(J1966=I1966,"Use suggestion","Custom"))</x:f>
        <x:v>Keep current</x:v>
      </x:c>
      <x:c r="M1966" s="71" t="str">
        <x:v>Pending review</x:v>
      </x:c>
      <x:c r="N1966" s="71" t="str">
        <x:v>High</x:v>
      </x:c>
      <x:c r="O1966" s="71" t="str">
        <x:v>lib/easyt/travel-readiness.ts</x:v>
      </x:c>
      <x:c r="P1966" s="71" t="str">
        <x:v>entrySourcesByCountry:85</x:v>
      </x:c>
      <x:c r="Q1966" s="71" t="str">
        <x:v>EN (default / shared)</x:v>
      </x:c>
      <x:c r="R1966" s="71" t="str">
        <x:v>Already clear and direct; suggested wording intentionally keeps the current copy.</x:v>
      </x:c>
      <x:c r="S1966" s="75" t="str">
        <x:v>Not applied — review required</x:v>
      </x:c>
    </x:row>
    <x:row r="1967">
      <x:c r="A1967" s="71" t="str">
        <x:v>MRV-77F99FF5DE</x:v>
      </x:c>
      <x:c r="B1967" s="71" t="str">
        <x:v>System</x:v>
      </x:c>
      <x:c r="C1967" s="71" t="str">
        <x:v>Shared recovery / system</x:v>
      </x:c>
      <x:c r="D1967" s="71" t="str">
        <x:v>Shared</x:v>
      </x:c>
      <x:c r="E1967" s="71" t="str">
        <x:v>entrySourcesByCountry</x:v>
      </x:c>
      <x:c r="F1967" s="71" t="str">
        <x:v>Default</x:v>
      </x:c>
      <x:c r="G1967" s="71" t="str">
        <x:v>Label</x:v>
      </x:c>
      <x:c r="H1967" s="71" t="str">
        <x:v>Danish Immigration Service</x:v>
      </x:c>
      <x:c r="I1967" s="71" t="str">
        <x:v>Danish Immigration Service</x:v>
      </x:c>
      <x:c r="J1967" s="73"/>
      <x:c r="K1967" s="74" t="str">
        <x:f>IF(J1967="",H1967,IF(J1967=I1967,I1967,J1967))</x:f>
        <x:v>Danish Immigration Service</x:v>
      </x:c>
      <x:c r="L1967" s="74" t="str">
        <x:f>IF(J1967="","Keep current",IF(J1967=I1967,"Use suggestion","Custom"))</x:f>
        <x:v>Keep current</x:v>
      </x:c>
      <x:c r="M1967" s="71" t="str">
        <x:v>Pending review</x:v>
      </x:c>
      <x:c r="N1967" s="71" t="str">
        <x:v>Normal</x:v>
      </x:c>
      <x:c r="O1967" s="71" t="str">
        <x:v>lib/easyt/travel-readiness.ts</x:v>
      </x:c>
      <x:c r="P1967" s="71" t="str">
        <x:v>entrySourcesByCountry:86</x:v>
      </x:c>
      <x:c r="Q1967" s="71" t="str">
        <x:v>EN (default / shared)</x:v>
      </x:c>
      <x:c r="R1967" s="71" t="str">
        <x:v>Already clear and direct; suggested wording intentionally keeps the current copy.</x:v>
      </x:c>
      <x:c r="S1967" s="75" t="str">
        <x:v>Not applied — review required</x:v>
      </x:c>
    </x:row>
    <x:row r="1968">
      <x:c r="A1968" s="71" t="str">
        <x:v>MRV-1489DBF0C7</x:v>
      </x:c>
      <x:c r="B1968" s="71" t="str">
        <x:v>System</x:v>
      </x:c>
      <x:c r="C1968" s="71" t="str">
        <x:v>Shared recovery / system</x:v>
      </x:c>
      <x:c r="D1968" s="71" t="str">
        <x:v>Shared</x:v>
      </x:c>
      <x:c r="E1968" s="71" t="str">
        <x:v>entrySourcesByCountry</x:v>
      </x:c>
      <x:c r="F1968" s="71" t="str">
        <x:v>Default</x:v>
      </x:c>
      <x:c r="G1968" s="71" t="str">
        <x:v>CTA / button</x:v>
      </x:c>
      <x:c r="H1968" s="71" t="str">
        <x:v>Government of Dominica – Visa services</x:v>
      </x:c>
      <x:c r="I1968" s="71" t="str">
        <x:v>Government of Dominica – Visa services</x:v>
      </x:c>
      <x:c r="J1968" s="73"/>
      <x:c r="K1968" s="74" t="str">
        <x:f>IF(J1968="",H1968,IF(J1968=I1968,I1968,J1968))</x:f>
        <x:v>Government of Dominica – Visa services</x:v>
      </x:c>
      <x:c r="L1968" s="74" t="str">
        <x:f>IF(J1968="","Keep current",IF(J1968=I1968,"Use suggestion","Custom"))</x:f>
        <x:v>Keep current</x:v>
      </x:c>
      <x:c r="M1968" s="71" t="str">
        <x:v>Pending review</x:v>
      </x:c>
      <x:c r="N1968" s="71" t="str">
        <x:v>High</x:v>
      </x:c>
      <x:c r="O1968" s="71" t="str">
        <x:v>lib/easyt/travel-readiness.ts</x:v>
      </x:c>
      <x:c r="P1968" s="71" t="str">
        <x:v>entrySourcesByCountry:87</x:v>
      </x:c>
      <x:c r="Q1968" s="71" t="str">
        <x:v>EN (default / shared)</x:v>
      </x:c>
      <x:c r="R1968" s="71" t="str">
        <x:v>Already clear and direct; suggested wording intentionally keeps the current copy.</x:v>
      </x:c>
      <x:c r="S1968" s="75" t="str">
        <x:v>Not applied — review required</x:v>
      </x:c>
    </x:row>
    <x:row r="1969">
      <x:c r="A1969" s="71" t="str">
        <x:v>MRV-F5C465AE66</x:v>
      </x:c>
      <x:c r="B1969" s="71" t="str">
        <x:v>System</x:v>
      </x:c>
      <x:c r="C1969" s="71" t="str">
        <x:v>Shared recovery / system</x:v>
      </x:c>
      <x:c r="D1969" s="71" t="str">
        <x:v>Shared</x:v>
      </x:c>
      <x:c r="E1969" s="71" t="str">
        <x:v>entrySourcesByCountry</x:v>
      </x:c>
      <x:c r="F1969" s="71" t="str">
        <x:v>Default</x:v>
      </x:c>
      <x:c r="G1969" s="71" t="str">
        <x:v>Label</x:v>
      </x:c>
      <x:c r="H1969" s="71" t="str">
        <x:v>Finnish Immigration Service</x:v>
      </x:c>
      <x:c r="I1969" s="71" t="str">
        <x:v>Finnish Immigration Service</x:v>
      </x:c>
      <x:c r="J1969" s="73"/>
      <x:c r="K1969" s="74" t="str">
        <x:f>IF(J1969="",H1969,IF(J1969=I1969,I1969,J1969))</x:f>
        <x:v>Finnish Immigration Service</x:v>
      </x:c>
      <x:c r="L1969" s="74" t="str">
        <x:f>IF(J1969="","Keep current",IF(J1969=I1969,"Use suggestion","Custom"))</x:f>
        <x:v>Keep current</x:v>
      </x:c>
      <x:c r="M1969" s="71" t="str">
        <x:v>Pending review</x:v>
      </x:c>
      <x:c r="N1969" s="71" t="str">
        <x:v>Normal</x:v>
      </x:c>
      <x:c r="O1969" s="71" t="str">
        <x:v>lib/easyt/travel-readiness.ts</x:v>
      </x:c>
      <x:c r="P1969" s="71" t="str">
        <x:v>entrySourcesByCountry:88</x:v>
      </x:c>
      <x:c r="Q1969" s="71" t="str">
        <x:v>EN (default / shared)</x:v>
      </x:c>
      <x:c r="R1969" s="71" t="str">
        <x:v>Already clear and direct; suggested wording intentionally keeps the current copy.</x:v>
      </x:c>
      <x:c r="S1969" s="75" t="str">
        <x:v>Not applied — review required</x:v>
      </x:c>
    </x:row>
    <x:row r="1970">
      <x:c r="A1970" s="71" t="str">
        <x:v>MRV-1033DBBF72</x:v>
      </x:c>
      <x:c r="B1970" s="71" t="str">
        <x:v>System</x:v>
      </x:c>
      <x:c r="C1970" s="71" t="str">
        <x:v>Shared recovery / system</x:v>
      </x:c>
      <x:c r="D1970" s="71" t="str">
        <x:v>Shared</x:v>
      </x:c>
      <x:c r="E1970" s="71" t="str">
        <x:v>entrySourcesByCountry</x:v>
      </x:c>
      <x:c r="F1970" s="71" t="str">
        <x:v>Default</x:v>
      </x:c>
      <x:c r="G1970" s="71" t="str">
        <x:v>Label</x:v>
      </x:c>
      <x:c r="H1970" s="71" t="str">
        <x:v>Ghana Immigration Service</x:v>
      </x:c>
      <x:c r="I1970" s="71" t="str">
        <x:v>Ghana Immigration Service</x:v>
      </x:c>
      <x:c r="J1970" s="73"/>
      <x:c r="K1970" s="74" t="str">
        <x:f>IF(J1970="",H1970,IF(J1970=I1970,I1970,J1970))</x:f>
        <x:v>Ghana Immigration Service</x:v>
      </x:c>
      <x:c r="L1970" s="74" t="str">
        <x:f>IF(J1970="","Keep current",IF(J1970=I1970,"Use suggestion","Custom"))</x:f>
        <x:v>Keep current</x:v>
      </x:c>
      <x:c r="M1970" s="71" t="str">
        <x:v>Pending review</x:v>
      </x:c>
      <x:c r="N1970" s="71" t="str">
        <x:v>Normal</x:v>
      </x:c>
      <x:c r="O1970" s="71" t="str">
        <x:v>lib/easyt/travel-readiness.ts</x:v>
      </x:c>
      <x:c r="P1970" s="71" t="str">
        <x:v>entrySourcesByCountry:89</x:v>
      </x:c>
      <x:c r="Q1970" s="71" t="str">
        <x:v>EN (default / shared)</x:v>
      </x:c>
      <x:c r="R1970" s="71" t="str">
        <x:v>Already clear and direct; suggested wording intentionally keeps the current copy.</x:v>
      </x:c>
      <x:c r="S1970" s="75" t="str">
        <x:v>Not applied — review required</x:v>
      </x:c>
    </x:row>
    <x:row r="1971">
      <x:c r="A1971" s="71" t="str">
        <x:v>MRV-E78A9E1EDD</x:v>
      </x:c>
      <x:c r="B1971" s="71" t="str">
        <x:v>System</x:v>
      </x:c>
      <x:c r="C1971" s="71" t="str">
        <x:v>Shared recovery / system</x:v>
      </x:c>
      <x:c r="D1971" s="71" t="str">
        <x:v>Shared</x:v>
      </x:c>
      <x:c r="E1971" s="71" t="str">
        <x:v>entrySourcesByCountry</x:v>
      </x:c>
      <x:c r="F1971" s="71" t="str">
        <x:v>Default</x:v>
      </x:c>
      <x:c r="G1971" s="71" t="str">
        <x:v>CTA / button</x:v>
      </x:c>
      <x:c r="H1971" s="71" t="str">
        <x:v>Government of Grenada – Immigration</x:v>
      </x:c>
      <x:c r="I1971" s="71" t="str">
        <x:v>Government of Grenada – Immigration</x:v>
      </x:c>
      <x:c r="J1971" s="73"/>
      <x:c r="K1971" s="74" t="str">
        <x:f>IF(J1971="",H1971,IF(J1971=I1971,I1971,J1971))</x:f>
        <x:v>Government of Grenada – Immigration</x:v>
      </x:c>
      <x:c r="L1971" s="74" t="str">
        <x:f>IF(J1971="","Keep current",IF(J1971=I1971,"Use suggestion","Custom"))</x:f>
        <x:v>Keep current</x:v>
      </x:c>
      <x:c r="M1971" s="71" t="str">
        <x:v>Pending review</x:v>
      </x:c>
      <x:c r="N1971" s="71" t="str">
        <x:v>Medium</x:v>
      </x:c>
      <x:c r="O1971" s="71" t="str">
        <x:v>lib/easyt/travel-readiness.ts</x:v>
      </x:c>
      <x:c r="P1971" s="71" t="str">
        <x:v>entrySourcesByCountry:90</x:v>
      </x:c>
      <x:c r="Q1971" s="71" t="str">
        <x:v>EN (default / shared)</x:v>
      </x:c>
      <x:c r="R1971" s="71" t="str">
        <x:v>Already clear and direct; suggested wording intentionally keeps the current copy.</x:v>
      </x:c>
      <x:c r="S1971" s="75" t="str">
        <x:v>Not applied — review required</x:v>
      </x:c>
    </x:row>
    <x:row r="1972">
      <x:c r="A1972" s="71" t="str">
        <x:v>MRV-7B59F62A2A</x:v>
      </x:c>
      <x:c r="B1972" s="71" t="str">
        <x:v>System</x:v>
      </x:c>
      <x:c r="C1972" s="71" t="str">
        <x:v>Shared recovery / system</x:v>
      </x:c>
      <x:c r="D1972" s="71" t="str">
        <x:v>Shared</x:v>
      </x:c>
      <x:c r="E1972" s="71" t="str">
        <x:v>entrySourcesByCountry</x:v>
      </x:c>
      <x:c r="F1972" s="71" t="str">
        <x:v>Default</x:v>
      </x:c>
      <x:c r="G1972" s="71" t="str">
        <x:v>CTA / button</x:v>
      </x:c>
      <x:c r="H1972" s="71" t="str">
        <x:v>Government of Guyana – Visa information</x:v>
      </x:c>
      <x:c r="I1972" s="71" t="str">
        <x:v>Government of Guyana – Visa information</x:v>
      </x:c>
      <x:c r="J1972" s="73"/>
      <x:c r="K1972" s="74" t="str">
        <x:f>IF(J1972="",H1972,IF(J1972=I1972,I1972,J1972))</x:f>
        <x:v>Government of Guyana – Visa information</x:v>
      </x:c>
      <x:c r="L1972" s="74" t="str">
        <x:f>IF(J1972="","Keep current",IF(J1972=I1972,"Use suggestion","Custom"))</x:f>
        <x:v>Keep current</x:v>
      </x:c>
      <x:c r="M1972" s="71" t="str">
        <x:v>Pending review</x:v>
      </x:c>
      <x:c r="N1972" s="71" t="str">
        <x:v>High</x:v>
      </x:c>
      <x:c r="O1972" s="71" t="str">
        <x:v>lib/easyt/travel-readiness.ts</x:v>
      </x:c>
      <x:c r="P1972" s="71" t="str">
        <x:v>entrySourcesByCountry:91</x:v>
      </x:c>
      <x:c r="Q1972" s="71" t="str">
        <x:v>EN (default / shared)</x:v>
      </x:c>
      <x:c r="R1972" s="71" t="str">
        <x:v>Already clear and direct; suggested wording intentionally keeps the current copy.</x:v>
      </x:c>
      <x:c r="S1972" s="75" t="str">
        <x:v>Not applied — review required</x:v>
      </x:c>
    </x:row>
    <x:row r="1973">
      <x:c r="A1973" s="71" t="str">
        <x:v>MRV-3518BC9B45</x:v>
      </x:c>
      <x:c r="B1973" s="71" t="str">
        <x:v>System</x:v>
      </x:c>
      <x:c r="C1973" s="71" t="str">
        <x:v>Shared recovery / system</x:v>
      </x:c>
      <x:c r="D1973" s="71" t="str">
        <x:v>Shared</x:v>
      </x:c>
      <x:c r="E1973" s="71" t="str">
        <x:v>entrySourcesByCountry</x:v>
      </x:c>
      <x:c r="F1973" s="71" t="str">
        <x:v>Default</x:v>
      </x:c>
      <x:c r="G1973" s="71" t="str">
        <x:v>Label</x:v>
      </x:c>
      <x:c r="H1973" s="71" t="str">
        <x:v>Irish Immigration Service</x:v>
      </x:c>
      <x:c r="I1973" s="71" t="str">
        <x:v>Irish Immigration Service</x:v>
      </x:c>
      <x:c r="J1973" s="73"/>
      <x:c r="K1973" s="74" t="str">
        <x:f>IF(J1973="",H1973,IF(J1973=I1973,I1973,J1973))</x:f>
        <x:v>Irish Immigration Service</x:v>
      </x:c>
      <x:c r="L1973" s="74" t="str">
        <x:f>IF(J1973="","Keep current",IF(J1973=I1973,"Use suggestion","Custom"))</x:f>
        <x:v>Keep current</x:v>
      </x:c>
      <x:c r="M1973" s="71" t="str">
        <x:v>Pending review</x:v>
      </x:c>
      <x:c r="N1973" s="71" t="str">
        <x:v>Normal</x:v>
      </x:c>
      <x:c r="O1973" s="71" t="str">
        <x:v>lib/easyt/travel-readiness.ts</x:v>
      </x:c>
      <x:c r="P1973" s="71" t="str">
        <x:v>entrySourcesByCountry:92</x:v>
      </x:c>
      <x:c r="Q1973" s="71" t="str">
        <x:v>EN (default / shared)</x:v>
      </x:c>
      <x:c r="R1973" s="71" t="str">
        <x:v>Already clear and direct; suggested wording intentionally keeps the current copy.</x:v>
      </x:c>
      <x:c r="S1973" s="75" t="str">
        <x:v>Not applied — review required</x:v>
      </x:c>
    </x:row>
    <x:row r="1974">
      <x:c r="A1974" s="71" t="str">
        <x:v>MRV-85325F0EDF</x:v>
      </x:c>
      <x:c r="B1974" s="71" t="str">
        <x:v>System</x:v>
      </x:c>
      <x:c r="C1974" s="71" t="str">
        <x:v>Shared recovery / system</x:v>
      </x:c>
      <x:c r="D1974" s="71" t="str">
        <x:v>Shared</x:v>
      </x:c>
      <x:c r="E1974" s="71" t="str">
        <x:v>entrySourcesByCountry</x:v>
      </x:c>
      <x:c r="F1974" s="71" t="str">
        <x:v>Default</x:v>
      </x:c>
      <x:c r="G1974" s="71" t="str">
        <x:v>Body copy</x:v>
      </x:c>
      <x:c r="H1974" s="71" t="str">
        <x:v>Jamaica Passport, Immigration and Citizenship Agency</x:v>
      </x:c>
      <x:c r="I1974" s="71" t="str">
        <x:v>Jamaica Passport, Immigration and Citizenship Agency</x:v>
      </x:c>
      <x:c r="J1974" s="73"/>
      <x:c r="K1974" s="74" t="str">
        <x:f>IF(J1974="",H1974,IF(J1974=I1974,I1974,J1974))</x:f>
        <x:v>Jamaica Passport, Immigration and Citizenship Agency</x:v>
      </x:c>
      <x:c r="L1974" s="74" t="str">
        <x:f>IF(J1974="","Keep current",IF(J1974=I1974,"Use suggestion","Custom"))</x:f>
        <x:v>Keep current</x:v>
      </x:c>
      <x:c r="M1974" s="71" t="str">
        <x:v>Pending review</x:v>
      </x:c>
      <x:c r="N1974" s="71" t="str">
        <x:v>High</x:v>
      </x:c>
      <x:c r="O1974" s="71" t="str">
        <x:v>lib/easyt/travel-readiness.ts</x:v>
      </x:c>
      <x:c r="P1974" s="71" t="str">
        <x:v>entrySourcesByCountry:93</x:v>
      </x:c>
      <x:c r="Q1974" s="71" t="str">
        <x:v>EN (default / shared)</x:v>
      </x:c>
      <x:c r="R1974" s="71" t="str">
        <x:v>Already clear and direct; suggested wording intentionally keeps the current copy.</x:v>
      </x:c>
      <x:c r="S1974" s="75" t="str">
        <x:v>Not applied — review required</x:v>
      </x:c>
    </x:row>
    <x:row r="1975">
      <x:c r="A1975" s="71" t="str">
        <x:v>MRV-05653B7DB0</x:v>
      </x:c>
      <x:c r="B1975" s="71" t="str">
        <x:v>System</x:v>
      </x:c>
      <x:c r="C1975" s="71" t="str">
        <x:v>Shared recovery / system</x:v>
      </x:c>
      <x:c r="D1975" s="71" t="str">
        <x:v>Shared</x:v>
      </x:c>
      <x:c r="E1975" s="71" t="str">
        <x:v>entrySourcesByCountry</x:v>
      </x:c>
      <x:c r="F1975" s="71" t="str">
        <x:v>Default</x:v>
      </x:c>
      <x:c r="G1975" s="71" t="str">
        <x:v>Body copy</x:v>
      </x:c>
      <x:c r="H1975" s="71" t="str">
        <x:v>Kenya Electronic Travel Authorisation</x:v>
      </x:c>
      <x:c r="I1975" s="71" t="str">
        <x:v>Kenya Electronic Travel Authorisation</x:v>
      </x:c>
      <x:c r="J1975" s="73"/>
      <x:c r="K1975" s="74" t="str">
        <x:f>IF(J1975="",H1975,IF(J1975=I1975,I1975,J1975))</x:f>
        <x:v>Kenya Electronic Travel Authorisation</x:v>
      </x:c>
      <x:c r="L1975" s="74" t="str">
        <x:f>IF(J1975="","Keep current",IF(J1975=I1975,"Use suggestion","Custom"))</x:f>
        <x:v>Keep current</x:v>
      </x:c>
      <x:c r="M1975" s="71" t="str">
        <x:v>Pending review</x:v>
      </x:c>
      <x:c r="N1975" s="71" t="str">
        <x:v>Normal</x:v>
      </x:c>
      <x:c r="O1975" s="71" t="str">
        <x:v>lib/easyt/travel-readiness.ts</x:v>
      </x:c>
      <x:c r="P1975" s="71" t="str">
        <x:v>entrySourcesByCountry:94</x:v>
      </x:c>
      <x:c r="Q1975" s="71" t="str">
        <x:v>EN (default / shared)</x:v>
      </x:c>
      <x:c r="R1975" s="71" t="str">
        <x:v>Already clear and direct; suggested wording intentionally keeps the current copy.</x:v>
      </x:c>
      <x:c r="S1975" s="75" t="str">
        <x:v>Not applied — review required</x:v>
      </x:c>
    </x:row>
    <x:row r="1976">
      <x:c r="A1976" s="71" t="str">
        <x:v>MRV-E94B95F957</x:v>
      </x:c>
      <x:c r="B1976" s="71" t="str">
        <x:v>System</x:v>
      </x:c>
      <x:c r="C1976" s="71" t="str">
        <x:v>Shared recovery / system</x:v>
      </x:c>
      <x:c r="D1976" s="71" t="str">
        <x:v>Shared</x:v>
      </x:c>
      <x:c r="E1976" s="71" t="str">
        <x:v>entrySourcesByCountry</x:v>
      </x:c>
      <x:c r="F1976" s="71" t="str">
        <x:v>Default</x:v>
      </x:c>
      <x:c r="G1976" s="71" t="str">
        <x:v>Body copy</x:v>
      </x:c>
      <x:c r="H1976" s="71" t="str">
        <x:v>Malta Identità – Visa information</x:v>
      </x:c>
      <x:c r="I1976" s="71" t="str">
        <x:v>Malta Identità – Visa information</x:v>
      </x:c>
      <x:c r="J1976" s="73"/>
      <x:c r="K1976" s="74" t="str">
        <x:f>IF(J1976="",H1976,IF(J1976=I1976,I1976,J1976))</x:f>
        <x:v>Malta Identità – Visa information</x:v>
      </x:c>
      <x:c r="L1976" s="74" t="str">
        <x:f>IF(J1976="","Keep current",IF(J1976=I1976,"Use suggestion","Custom"))</x:f>
        <x:v>Keep current</x:v>
      </x:c>
      <x:c r="M1976" s="71" t="str">
        <x:v>Pending review</x:v>
      </x:c>
      <x:c r="N1976" s="71" t="str">
        <x:v>High</x:v>
      </x:c>
      <x:c r="O1976" s="71" t="str">
        <x:v>lib/easyt/travel-readiness.ts</x:v>
      </x:c>
      <x:c r="P1976" s="71" t="str">
        <x:v>entrySourcesByCountry:95</x:v>
      </x:c>
      <x:c r="Q1976" s="71" t="str">
        <x:v>EN (default / shared)</x:v>
      </x:c>
      <x:c r="R1976" s="71" t="str">
        <x:v>Already clear and direct; suggested wording intentionally keeps the current copy.</x:v>
      </x:c>
      <x:c r="S1976" s="75" t="str">
        <x:v>Not applied — review required</x:v>
      </x:c>
    </x:row>
    <x:row r="1977">
      <x:c r="A1977" s="71" t="str">
        <x:v>MRV-8F3101D6A1</x:v>
      </x:c>
      <x:c r="B1977" s="71" t="str">
        <x:v>System</x:v>
      </x:c>
      <x:c r="C1977" s="71" t="str">
        <x:v>Shared recovery / system</x:v>
      </x:c>
      <x:c r="D1977" s="71" t="str">
        <x:v>Shared</x:v>
      </x:c>
      <x:c r="E1977" s="71" t="str">
        <x:v>entrySourcesByCountry</x:v>
      </x:c>
      <x:c r="F1977" s="71" t="str">
        <x:v>Default</x:v>
      </x:c>
      <x:c r="G1977" s="71" t="str">
        <x:v>Label</x:v>
      </x:c>
      <x:c r="H1977" s="71" t="str">
        <x:v>Immigration New Zealand</x:v>
      </x:c>
      <x:c r="I1977" s="71" t="str">
        <x:v>Immigration New Zealand</x:v>
      </x:c>
      <x:c r="J1977" s="73"/>
      <x:c r="K1977" s="74" t="str">
        <x:f>IF(J1977="",H1977,IF(J1977=I1977,I1977,J1977))</x:f>
        <x:v>Immigration New Zealand</x:v>
      </x:c>
      <x:c r="L1977" s="74" t="str">
        <x:f>IF(J1977="","Keep current",IF(J1977=I1977,"Use suggestion","Custom"))</x:f>
        <x:v>Keep current</x:v>
      </x:c>
      <x:c r="M1977" s="71" t="str">
        <x:v>Pending review</x:v>
      </x:c>
      <x:c r="N1977" s="71" t="str">
        <x:v>Normal</x:v>
      </x:c>
      <x:c r="O1977" s="71" t="str">
        <x:v>lib/easyt/travel-readiness.ts</x:v>
      </x:c>
      <x:c r="P1977" s="71" t="str">
        <x:v>entrySourcesByCountry:96</x:v>
      </x:c>
      <x:c r="Q1977" s="71" t="str">
        <x:v>EN (default / shared)</x:v>
      </x:c>
      <x:c r="R1977" s="71" t="str">
        <x:v>Already clear and direct; suggested wording intentionally keeps the current copy.</x:v>
      </x:c>
      <x:c r="S1977" s="75" t="str">
        <x:v>Not applied — review required</x:v>
      </x:c>
    </x:row>
    <x:row r="1978">
      <x:c r="A1978" s="71" t="str">
        <x:v>MRV-C71143B319</x:v>
      </x:c>
      <x:c r="B1978" s="71" t="str">
        <x:v>System</x:v>
      </x:c>
      <x:c r="C1978" s="71" t="str">
        <x:v>Shared recovery / system</x:v>
      </x:c>
      <x:c r="D1978" s="71" t="str">
        <x:v>Shared</x:v>
      </x:c>
      <x:c r="E1978" s="71" t="str">
        <x:v>entrySourcesByCountry</x:v>
      </x:c>
      <x:c r="F1978" s="71" t="str">
        <x:v>Default</x:v>
      </x:c>
      <x:c r="G1978" s="71" t="str">
        <x:v>Label</x:v>
      </x:c>
      <x:c r="H1978" s="71" t="str">
        <x:v>Nigeria Immigration Service</x:v>
      </x:c>
      <x:c r="I1978" s="71" t="str">
        <x:v>Nigeria Immigration Service</x:v>
      </x:c>
      <x:c r="J1978" s="73"/>
      <x:c r="K1978" s="74" t="str">
        <x:f>IF(J1978="",H1978,IF(J1978=I1978,I1978,J1978))</x:f>
        <x:v>Nigeria Immigration Service</x:v>
      </x:c>
      <x:c r="L1978" s="74" t="str">
        <x:f>IF(J1978="","Keep current",IF(J1978=I1978,"Use suggestion","Custom"))</x:f>
        <x:v>Keep current</x:v>
      </x:c>
      <x:c r="M1978" s="71" t="str">
        <x:v>Pending review</x:v>
      </x:c>
      <x:c r="N1978" s="71" t="str">
        <x:v>Normal</x:v>
      </x:c>
      <x:c r="O1978" s="71" t="str">
        <x:v>lib/easyt/travel-readiness.ts</x:v>
      </x:c>
      <x:c r="P1978" s="71" t="str">
        <x:v>entrySourcesByCountry:97</x:v>
      </x:c>
      <x:c r="Q1978" s="71" t="str">
        <x:v>EN (default / shared)</x:v>
      </x:c>
      <x:c r="R1978" s="71" t="str">
        <x:v>Already clear and direct; suggested wording intentionally keeps the current copy.</x:v>
      </x:c>
      <x:c r="S1978" s="75" t="str">
        <x:v>Not applied — review required</x:v>
      </x:c>
    </x:row>
    <x:row r="1979">
      <x:c r="A1979" s="71" t="str">
        <x:v>MRV-E860BA25C6</x:v>
      </x:c>
      <x:c r="B1979" s="71" t="str">
        <x:v>System</x:v>
      </x:c>
      <x:c r="C1979" s="71" t="str">
        <x:v>Shared recovery / system</x:v>
      </x:c>
      <x:c r="D1979" s="71" t="str">
        <x:v>Shared</x:v>
      </x:c>
      <x:c r="E1979" s="71" t="str">
        <x:v>entrySourcesByCountry</x:v>
      </x:c>
      <x:c r="F1979" s="71" t="str">
        <x:v>Default</x:v>
      </x:c>
      <x:c r="G1979" s="71" t="str">
        <x:v>Body copy</x:v>
      </x:c>
      <x:c r="H1979" s="71" t="str">
        <x:v>Norwegian Directorate of Immigration</x:v>
      </x:c>
      <x:c r="I1979" s="71" t="str">
        <x:v>Norwegian Directorate of Immigration</x:v>
      </x:c>
      <x:c r="J1979" s="73"/>
      <x:c r="K1979" s="74" t="str">
        <x:f>IF(J1979="",H1979,IF(J1979=I1979,I1979,J1979))</x:f>
        <x:v>Norwegian Directorate of Immigration</x:v>
      </x:c>
      <x:c r="L1979" s="74" t="str">
        <x:f>IF(J1979="","Keep current",IF(J1979=I1979,"Use suggestion","Custom"))</x:f>
        <x:v>Keep current</x:v>
      </x:c>
      <x:c r="M1979" s="71" t="str">
        <x:v>Pending review</x:v>
      </x:c>
      <x:c r="N1979" s="71" t="str">
        <x:v>Normal</x:v>
      </x:c>
      <x:c r="O1979" s="71" t="str">
        <x:v>lib/easyt/travel-readiness.ts</x:v>
      </x:c>
      <x:c r="P1979" s="71" t="str">
        <x:v>entrySourcesByCountry:98</x:v>
      </x:c>
      <x:c r="Q1979" s="71" t="str">
        <x:v>EN (default / shared)</x:v>
      </x:c>
      <x:c r="R1979" s="71" t="str">
        <x:v>Already clear and direct; suggested wording intentionally keeps the current copy.</x:v>
      </x:c>
      <x:c r="S1979" s="75" t="str">
        <x:v>Not applied — review required</x:v>
      </x:c>
    </x:row>
    <x:row r="1980">
      <x:c r="A1980" s="71" t="str">
        <x:v>MRV-3DB4AFFEAF</x:v>
      </x:c>
      <x:c r="B1980" s="71" t="str">
        <x:v>System</x:v>
      </x:c>
      <x:c r="C1980" s="71" t="str">
        <x:v>Shared recovery / system</x:v>
      </x:c>
      <x:c r="D1980" s="71" t="str">
        <x:v>Shared</x:v>
      </x:c>
      <x:c r="E1980" s="71" t="str">
        <x:v>entrySourcesByCountry</x:v>
      </x:c>
      <x:c r="F1980" s="71" t="str">
        <x:v>Default</x:v>
      </x:c>
      <x:c r="G1980" s="71" t="str">
        <x:v>CTA / button</x:v>
      </x:c>
      <x:c r="H1980" s="71" t="str">
        <x:v>Government of Saint Kitts and Nevis</x:v>
      </x:c>
      <x:c r="I1980" s="71" t="str">
        <x:v>Government of Saint Kitts and Nevis</x:v>
      </x:c>
      <x:c r="J1980" s="73"/>
      <x:c r="K1980" s="74" t="str">
        <x:f>IF(J1980="",H1980,IF(J1980=I1980,I1980,J1980))</x:f>
        <x:v>Government of Saint Kitts and Nevis</x:v>
      </x:c>
      <x:c r="L1980" s="74" t="str">
        <x:f>IF(J1980="","Keep current",IF(J1980=I1980,"Use suggestion","Custom"))</x:f>
        <x:v>Keep current</x:v>
      </x:c>
      <x:c r="M1980" s="71" t="str">
        <x:v>Pending review</x:v>
      </x:c>
      <x:c r="N1980" s="71" t="str">
        <x:v>Medium</x:v>
      </x:c>
      <x:c r="O1980" s="71" t="str">
        <x:v>lib/easyt/travel-readiness.ts</x:v>
      </x:c>
      <x:c r="P1980" s="71" t="str">
        <x:v>entrySourcesByCountry:99</x:v>
      </x:c>
      <x:c r="Q1980" s="71" t="str">
        <x:v>EN (default / shared)</x:v>
      </x:c>
      <x:c r="R1980" s="71" t="str">
        <x:v>Already clear and direct; suggested wording intentionally keeps the current copy.</x:v>
      </x:c>
      <x:c r="S1980" s="75" t="str">
        <x:v>Not applied — review required</x:v>
      </x:c>
    </x:row>
    <x:row r="1981">
      <x:c r="A1981" s="71" t="str">
        <x:v>MRV-66B8EB9352</x:v>
      </x:c>
      <x:c r="B1981" s="71" t="str">
        <x:v>System</x:v>
      </x:c>
      <x:c r="C1981" s="71" t="str">
        <x:v>Shared recovery / system</x:v>
      </x:c>
      <x:c r="D1981" s="71" t="str">
        <x:v>Shared</x:v>
      </x:c>
      <x:c r="E1981" s="71" t="str">
        <x:v>entrySourcesByCountry</x:v>
      </x:c>
      <x:c r="F1981" s="71" t="str">
        <x:v>Default</x:v>
      </x:c>
      <x:c r="G1981" s="71" t="str">
        <x:v>CTA / button</x:v>
      </x:c>
      <x:c r="H1981" s="71" t="str">
        <x:v>Government of Saint Lucia – Visa services</x:v>
      </x:c>
      <x:c r="I1981" s="71" t="str">
        <x:v>Government of Saint Lucia – Visa services</x:v>
      </x:c>
      <x:c r="J1981" s="73"/>
      <x:c r="K1981" s="74" t="str">
        <x:f>IF(J1981="",H1981,IF(J1981=I1981,I1981,J1981))</x:f>
        <x:v>Government of Saint Lucia – Visa services</x:v>
      </x:c>
      <x:c r="L1981" s="74" t="str">
        <x:f>IF(J1981="","Keep current",IF(J1981=I1981,"Use suggestion","Custom"))</x:f>
        <x:v>Keep current</x:v>
      </x:c>
      <x:c r="M1981" s="71" t="str">
        <x:v>Pending review</x:v>
      </x:c>
      <x:c r="N1981" s="71" t="str">
        <x:v>High</x:v>
      </x:c>
      <x:c r="O1981" s="71" t="str">
        <x:v>lib/easyt/travel-readiness.ts</x:v>
      </x:c>
      <x:c r="P1981" s="71" t="str">
        <x:v>entrySourcesByCountry:100</x:v>
      </x:c>
      <x:c r="Q1981" s="71" t="str">
        <x:v>EN (default / shared)</x:v>
      </x:c>
      <x:c r="R1981" s="71" t="str">
        <x:v>Already clear and direct; suggested wording intentionally keeps the current copy.</x:v>
      </x:c>
      <x:c r="S1981" s="75" t="str">
        <x:v>Not applied — review required</x:v>
      </x:c>
    </x:row>
    <x:row r="1982">
      <x:c r="A1982" s="71" t="str">
        <x:v>MRV-96FBAD9841</x:v>
      </x:c>
      <x:c r="B1982" s="71" t="str">
        <x:v>System</x:v>
      </x:c>
      <x:c r="C1982" s="71" t="str">
        <x:v>Shared recovery / system</x:v>
      </x:c>
      <x:c r="D1982" s="71" t="str">
        <x:v>Shared</x:v>
      </x:c>
      <x:c r="E1982" s="71" t="str">
        <x:v>entrySourcesByCountry</x:v>
      </x:c>
      <x:c r="F1982" s="71" t="str">
        <x:v>Default</x:v>
      </x:c>
      <x:c r="G1982" s="71" t="str">
        <x:v>CTA / button</x:v>
      </x:c>
      <x:c r="H1982" s="71" t="str">
        <x:v>Government of Saint Vincent and the Grenadines</x:v>
      </x:c>
      <x:c r="I1982" s="71" t="str">
        <x:v>Government of Saint Vincent and the Grenadines</x:v>
      </x:c>
      <x:c r="J1982" s="73"/>
      <x:c r="K1982" s="74" t="str">
        <x:f>IF(J1982="",H1982,IF(J1982=I1982,I1982,J1982))</x:f>
        <x:v>Government of Saint Vincent and the Grenadines</x:v>
      </x:c>
      <x:c r="L1982" s="74" t="str">
        <x:f>IF(J1982="","Keep current",IF(J1982=I1982,"Use suggestion","Custom"))</x:f>
        <x:v>Keep current</x:v>
      </x:c>
      <x:c r="M1982" s="71" t="str">
        <x:v>Pending review</x:v>
      </x:c>
      <x:c r="N1982" s="71" t="str">
        <x:v>Medium</x:v>
      </x:c>
      <x:c r="O1982" s="71" t="str">
        <x:v>lib/easyt/travel-readiness.ts</x:v>
      </x:c>
      <x:c r="P1982" s="71" t="str">
        <x:v>entrySourcesByCountry:101</x:v>
      </x:c>
      <x:c r="Q1982" s="71" t="str">
        <x:v>EN (default / shared)</x:v>
      </x:c>
      <x:c r="R1982" s="71" t="str">
        <x:v>Already clear and direct; suggested wording intentionally keeps the current copy.</x:v>
      </x:c>
      <x:c r="S1982" s="75" t="str">
        <x:v>Not applied — review required</x:v>
      </x:c>
    </x:row>
    <x:row r="1983">
      <x:c r="A1983" s="71" t="str">
        <x:v>MRV-C44E226084</x:v>
      </x:c>
      <x:c r="B1983" s="71" t="str">
        <x:v>System</x:v>
      </x:c>
      <x:c r="C1983" s="71" t="str">
        <x:v>Shared recovery / system</x:v>
      </x:c>
      <x:c r="D1983" s="71" t="str">
        <x:v>Shared</x:v>
      </x:c>
      <x:c r="E1983" s="71" t="str">
        <x:v>entrySourcesByCountry</x:v>
      </x:c>
      <x:c r="F1983" s="71" t="str">
        <x:v>Default</x:v>
      </x:c>
      <x:c r="G1983" s="71" t="str">
        <x:v>Body copy</x:v>
      </x:c>
      <x:c r="H1983" s="71" t="str">
        <x:v>South African Department of Home Affairs</x:v>
      </x:c>
      <x:c r="I1983" s="71" t="str">
        <x:v>South African Department of Home Affairs</x:v>
      </x:c>
      <x:c r="J1983" s="73"/>
      <x:c r="K1983" s="74" t="str">
        <x:f>IF(J1983="",H1983,IF(J1983=I1983,I1983,J1983))</x:f>
        <x:v>South African Department of Home Affairs</x:v>
      </x:c>
      <x:c r="L1983" s="74" t="str">
        <x:f>IF(J1983="","Keep current",IF(J1983=I1983,"Use suggestion","Custom"))</x:f>
        <x:v>Keep current</x:v>
      </x:c>
      <x:c r="M1983" s="71" t="str">
        <x:v>Pending review</x:v>
      </x:c>
      <x:c r="N1983" s="71" t="str">
        <x:v>Normal</x:v>
      </x:c>
      <x:c r="O1983" s="71" t="str">
        <x:v>lib/easyt/travel-readiness.ts</x:v>
      </x:c>
      <x:c r="P1983" s="71" t="str">
        <x:v>entrySourcesByCountry:102</x:v>
      </x:c>
      <x:c r="Q1983" s="71" t="str">
        <x:v>EN (default / shared)</x:v>
      </x:c>
      <x:c r="R1983" s="71" t="str">
        <x:v>Already clear and direct; suggested wording intentionally keeps the current copy.</x:v>
      </x:c>
      <x:c r="S1983" s="75" t="str">
        <x:v>Not applied — review required</x:v>
      </x:c>
    </x:row>
    <x:row r="1984">
      <x:c r="A1984" s="71" t="str">
        <x:v>MRV-69110EA509</x:v>
      </x:c>
      <x:c r="B1984" s="71" t="str">
        <x:v>System</x:v>
      </x:c>
      <x:c r="C1984" s="71" t="str">
        <x:v>Shared recovery / system</x:v>
      </x:c>
      <x:c r="D1984" s="71" t="str">
        <x:v>Shared</x:v>
      </x:c>
      <x:c r="E1984" s="71" t="str">
        <x:v>entrySourcesByCountry</x:v>
      </x:c>
      <x:c r="F1984" s="71" t="str">
        <x:v>Default</x:v>
      </x:c>
      <x:c r="G1984" s="71" t="str">
        <x:v>Label</x:v>
      </x:c>
      <x:c r="H1984" s="71" t="str">
        <x:v>Swedish Migration Agency</x:v>
      </x:c>
      <x:c r="I1984" s="71" t="str">
        <x:v>Swedish Migration Agency</x:v>
      </x:c>
      <x:c r="J1984" s="73"/>
      <x:c r="K1984" s="74" t="str">
        <x:f>IF(J1984="",H1984,IF(J1984=I1984,I1984,J1984))</x:f>
        <x:v>Swedish Migration Agency</x:v>
      </x:c>
      <x:c r="L1984" s="74" t="str">
        <x:f>IF(J1984="","Keep current",IF(J1984=I1984,"Use suggestion","Custom"))</x:f>
        <x:v>Keep current</x:v>
      </x:c>
      <x:c r="M1984" s="71" t="str">
        <x:v>Pending review</x:v>
      </x:c>
      <x:c r="N1984" s="71" t="str">
        <x:v>Normal</x:v>
      </x:c>
      <x:c r="O1984" s="71" t="str">
        <x:v>lib/easyt/travel-readiness.ts</x:v>
      </x:c>
      <x:c r="P1984" s="71" t="str">
        <x:v>entrySourcesByCountry:103</x:v>
      </x:c>
      <x:c r="Q1984" s="71" t="str">
        <x:v>EN (default / shared)</x:v>
      </x:c>
      <x:c r="R1984" s="71" t="str">
        <x:v>Already clear and direct; suggested wording intentionally keeps the current copy.</x:v>
      </x:c>
      <x:c r="S1984" s="75" t="str">
        <x:v>Not applied — review required</x:v>
      </x:c>
    </x:row>
    <x:row r="1985">
      <x:c r="A1985" s="71" t="str">
        <x:v>MRV-2C0CCA9518</x:v>
      </x:c>
      <x:c r="B1985" s="71" t="str">
        <x:v>System</x:v>
      </x:c>
      <x:c r="C1985" s="71" t="str">
        <x:v>Shared recovery / system</x:v>
      </x:c>
      <x:c r="D1985" s="71" t="str">
        <x:v>Shared</x:v>
      </x:c>
      <x:c r="E1985" s="71" t="str">
        <x:v>entrySourcesByCountry</x:v>
      </x:c>
      <x:c r="F1985" s="71" t="str">
        <x:v>Default</x:v>
      </x:c>
      <x:c r="G1985" s="71" t="str">
        <x:v>Body copy</x:v>
      </x:c>
      <x:c r="H1985" s="71" t="str">
        <x:v>Trinidad and Tobago Immigration Division</x:v>
      </x:c>
      <x:c r="I1985" s="71" t="str">
        <x:v>Trinidad and Tobago Immigration Division</x:v>
      </x:c>
      <x:c r="J1985" s="73"/>
      <x:c r="K1985" s="74" t="str">
        <x:f>IF(J1985="",H1985,IF(J1985=I1985,I1985,J1985))</x:f>
        <x:v>Trinidad and Tobago Immigration Division</x:v>
      </x:c>
      <x:c r="L1985" s="74" t="str">
        <x:f>IF(J1985="","Keep current",IF(J1985=I1985,"Use suggestion","Custom"))</x:f>
        <x:v>Keep current</x:v>
      </x:c>
      <x:c r="M1985" s="71" t="str">
        <x:v>Pending review</x:v>
      </x:c>
      <x:c r="N1985" s="71" t="str">
        <x:v>Normal</x:v>
      </x:c>
      <x:c r="O1985" s="71" t="str">
        <x:v>lib/easyt/travel-readiness.ts</x:v>
      </x:c>
      <x:c r="P1985" s="71" t="str">
        <x:v>entrySourcesByCountry:104</x:v>
      </x:c>
      <x:c r="Q1985" s="71" t="str">
        <x:v>EN (default / shared)</x:v>
      </x:c>
      <x:c r="R1985" s="71" t="str">
        <x:v>Already clear and direct; suggested wording intentionally keeps the current copy.</x:v>
      </x:c>
      <x:c r="S1985" s="75" t="str">
        <x:v>Not applied — review required</x:v>
      </x:c>
    </x:row>
    <x:row r="1986">
      <x:c r="A1986" s="71" t="str">
        <x:v>MRV-C27F65CBA3</x:v>
      </x:c>
      <x:c r="B1986" s="71" t="str">
        <x:v>System</x:v>
      </x:c>
      <x:c r="C1986" s="71" t="str">
        <x:v>Shared recovery / system</x:v>
      </x:c>
      <x:c r="D1986" s="71" t="str">
        <x:v>Shared</x:v>
      </x:c>
      <x:c r="E1986" s="71" t="str">
        <x:v>entrySourcesByCountry</x:v>
      </x:c>
      <x:c r="F1986" s="71" t="str">
        <x:v>Default</x:v>
      </x:c>
      <x:c r="G1986" s="71" t="str">
        <x:v>Label</x:v>
      </x:c>
      <x:c r="H1986" s="71" t="str">
        <x:v>Uganda Electronic Visa</x:v>
      </x:c>
      <x:c r="I1986" s="71" t="str">
        <x:v>Uganda Electronic Visa</x:v>
      </x:c>
      <x:c r="J1986" s="73"/>
      <x:c r="K1986" s="74" t="str">
        <x:f>IF(J1986="",H1986,IF(J1986=I1986,I1986,J1986))</x:f>
        <x:v>Uganda Electronic Visa</x:v>
      </x:c>
      <x:c r="L1986" s="74" t="str">
        <x:f>IF(J1986="","Keep current",IF(J1986=I1986,"Use suggestion","Custom"))</x:f>
        <x:v>Keep current</x:v>
      </x:c>
      <x:c r="M1986" s="71" t="str">
        <x:v>Pending review</x:v>
      </x:c>
      <x:c r="N1986" s="71" t="str">
        <x:v>High</x:v>
      </x:c>
      <x:c r="O1986" s="71" t="str">
        <x:v>lib/easyt/travel-readiness.ts</x:v>
      </x:c>
      <x:c r="P1986" s="71" t="str">
        <x:v>entrySourcesByCountry:105</x:v>
      </x:c>
      <x:c r="Q1986" s="71" t="str">
        <x:v>EN (default / shared)</x:v>
      </x:c>
      <x:c r="R1986" s="71" t="str">
        <x:v>Already clear and direct; suggested wording intentionally keeps the current copy.</x:v>
      </x:c>
      <x:c r="S1986" s="75" t="str">
        <x:v>Not applied — review required</x:v>
      </x:c>
    </x:row>
    <x:row r="1987">
      <x:c r="A1987" s="71" t="str">
        <x:v>MRV-2CF99ECAA2</x:v>
      </x:c>
      <x:c r="B1987" s="71" t="str">
        <x:v>System</x:v>
      </x:c>
      <x:c r="C1987" s="71" t="str">
        <x:v>Shared recovery / system</x:v>
      </x:c>
      <x:c r="D1987" s="71" t="str">
        <x:v>Shared</x:v>
      </x:c>
      <x:c r="E1987" s="71" t="str">
        <x:v>entrySourcesByCountry</x:v>
      </x:c>
      <x:c r="F1987" s="71" t="str">
        <x:v>Default</x:v>
      </x:c>
      <x:c r="G1987" s="71" t="str">
        <x:v>Body copy</x:v>
      </x:c>
      <x:c r="H1987" s="71" t="str">
        <x:v>Zambia Department of Immigration</x:v>
      </x:c>
      <x:c r="I1987" s="71" t="str">
        <x:v>Zambia Department of Immigration</x:v>
      </x:c>
      <x:c r="J1987" s="73"/>
      <x:c r="K1987" s="74" t="str">
        <x:f>IF(J1987="",H1987,IF(J1987=I1987,I1987,J1987))</x:f>
        <x:v>Zambia Department of Immigration</x:v>
      </x:c>
      <x:c r="L1987" s="74" t="str">
        <x:f>IF(J1987="","Keep current",IF(J1987=I1987,"Use suggestion","Custom"))</x:f>
        <x:v>Keep current</x:v>
      </x:c>
      <x:c r="M1987" s="71" t="str">
        <x:v>Pending review</x:v>
      </x:c>
      <x:c r="N1987" s="71" t="str">
        <x:v>Normal</x:v>
      </x:c>
      <x:c r="O1987" s="71" t="str">
        <x:v>lib/easyt/travel-readiness.ts</x:v>
      </x:c>
      <x:c r="P1987" s="71" t="str">
        <x:v>entrySourcesByCountry:106</x:v>
      </x:c>
      <x:c r="Q1987" s="71" t="str">
        <x:v>EN (default / shared)</x:v>
      </x:c>
      <x:c r="R1987" s="71" t="str">
        <x:v>Already clear and direct; suggested wording intentionally keeps the current copy.</x:v>
      </x:c>
      <x:c r="S1987" s="75" t="str">
        <x:v>Not applied — review required</x:v>
      </x:c>
    </x:row>
    <x:row r="1988">
      <x:c r="A1988" s="71" t="str">
        <x:v>MRV-2BCF798451</x:v>
      </x:c>
      <x:c r="B1988" s="71" t="str">
        <x:v>System</x:v>
      </x:c>
      <x:c r="C1988" s="71" t="str">
        <x:v>Shared recovery / system</x:v>
      </x:c>
      <x:c r="D1988" s="71" t="str">
        <x:v>Shared</x:v>
      </x:c>
      <x:c r="E1988" s="71" t="str">
        <x:v>entrySourcesByCountry</x:v>
      </x:c>
      <x:c r="F1988" s="71" t="str">
        <x:v>Default</x:v>
      </x:c>
      <x:c r="G1988" s="71" t="str">
        <x:v>Label</x:v>
      </x:c>
      <x:c r="H1988" s="71" t="str">
        <x:v>Zimbabwe e-Visa</x:v>
      </x:c>
      <x:c r="I1988" s="71" t="str">
        <x:v>Zimbabwe e-Visa</x:v>
      </x:c>
      <x:c r="J1988" s="73"/>
      <x:c r="K1988" s="74" t="str">
        <x:f>IF(J1988="",H1988,IF(J1988=I1988,I1988,J1988))</x:f>
        <x:v>Zimbabwe e-Visa</x:v>
      </x:c>
      <x:c r="L1988" s="74" t="str">
        <x:f>IF(J1988="","Keep current",IF(J1988=I1988,"Use suggestion","Custom"))</x:f>
        <x:v>Keep current</x:v>
      </x:c>
      <x:c r="M1988" s="71" t="str">
        <x:v>Pending review</x:v>
      </x:c>
      <x:c r="N1988" s="71" t="str">
        <x:v>High</x:v>
      </x:c>
      <x:c r="O1988" s="71" t="str">
        <x:v>lib/easyt/travel-readiness.ts</x:v>
      </x:c>
      <x:c r="P1988" s="71" t="str">
        <x:v>entrySourcesByCountry:107</x:v>
      </x:c>
      <x:c r="Q1988" s="71" t="str">
        <x:v>EN (default / shared)</x:v>
      </x:c>
      <x:c r="R1988" s="71" t="str">
        <x:v>Already clear and direct; suggested wording intentionally keeps the current copy.</x:v>
      </x:c>
      <x:c r="S1988" s="75" t="str">
        <x:v>Not applied — review required</x:v>
      </x:c>
    </x:row>
    <x:row r="1989">
      <x:c r="A1989" s="71" t="str">
        <x:v>MRV-068DCF388A</x:v>
      </x:c>
      <x:c r="B1989" s="71" t="str">
        <x:v>System</x:v>
      </x:c>
      <x:c r="C1989" s="71" t="str">
        <x:v>Shared recovery / system</x:v>
      </x:c>
      <x:c r="D1989" s="71" t="str">
        <x:v>Shared</x:v>
      </x:c>
      <x:c r="E1989" s="71" t="str">
        <x:v>entrySourcesFor</x:v>
      </x:c>
      <x:c r="F1989" s="71" t="str">
        <x:v>Default</x:v>
      </x:c>
      <x:c r="G1989" s="71" t="str">
        <x:v>Body copy</x:v>
      </x:c>
      <x:c r="H1989" s="71" t="str">
        <x:v>Official entry and visa authority</x:v>
      </x:c>
      <x:c r="I1989" s="71" t="str">
        <x:v>Official entry and visa authority</x:v>
      </x:c>
      <x:c r="J1989" s="73"/>
      <x:c r="K1989" s="74" t="str">
        <x:f>IF(J1989="",H1989,IF(J1989=I1989,I1989,J1989))</x:f>
        <x:v>Official entry and visa authority</x:v>
      </x:c>
      <x:c r="L1989" s="74" t="str">
        <x:f>IF(J1989="","Keep current",IF(J1989=I1989,"Use suggestion","Custom"))</x:f>
        <x:v>Keep current</x:v>
      </x:c>
      <x:c r="M1989" s="71" t="str">
        <x:v>Pending review</x:v>
      </x:c>
      <x:c r="N1989" s="71" t="str">
        <x:v>High</x:v>
      </x:c>
      <x:c r="O1989" s="71" t="str">
        <x:v>lib/easyt/travel-readiness.ts</x:v>
      </x:c>
      <x:c r="P1989" s="71" t="str">
        <x:v>entrySourcesFor:133</x:v>
      </x:c>
      <x:c r="Q1989" s="71" t="str">
        <x:v>EN (default / shared)</x:v>
      </x:c>
      <x:c r="R1989" s="71" t="str">
        <x:v>Already clear and direct; suggested wording intentionally keeps the current copy.</x:v>
      </x:c>
      <x:c r="S1989" s="75" t="str">
        <x:v>Not applied — review required</x:v>
      </x:c>
    </x:row>
    <x:row r="1990">
      <x:c r="A1990" s="71" t="str">
        <x:v>MRV-52DD8BE9F8</x:v>
      </x:c>
      <x:c r="B1990" s="71" t="str">
        <x:v>System</x:v>
      </x:c>
      <x:c r="C1990" s="71" t="str">
        <x:v>Shared recovery / system</x:v>
      </x:c>
      <x:c r="D1990" s="71" t="str">
        <x:v>Shared</x:v>
      </x:c>
      <x:c r="E1990" s="71" t="str">
        <x:v>adviceSourceFor</x:v>
      </x:c>
      <x:c r="F1990" s="71" t="str">
        <x:v>Default</x:v>
      </x:c>
      <x:c r="G1990" s="71" t="str">
        <x:v>Label</x:v>
      </x:c>
      <x:c r="H1990" s="71" t="str">
        <x:v>united kingdom</x:v>
      </x:c>
      <x:c r="I1990" s="71" t="str">
        <x:v>united kingdom</x:v>
      </x:c>
      <x:c r="J1990" s="73"/>
      <x:c r="K1990" s="74" t="str">
        <x:f>IF(J1990="",H1990,IF(J1990=I1990,I1990,J1990))</x:f>
        <x:v>united kingdom</x:v>
      </x:c>
      <x:c r="L1990" s="74" t="str">
        <x:f>IF(J1990="","Keep current",IF(J1990=I1990,"Use suggestion","Custom"))</x:f>
        <x:v>Keep current</x:v>
      </x:c>
      <x:c r="M1990" s="71" t="str">
        <x:v>Pending review</x:v>
      </x:c>
      <x:c r="N1990" s="71" t="str">
        <x:v>Normal</x:v>
      </x:c>
      <x:c r="O1990" s="71" t="str">
        <x:v>lib/easyt/travel-readiness.ts</x:v>
      </x:c>
      <x:c r="P1990" s="71" t="str">
        <x:v>adviceSourceFor:141</x:v>
      </x:c>
      <x:c r="Q1990" s="71" t="str">
        <x:v>EN (default / shared)</x:v>
      </x:c>
      <x:c r="R1990" s="71" t="str">
        <x:v>Already clear and direct; suggested wording intentionally keeps the current copy. Duplicate wording: appears 3 times.</x:v>
      </x:c>
      <x:c r="S1990" s="75" t="str">
        <x:v>Not applied — review required</x:v>
      </x:c>
    </x:row>
    <x:row r="1991">
      <x:c r="A1991" s="71" t="str">
        <x:v>MRV-A7E5CFB4F0</x:v>
      </x:c>
      <x:c r="B1991" s="71" t="str">
        <x:v>System</x:v>
      </x:c>
      <x:c r="C1991" s="71" t="str">
        <x:v>Shared recovery / system</x:v>
      </x:c>
      <x:c r="D1991" s="71" t="str">
        <x:v>Shared</x:v>
      </x:c>
      <x:c r="E1991" s="71" t="str">
        <x:v>adviceSourceFor</x:v>
      </x:c>
      <x:c r="F1991" s="71" t="str">
        <x:v>Default</x:v>
      </x:c>
      <x:c r="G1991" s="71" t="str">
        <x:v>Label</x:v>
      </x:c>
      <x:c r="H1991" s="71" t="str">
        <x:v>great britain</x:v>
      </x:c>
      <x:c r="I1991" s="71" t="str">
        <x:v>great britain</x:v>
      </x:c>
      <x:c r="J1991" s="73"/>
      <x:c r="K1991" s="74" t="str">
        <x:f>IF(J1991="",H1991,IF(J1991=I1991,I1991,J1991))</x:f>
        <x:v>great britain</x:v>
      </x:c>
      <x:c r="L1991" s="74" t="str">
        <x:f>IF(J1991="","Keep current",IF(J1991=I1991,"Use suggestion","Custom"))</x:f>
        <x:v>Keep current</x:v>
      </x:c>
      <x:c r="M1991" s="71" t="str">
        <x:v>Pending review</x:v>
      </x:c>
      <x:c r="N1991" s="71" t="str">
        <x:v>Normal</x:v>
      </x:c>
      <x:c r="O1991" s="71" t="str">
        <x:v>lib/easyt/travel-readiness.ts</x:v>
      </x:c>
      <x:c r="P1991" s="71" t="str">
        <x:v>adviceSourceFor:141</x:v>
      </x:c>
      <x:c r="Q1991" s="71" t="str">
        <x:v>EN (default / shared)</x:v>
      </x:c>
      <x:c r="R1991" s="71" t="str">
        <x:v>Already clear and direct; suggested wording intentionally keeps the current copy.</x:v>
      </x:c>
      <x:c r="S1991" s="75" t="str">
        <x:v>Not applied — review required</x:v>
      </x:c>
    </x:row>
    <x:row r="1992">
      <x:c r="A1992" s="71" t="str">
        <x:v>MRV-1E8DCE443A</x:v>
      </x:c>
      <x:c r="B1992" s="71" t="str">
        <x:v>System</x:v>
      </x:c>
      <x:c r="C1992" s="71" t="str">
        <x:v>Shared recovery / system</x:v>
      </x:c>
      <x:c r="D1992" s="71" t="str">
        <x:v>Shared</x:v>
      </x:c>
      <x:c r="E1992" s="71" t="str">
        <x:v>adviceSourceFor</x:v>
      </x:c>
      <x:c r="F1992" s="71" t="str">
        <x:v>Default</x:v>
      </x:c>
      <x:c r="G1992" s="71" t="str">
        <x:v>Label</x:v>
      </x:c>
      <x:c r="H1992" s="71" t="str">
        <x:v>united states</x:v>
      </x:c>
      <x:c r="I1992" s="71" t="str">
        <x:v>united states</x:v>
      </x:c>
      <x:c r="J1992" s="73"/>
      <x:c r="K1992" s="74" t="str">
        <x:f>IF(J1992="",H1992,IF(J1992=I1992,I1992,J1992))</x:f>
        <x:v>united states</x:v>
      </x:c>
      <x:c r="L1992" s="74" t="str">
        <x:f>IF(J1992="","Keep current",IF(J1992=I1992,"Use suggestion","Custom"))</x:f>
        <x:v>Keep current</x:v>
      </x:c>
      <x:c r="M1992" s="71" t="str">
        <x:v>Pending review</x:v>
      </x:c>
      <x:c r="N1992" s="71" t="str">
        <x:v>Normal</x:v>
      </x:c>
      <x:c r="O1992" s="71" t="str">
        <x:v>lib/easyt/travel-readiness.ts</x:v>
      </x:c>
      <x:c r="P1992" s="71" t="str">
        <x:v>adviceSourceFor:144</x:v>
      </x:c>
      <x:c r="Q1992" s="71" t="str">
        <x:v>EN (default / shared)</x:v>
      </x:c>
      <x:c r="R1992" s="71" t="str">
        <x:v>Already clear and direct; suggested wording intentionally keeps the current copy. Duplicate wording: appears 3 times.</x:v>
      </x:c>
      <x:c r="S1992" s="75" t="str">
        <x:v>Not applied — review required</x:v>
      </x:c>
    </x:row>
    <x:row r="1993">
      <x:c r="A1993" s="71" t="str">
        <x:v>MRV-BABBEC773A</x:v>
      </x:c>
      <x:c r="B1993" s="71" t="str">
        <x:v>System</x:v>
      </x:c>
      <x:c r="C1993" s="71" t="str">
        <x:v>Shared recovery / system</x:v>
      </x:c>
      <x:c r="D1993" s="71" t="str">
        <x:v>Shared</x:v>
      </x:c>
      <x:c r="E1993" s="71" t="str">
        <x:v>adviceSourceFor</x:v>
      </x:c>
      <x:c r="F1993" s="71" t="str">
        <x:v>Default</x:v>
      </x:c>
      <x:c r="G1993" s="71" t="str">
        <x:v>Label</x:v>
      </x:c>
      <x:c r="H1993" s="71" t="str">
        <x:v>united states of america</x:v>
      </x:c>
      <x:c r="I1993" s="71" t="str">
        <x:v>united states of america</x:v>
      </x:c>
      <x:c r="J1993" s="73"/>
      <x:c r="K1993" s="74" t="str">
        <x:f>IF(J1993="",H1993,IF(J1993=I1993,I1993,J1993))</x:f>
        <x:v>united states of america</x:v>
      </x:c>
      <x:c r="L1993" s="74" t="str">
        <x:f>IF(J1993="","Keep current",IF(J1993=I1993,"Use suggestion","Custom"))</x:f>
        <x:v>Keep current</x:v>
      </x:c>
      <x:c r="M1993" s="71" t="str">
        <x:v>Pending review</x:v>
      </x:c>
      <x:c r="N1993" s="71" t="str">
        <x:v>Normal</x:v>
      </x:c>
      <x:c r="O1993" s="71" t="str">
        <x:v>lib/easyt/travel-readiness.ts</x:v>
      </x:c>
      <x:c r="P1993" s="71" t="str">
        <x:v>adviceSourceFor:144</x:v>
      </x:c>
      <x:c r="Q1993" s="71" t="str">
        <x:v>EN (default / shared)</x:v>
      </x:c>
      <x:c r="R1993" s="71" t="str">
        <x:v>Already clear and direct; suggested wording intentionally keeps the current copy.</x:v>
      </x:c>
      <x:c r="S1993" s="75" t="str">
        <x:v>Not applied — review required</x:v>
      </x:c>
    </x:row>
    <x:row r="1994">
      <x:c r="A1994" s="71" t="str">
        <x:v>MRV-672AFE2C44</x:v>
      </x:c>
      <x:c r="B1994" s="71" t="str">
        <x:v>System</x:v>
      </x:c>
      <x:c r="C1994" s="71" t="str">
        <x:v>Shared recovery / system</x:v>
      </x:c>
      <x:c r="D1994" s="71" t="str">
        <x:v>Shared</x:v>
      </x:c>
      <x:c r="E1994" s="71" t="str">
        <x:v>cards</x:v>
      </x:c>
      <x:c r="F1994" s="71" t="str">
        <x:v>Default</x:v>
      </x:c>
      <x:c r="G1994" s="71" t="str">
        <x:v>Tooltip</x:v>
      </x:c>
      <x:c r="H1994" s="71" t="str">
        <x:v>Entrada, visado y tránsito</x:v>
      </x:c>
      <x:c r="I1994" s="71" t="str">
        <x:v>Entrada, visado y tránsito</x:v>
      </x:c>
      <x:c r="J1994" s="73"/>
      <x:c r="K1994" s="74" t="str">
        <x:f>IF(J1994="",H1994,IF(J1994=I1994,I1994,J1994))</x:f>
        <x:v>Entrada, visado y tránsito</x:v>
      </x:c>
      <x:c r="L1994" s="74" t="str">
        <x:f>IF(J1994="","Keep current",IF(J1994=I1994,"Use suggestion","Custom"))</x:f>
        <x:v>Keep current</x:v>
      </x:c>
      <x:c r="M1994" s="71" t="str">
        <x:v>Pending review</x:v>
      </x:c>
      <x:c r="N1994" s="71" t="str">
        <x:v>High</x:v>
      </x:c>
      <x:c r="O1994" s="71" t="str">
        <x:v>lib/easyt/travel-readiness.ts</x:v>
      </x:c>
      <x:c r="P1994" s="71" t="str">
        <x:v>cards:162</x:v>
      </x:c>
      <x:c r="Q1994" s="71" t="str">
        <x:v>ES</x:v>
      </x:c>
      <x:c r="R1994" s="71" t="str">
        <x:v>Already clear and direct; suggested wording intentionally keeps the current copy.</x:v>
      </x:c>
      <x:c r="S1994" s="75" t="str">
        <x:v>Not applied — review required</x:v>
      </x:c>
    </x:row>
    <x:row r="1995">
      <x:c r="A1995" s="71" t="str">
        <x:v>MRV-D026D50157</x:v>
      </x:c>
      <x:c r="B1995" s="71" t="str">
        <x:v>System</x:v>
      </x:c>
      <x:c r="C1995" s="71" t="str">
        <x:v>Shared recovery / system</x:v>
      </x:c>
      <x:c r="D1995" s="71" t="str">
        <x:v>Shared</x:v>
      </x:c>
      <x:c r="E1995" s="71" t="str">
        <x:v>cards</x:v>
      </x:c>
      <x:c r="F1995" s="71" t="str">
        <x:v>Default</x:v>
      </x:c>
      <x:c r="G1995" s="71" t="str">
        <x:v>Tooltip</x:v>
      </x:c>
      <x:c r="H1995" s="71" t="str">
        <x:v>Entry, visa and transit</x:v>
      </x:c>
      <x:c r="I1995" s="71" t="str">
        <x:v>Entry, visa and transit</x:v>
      </x:c>
      <x:c r="J1995" s="73"/>
      <x:c r="K1995" s="74" t="str">
        <x:f>IF(J1995="",H1995,IF(J1995=I1995,I1995,J1995))</x:f>
        <x:v>Entry, visa and transit</x:v>
      </x:c>
      <x:c r="L1995" s="74" t="str">
        <x:f>IF(J1995="","Keep current",IF(J1995=I1995,"Use suggestion","Custom"))</x:f>
        <x:v>Keep current</x:v>
      </x:c>
      <x:c r="M1995" s="71" t="str">
        <x:v>Pending review</x:v>
      </x:c>
      <x:c r="N1995" s="71" t="str">
        <x:v>High</x:v>
      </x:c>
      <x:c r="O1995" s="71" t="str">
        <x:v>lib/easyt/travel-readiness.ts</x:v>
      </x:c>
      <x:c r="P1995" s="71" t="str">
        <x:v>cards:162</x:v>
      </x:c>
      <x:c r="Q1995" s="71" t="str">
        <x:v>EN</x:v>
      </x:c>
      <x:c r="R1995" s="71" t="str">
        <x:v>Already clear and direct; suggested wording intentionally keeps the current copy.</x:v>
      </x:c>
      <x:c r="S1995" s="75" t="str">
        <x:v>Not applied — review required</x:v>
      </x:c>
    </x:row>
    <x:row r="1996">
      <x:c r="A1996" s="71" t="str">
        <x:v>MRV-C6420ED935</x:v>
      </x:c>
      <x:c r="B1996" s="71" t="str">
        <x:v>System</x:v>
      </x:c>
      <x:c r="C1996" s="71" t="str">
        <x:v>Shared recovery / system</x:v>
      </x:c>
      <x:c r="D1996" s="71" t="str">
        <x:v>Shared</x:v>
      </x:c>
      <x:c r="E1996" s="71" t="str">
        <x:v>cards</x:v>
      </x:c>
      <x:c r="F1996" s="71" t="str">
        <x:v>Default</x:v>
      </x:c>
      <x:c r="G1996" s="71" t="str">
        <x:v>Tooltip</x:v>
      </x:c>
      <x:c r="H1996" s="71" t="str">
        <x:v>Passport validity</x:v>
      </x:c>
      <x:c r="I1996" s="71" t="str">
        <x:v>Passport validity</x:v>
      </x:c>
      <x:c r="J1996" s="73"/>
      <x:c r="K1996" s="74" t="str">
        <x:f>IF(J1996="",H1996,IF(J1996=I1996,I1996,J1996))</x:f>
        <x:v>Passport validity</x:v>
      </x:c>
      <x:c r="L1996" s="74" t="str">
        <x:f>IF(J1996="","Keep current",IF(J1996=I1996,"Use suggestion","Custom"))</x:f>
        <x:v>Keep current</x:v>
      </x:c>
      <x:c r="M1996" s="71" t="str">
        <x:v>Pending review</x:v>
      </x:c>
      <x:c r="N1996" s="71" t="str">
        <x:v>High</x:v>
      </x:c>
      <x:c r="O1996" s="71" t="str">
        <x:v>lib/easyt/travel-readiness.ts</x:v>
      </x:c>
      <x:c r="P1996" s="71" t="str">
        <x:v>cards:174</x:v>
      </x:c>
      <x:c r="Q1996" s="71" t="str">
        <x:v>EN (default / shared)</x:v>
      </x:c>
      <x:c r="R1996" s="71" t="str">
        <x:v>Already clear and direct; suggested wording intentionally keeps the current copy.</x:v>
      </x:c>
      <x:c r="S1996" s="75" t="str">
        <x:v>Not applied — review required</x:v>
      </x:c>
    </x:row>
    <x:row r="1997">
      <x:c r="A1997" s="71" t="str">
        <x:v>MRV-B950C7213D</x:v>
      </x:c>
      <x:c r="B1997" s="71" t="str">
        <x:v>System</x:v>
      </x:c>
      <x:c r="C1997" s="71" t="str">
        <x:v>Shared recovery / system</x:v>
      </x:c>
      <x:c r="D1997" s="71" t="str">
        <x:v>Shared</x:v>
      </x:c>
      <x:c r="E1997" s="71" t="str">
        <x:v>buildTripReadiness</x:v>
      </x:c>
      <x:c r="F1997" s="71" t="str">
        <x:v>Default</x:v>
      </x:c>
      <x:c r="G1997" s="71" t="str">
        <x:v>Tooltip</x:v>
      </x:c>
      <x:c r="H1997" s="71" t="str">
        <x:v>Stay connected</x:v>
      </x:c>
      <x:c r="I1997" s="71" t="str">
        <x:v>Stay connected</x:v>
      </x:c>
      <x:c r="J1997" s="73"/>
      <x:c r="K1997" s="74" t="str">
        <x:f>IF(J1997="",H1997,IF(J1997=I1997,I1997,J1997))</x:f>
        <x:v>Stay connected</x:v>
      </x:c>
      <x:c r="L1997" s="74" t="str">
        <x:f>IF(J1997="","Keep current",IF(J1997=I1997,"Use suggestion","Custom"))</x:f>
        <x:v>Keep current</x:v>
      </x:c>
      <x:c r="M1997" s="71" t="str">
        <x:v>Pending review</x:v>
      </x:c>
      <x:c r="N1997" s="71" t="str">
        <x:v>Normal</x:v>
      </x:c>
      <x:c r="O1997" s="71" t="str">
        <x:v>lib/easyt/travel-readiness.ts</x:v>
      </x:c>
      <x:c r="P1997" s="71" t="str">
        <x:v>buildTripReadiness:185</x:v>
      </x:c>
      <x:c r="Q1997" s="71" t="str">
        <x:v>EN (default / shared)</x:v>
      </x:c>
      <x:c r="R1997" s="71" t="str">
        <x:v>Already clear and direct; suggested wording intentionally keeps the current copy.</x:v>
      </x:c>
      <x:c r="S1997" s="75" t="str">
        <x:v>Not applied — review required</x:v>
      </x:c>
    </x:row>
    <x:row r="1998">
      <x:c r="A1998" s="71" t="str">
        <x:v>MRV-35F71C5C4F</x:v>
      </x:c>
      <x:c r="B1998" s="71" t="str">
        <x:v>System</x:v>
      </x:c>
      <x:c r="C1998" s="71" t="str">
        <x:v>Shared recovery / system</x:v>
      </x:c>
      <x:c r="D1998" s="71" t="str">
        <x:v>Shared</x:v>
      </x:c>
      <x:c r="E1998" s="71" t="str">
        <x:v>buildTripReadiness</x:v>
      </x:c>
      <x:c r="F1998" s="71" t="str">
        <x:v>Default</x:v>
      </x:c>
      <x:c r="G1998" s="71" t="str">
        <x:v>Tooltip</x:v>
      </x:c>
      <x:c r="H1998" s="71" t="str">
        <x:v>Travel insurance</x:v>
      </x:c>
      <x:c r="I1998" s="71" t="str">
        <x:v>Travel insurance</x:v>
      </x:c>
      <x:c r="J1998" s="73"/>
      <x:c r="K1998" s="74" t="str">
        <x:f>IF(J1998="",H1998,IF(J1998=I1998,I1998,J1998))</x:f>
        <x:v>Travel insurance</x:v>
      </x:c>
      <x:c r="L1998" s="74" t="str">
        <x:f>IF(J1998="","Keep current",IF(J1998=I1998,"Use suggestion","Custom"))</x:f>
        <x:v>Keep current</x:v>
      </x:c>
      <x:c r="M1998" s="71" t="str">
        <x:v>Pending review</x:v>
      </x:c>
      <x:c r="N1998" s="71" t="str">
        <x:v>Normal</x:v>
      </x:c>
      <x:c r="O1998" s="71" t="str">
        <x:v>lib/easyt/travel-readiness.ts</x:v>
      </x:c>
      <x:c r="P1998" s="71" t="str">
        <x:v>buildTripReadiness:193</x:v>
      </x:c>
      <x:c r="Q1998" s="71" t="str">
        <x:v>EN (default / shared)</x:v>
      </x:c>
      <x:c r="R1998" s="71" t="str">
        <x:v>Already clear and direct; suggested wording intentionally keeps the current copy.</x:v>
      </x:c>
      <x:c r="S1998" s="75" t="str">
        <x:v>Not applied — review required</x:v>
      </x:c>
    </x:row>
    <x:row r="1999">
      <x:c r="A1999" s="71" t="str">
        <x:v>MRV-F836083E1B</x:v>
      </x:c>
      <x:c r="B1999" s="71" t="str">
        <x:v>System</x:v>
      </x:c>
      <x:c r="C1999" s="71" t="str">
        <x:v>Shared recovery / system</x:v>
      </x:c>
      <x:c r="D1999" s="71" t="str">
        <x:v>Shared</x:v>
      </x:c>
      <x:c r="E1999" s="71" t="str">
        <x:v>buildTripReadiness</x:v>
      </x:c>
      <x:c r="F1999" s="71" t="str">
        <x:v>Default</x:v>
      </x:c>
      <x:c r="G1999" s="71" t="str">
        <x:v>Tooltip</x:v>
      </x:c>
      <x:c r="H1999" s="71" t="str">
        <x:v>Internet access in mainland China</x:v>
      </x:c>
      <x:c r="I1999" s="71" t="str">
        <x:v>Internet access in mainland China</x:v>
      </x:c>
      <x:c r="J1999" s="73"/>
      <x:c r="K1999" s="74" t="str">
        <x:f>IF(J1999="",H1999,IF(J1999=I1999,I1999,J1999))</x:f>
        <x:v>Internet access in mainland China</x:v>
      </x:c>
      <x:c r="L1999" s="74" t="str">
        <x:f>IF(J1999="","Keep current",IF(J1999=I1999,"Use suggestion","Custom"))</x:f>
        <x:v>Keep current</x:v>
      </x:c>
      <x:c r="M1999" s="71" t="str">
        <x:v>Pending review</x:v>
      </x:c>
      <x:c r="N1999" s="71" t="str">
        <x:v>Normal</x:v>
      </x:c>
      <x:c r="O1999" s="71" t="str">
        <x:v>lib/easyt/travel-readiness.ts</x:v>
      </x:c>
      <x:c r="P1999" s="71" t="str">
        <x:v>buildTripReadiness:200</x:v>
      </x:c>
      <x:c r="Q1999" s="71" t="str">
        <x:v>EN (default / shared)</x:v>
      </x:c>
      <x:c r="R1999" s="71" t="str">
        <x:v>Already clear and direct; suggested wording intentionally keeps the current copy.</x:v>
      </x:c>
      <x:c r="S1999" s="75" t="str">
        <x:v>Not applied — review required</x:v>
      </x:c>
    </x:row>
    <x:row r="2000">
      <x:c r="A2000" s="71" t="str">
        <x:v>MRV-0727197A68</x:v>
      </x:c>
      <x:c r="B2000" s="71" t="str">
        <x:v>System</x:v>
      </x:c>
      <x:c r="C2000" s="71" t="str">
        <x:v>Shared recovery / system</x:v>
      </x:c>
      <x:c r="D2000" s="71" t="str">
        <x:v>Shared</x:v>
      </x:c>
      <x:c r="E2000" s="71" t="str">
        <x:v>buildTripReadiness</x:v>
      </x:c>
      <x:c r="F2000" s="71" t="str">
        <x:v>Default</x:v>
      </x:c>
      <x:c r="G2000" s="71" t="str">
        <x:v>Tooltip</x:v>
      </x:c>
      <x:c r="H2000" s="71" t="str">
        <x:v>If you plan to drive</x:v>
      </x:c>
      <x:c r="I2000" s="71" t="str">
        <x:v>If you plan to drive</x:v>
      </x:c>
      <x:c r="J2000" s="73"/>
      <x:c r="K2000" s="74" t="str">
        <x:f>IF(J2000="",H2000,IF(J2000=I2000,I2000,J2000))</x:f>
        <x:v>If you plan to drive</x:v>
      </x:c>
      <x:c r="L2000" s="74" t="str">
        <x:f>IF(J2000="","Keep current",IF(J2000=I2000,"Use suggestion","Custom"))</x:f>
        <x:v>Keep current</x:v>
      </x:c>
      <x:c r="M2000" s="71" t="str">
        <x:v>Pending review</x:v>
      </x:c>
      <x:c r="N2000" s="71" t="str">
        <x:v>Normal</x:v>
      </x:c>
      <x:c r="O2000" s="71" t="str">
        <x:v>lib/easyt/travel-readiness.ts</x:v>
      </x:c>
      <x:c r="P2000" s="71" t="str">
        <x:v>buildTripReadiness:208</x:v>
      </x:c>
      <x:c r="Q2000" s="71" t="str">
        <x:v>EN (default / shared)</x:v>
      </x:c>
      <x:c r="R2000" s="71" t="str">
        <x:v>Already clear and direct; suggested wording intentionally keeps the current copy.</x:v>
      </x:c>
      <x:c r="S2000" s="75" t="str">
        <x:v>Not applied — review required</x:v>
      </x:c>
    </x:row>
    <x:row r="2001">
      <x:c r="A2001" s="71" t="str">
        <x:v>MRV-F1DD826D7D</x:v>
      </x:c>
      <x:c r="B2001" s="71" t="str">
        <x:v>System</x:v>
      </x:c>
      <x:c r="C2001" s="71" t="str">
        <x:v>Shared recovery / system</x:v>
      </x:c>
      <x:c r="D2001" s="71" t="str">
        <x:v>Shared</x:v>
      </x:c>
      <x:c r="E2001" s="71" t="str">
        <x:v>isoDateKey</x:v>
      </x:c>
      <x:c r="F2001" s="71" t="str">
        <x:v>Default</x:v>
      </x:c>
      <x:c r="G2001" s="71" t="str">
        <x:v>Label</x:v>
      </x:c>
      <x:c r="H2001" s="71" t="str">
        <x:v>{year}-{month}-{day}</x:v>
      </x:c>
      <x:c r="I2001" s="71" t="str">
        <x:v>{year}-{month}-{day}</x:v>
      </x:c>
      <x:c r="J2001" s="73"/>
      <x:c r="K2001" s="74" t="str">
        <x:f>IF(J2001="",H2001,IF(J2001=I2001,I2001,J2001))</x:f>
        <x:v>{year}-{month}-{day}</x:v>
      </x:c>
      <x:c r="L2001" s="74" t="str">
        <x:f>IF(J2001="","Keep current",IF(J2001=I2001,"Use suggestion","Custom"))</x:f>
        <x:v>Keep current</x:v>
      </x:c>
      <x:c r="M2001" s="71" t="str">
        <x:v>Pending review</x:v>
      </x:c>
      <x:c r="N2001" s="71" t="str">
        <x:v>Normal</x:v>
      </x:c>
      <x:c r="O2001" s="71" t="str">
        <x:v>lib/easyt/trip-lifecycle.ts</x:v>
      </x:c>
      <x:c r="P2001" s="71" t="str">
        <x:v>isoDateKey:47</x:v>
      </x:c>
      <x:c r="Q2001" s="71" t="str">
        <x:v>EN (default / shared)</x:v>
      </x:c>
      <x:c r="R2001" s="71" t="str">
        <x:v>Already clear and direct; suggested wording intentionally keeps the current copy. Dynamic traveller or trip value is represented as a token; user-generated values are excluded.</x:v>
      </x:c>
      <x:c r="S2001" s="75" t="str">
        <x:v>Not applied — review required</x:v>
      </x:c>
    </x:row>
    <x:row r="2002">
      <x:c r="A2002" s="71" t="str">
        <x:v>MRV-57FE8E83CB</x:v>
      </x:c>
      <x:c r="B2002" s="71" t="str">
        <x:v>Trip workspace</x:v>
      </x:c>
      <x:c r="C2002" s="71" t="str">
        <x:v>Prep</x:v>
      </x:c>
      <x:c r="D2002" s="71" t="str">
        <x:v>Shared: Prep</x:v>
      </x:c>
      <x:c r="E2002" s="71" t="str">
        <x:v>matchingChecklist</x:v>
      </x:c>
      <x:c r="F2002" s="71" t="str">
        <x:v>Default</x:v>
      </x:c>
      <x:c r="G2002" s="71" t="str">
        <x:v>Body copy</x:v>
      </x:c>
      <x:c r="H2002" s="71" t="str">
        <x:v>{item.id} {item.label}</x:v>
      </x:c>
      <x:c r="I2002" s="71" t="str">
        <x:v>{item.id} {item.label}</x:v>
      </x:c>
      <x:c r="J2002" s="73"/>
      <x:c r="K2002" s="74" t="str">
        <x:f>IF(J2002="",H2002,IF(J2002=I2002,I2002,J2002))</x:f>
        <x:v>{item.id} {item.label}</x:v>
      </x:c>
      <x:c r="L2002" s="74" t="str">
        <x:f>IF(J2002="","Keep current",IF(J2002=I2002,"Use suggestion","Custom"))</x:f>
        <x:v>Keep current</x:v>
      </x:c>
      <x:c r="M2002" s="71" t="str">
        <x:v>Pending review</x:v>
      </x:c>
      <x:c r="N2002" s="71" t="str">
        <x:v>Normal</x:v>
      </x:c>
      <x:c r="O2002" s="71" t="str">
        <x:v>lib/easyt/trip-prep.ts</x:v>
      </x:c>
      <x:c r="P2002" s="71" t="str">
        <x:v>matchingChecklist:34</x:v>
      </x:c>
      <x:c r="Q2002" s="71" t="str">
        <x:v>EN (default / shared)</x:v>
      </x:c>
      <x:c r="R2002" s="71" t="str">
        <x:v>Already clear and direct; suggested wording intentionally keeps the current copy. Duplicate wording: appears 3 times. Dynamic traveller or trip value is represented as a token; user-generated values are excluded.</x:v>
      </x:c>
      <x:c r="S2002" s="75" t="str">
        <x:v>Not applied — review required</x:v>
      </x:c>
    </x:row>
    <x:row r="2003">
      <x:c r="A2003" s="71" t="str">
        <x:v>MRV-AC44FBD6AE</x:v>
      </x:c>
      <x:c r="B2003" s="71" t="str">
        <x:v>Trip workspace</x:v>
      </x:c>
      <x:c r="C2003" s="71" t="str">
        <x:v>Prep</x:v>
      </x:c>
      <x:c r="D2003" s="71" t="str">
        <x:v>Shared: Prep</x:v>
      </x:c>
      <x:c r="E2003" s="71" t="str">
        <x:v>tripDepartureCountdown</x:v>
      </x:c>
      <x:c r="F2003" s="71" t="str">
        <x:v>Default</x:v>
      </x:c>
      <x:c r="G2003" s="71" t="str">
        <x:v>CTA / button</x:v>
      </x:c>
      <x:c r="H2003" s="71" t="str">
        <x:v>Add dates to see your trip timeline.</x:v>
      </x:c>
      <x:c r="I2003" s="71" t="str">
        <x:v>Add dates to see your trip timeline.</x:v>
      </x:c>
      <x:c r="J2003" s="73"/>
      <x:c r="K2003" s="74" t="str">
        <x:f>IF(J2003="",H2003,IF(J2003=I2003,I2003,J2003))</x:f>
        <x:v>Add dates to see your trip timeline.</x:v>
      </x:c>
      <x:c r="L2003" s="74" t="str">
        <x:f>IF(J2003="","Keep current",IF(J2003=I2003,"Use suggestion","Custom"))</x:f>
        <x:v>Keep current</x:v>
      </x:c>
      <x:c r="M2003" s="71" t="str">
        <x:v>Pending review</x:v>
      </x:c>
      <x:c r="N2003" s="71" t="str">
        <x:v>Medium</x:v>
      </x:c>
      <x:c r="O2003" s="71" t="str">
        <x:v>lib/easyt/trip-prep.ts</x:v>
      </x:c>
      <x:c r="P2003" s="71" t="str">
        <x:v>tripDepartureCountdown:44</x:v>
      </x:c>
      <x:c r="Q2003" s="71" t="str">
        <x:v>EN (default / shared)</x:v>
      </x:c>
      <x:c r="R2003" s="71" t="str">
        <x:v>Already clear and direct; suggested wording intentionally keeps the current copy. Terminology watch: ‘trip’ and ‘journey’ both describe the same plan. Terminology watch: ‘stops’, ‘destinations’ and ‘places’ overlap.</x:v>
      </x:c>
      <x:c r="S2003" s="75" t="str">
        <x:v>Not applied — review required</x:v>
      </x:c>
    </x:row>
    <x:row r="2004">
      <x:c r="A2004" s="71" t="str">
        <x:v>MRV-62D0465825</x:v>
      </x:c>
      <x:c r="B2004" s="71" t="str">
        <x:v>Trip workspace</x:v>
      </x:c>
      <x:c r="C2004" s="71" t="str">
        <x:v>Prep</x:v>
      </x:c>
      <x:c r="D2004" s="71" t="str">
        <x:v>Shared: Prep</x:v>
      </x:c>
      <x:c r="E2004" s="71" t="str">
        <x:v>tripDepartureCountdown</x:v>
      </x:c>
      <x:c r="F2004" s="71" t="str">
        <x:v>Default</x:v>
      </x:c>
      <x:c r="G2004" s="71" t="str">
        <x:v>CTA / button</x:v>
      </x:c>
      <x:c r="H2004" s="71" t="str">
        <x:v>Review the trip dates before relying on this timeline.</x:v>
      </x:c>
      <x:c r="I2004" s="71" t="str">
        <x:v>Review the trip dates before relying on this timeline.</x:v>
      </x:c>
      <x:c r="J2004" s="73"/>
      <x:c r="K2004" s="74" t="str">
        <x:f>IF(J2004="",H2004,IF(J2004=I2004,I2004,J2004))</x:f>
        <x:v>Review the trip dates before relying on this timeline.</x:v>
      </x:c>
      <x:c r="L2004" s="74" t="str">
        <x:f>IF(J2004="","Keep current",IF(J2004=I2004,"Use suggestion","Custom"))</x:f>
        <x:v>Keep current</x:v>
      </x:c>
      <x:c r="M2004" s="71" t="str">
        <x:v>Pending review</x:v>
      </x:c>
      <x:c r="N2004" s="71" t="str">
        <x:v>Medium</x:v>
      </x:c>
      <x:c r="O2004" s="71" t="str">
        <x:v>lib/easyt/trip-prep.ts</x:v>
      </x:c>
      <x:c r="P2004" s="71" t="str">
        <x:v>tripDepartureCountdown:45</x:v>
      </x:c>
      <x:c r="Q2004" s="71" t="str">
        <x:v>EN (default / shared)</x:v>
      </x:c>
      <x:c r="R2004" s="71" t="str">
        <x:v>Already clear and direct; suggested wording intentionally keeps the current copy. Terminology watch: ‘trip’ and ‘journey’ both describe the same plan. Terminology watch: ‘stops’, ‘destinations’ and ‘places’ overlap.</x:v>
      </x:c>
      <x:c r="S2004" s="75" t="str">
        <x:v>Not applied — review required</x:v>
      </x:c>
    </x:row>
    <x:row r="2005">
      <x:c r="A2005" s="71" t="str">
        <x:v>MRV-1E47B6149D</x:v>
      </x:c>
      <x:c r="B2005" s="71" t="str">
        <x:v>Trip workspace</x:v>
      </x:c>
      <x:c r="C2005" s="71" t="str">
        <x:v>Prep</x:v>
      </x:c>
      <x:c r="D2005" s="71" t="str">
        <x:v>Shared: Prep</x:v>
      </x:c>
      <x:c r="E2005" s="71" t="str">
        <x:v>tripDepartureCountdown</x:v>
      </x:c>
      <x:c r="F2005" s="71" t="str">
        <x:v>Default</x:v>
      </x:c>
      <x:c r="G2005" s="71" t="str">
        <x:v>Body copy</x:v>
      </x:c>
      <x:c r="H2005" s="71" t="str">
        <x:v>Departure is today.</x:v>
      </x:c>
      <x:c r="I2005" s="71" t="str">
        <x:v>Departure is today.</x:v>
      </x:c>
      <x:c r="J2005" s="73"/>
      <x:c r="K2005" s="74" t="str">
        <x:f>IF(J2005="",H2005,IF(J2005=I2005,I2005,J2005))</x:f>
        <x:v>Departure is today.</x:v>
      </x:c>
      <x:c r="L2005" s="74" t="str">
        <x:f>IF(J2005="","Keep current",IF(J2005=I2005,"Use suggestion","Custom"))</x:f>
        <x:v>Keep current</x:v>
      </x:c>
      <x:c r="M2005" s="71" t="str">
        <x:v>Pending review</x:v>
      </x:c>
      <x:c r="N2005" s="71" t="str">
        <x:v>Normal</x:v>
      </x:c>
      <x:c r="O2005" s="71" t="str">
        <x:v>lib/easyt/trip-prep.ts</x:v>
      </x:c>
      <x:c r="P2005" s="71" t="str">
        <x:v>tripDepartureCountdown:46</x:v>
      </x:c>
      <x:c r="Q2005" s="71" t="str">
        <x:v>EN (default / shared)</x:v>
      </x:c>
      <x:c r="R2005" s="71" t="str">
        <x:v>Already clear and direct; suggested wording intentionally keeps the current copy.</x:v>
      </x:c>
      <x:c r="S2005" s="75" t="str">
        <x:v>Not applied — review required</x:v>
      </x:c>
    </x:row>
    <x:row r="2006">
      <x:c r="A2006" s="71" t="str">
        <x:v>MRV-7A3CC66C80</x:v>
      </x:c>
      <x:c r="B2006" s="71" t="str">
        <x:v>Trip workspace</x:v>
      </x:c>
      <x:c r="C2006" s="71" t="str">
        <x:v>Prep</x:v>
      </x:c>
      <x:c r="D2006" s="71" t="str">
        <x:v>Shared: Prep</x:v>
      </x:c>
      <x:c r="E2006" s="71" t="str">
        <x:v>tripDepartureCountdown</x:v>
      </x:c>
      <x:c r="F2006" s="71" t="str">
        <x:v>Default</x:v>
      </x:c>
      <x:c r="G2006" s="71" t="str">
        <x:v>Body copy</x:v>
      </x:c>
      <x:c r="H2006" s="71" t="str">
        <x:v>This trip has started.</x:v>
      </x:c>
      <x:c r="I2006" s="71" t="str">
        <x:v>This trip has started.</x:v>
      </x:c>
      <x:c r="J2006" s="73"/>
      <x:c r="K2006" s="74" t="str">
        <x:f>IF(J2006="",H2006,IF(J2006=I2006,I2006,J2006))</x:f>
        <x:v>This trip has started.</x:v>
      </x:c>
      <x:c r="L2006" s="74" t="str">
        <x:f>IF(J2006="","Keep current",IF(J2006=I2006,"Use suggestion","Custom"))</x:f>
        <x:v>Keep current</x:v>
      </x:c>
      <x:c r="M2006" s="71" t="str">
        <x:v>Pending review</x:v>
      </x:c>
      <x:c r="N2006" s="71" t="str">
        <x:v>Normal</x:v>
      </x:c>
      <x:c r="O2006" s="71" t="str">
        <x:v>lib/easyt/trip-prep.ts</x:v>
      </x:c>
      <x:c r="P2006" s="71" t="str">
        <x:v>tripDepartureCountdown:47</x:v>
      </x:c>
      <x:c r="Q2006" s="71" t="str">
        <x:v>EN (default / shared)</x:v>
      </x:c>
      <x:c r="R2006" s="71" t="str">
        <x:v>Already clear and direct; suggested wording intentionally keeps the current copy. Terminology watch: ‘trip’ and ‘journey’ both describe the same plan. Terminology watch: ‘stops’, ‘destinations’ and ‘places’ overlap.</x:v>
      </x:c>
      <x:c r="S2006" s="75" t="str">
        <x:v>Not applied — review required</x:v>
      </x:c>
    </x:row>
    <x:row r="2007">
      <x:c r="A2007" s="71" t="str">
        <x:v>MRV-092428A605</x:v>
      </x:c>
      <x:c r="B2007" s="71" t="str">
        <x:v>Trip workspace</x:v>
      </x:c>
      <x:c r="C2007" s="71" t="str">
        <x:v>Prep</x:v>
      </x:c>
      <x:c r="D2007" s="71" t="str">
        <x:v>Shared: Prep</x:v>
      </x:c>
      <x:c r="E2007" s="71" t="str">
        <x:v>tripDepartureCountdown</x:v>
      </x:c>
      <x:c r="F2007" s="71" t="str">
        <x:v>Default</x:v>
      </x:c>
      <x:c r="G2007" s="71" t="str">
        <x:v>Body copy</x:v>
      </x:c>
      <x:c r="H2007" s="71" t="str">
        <x:v>This trip is in progress.</x:v>
      </x:c>
      <x:c r="I2007" s="71" t="str">
        <x:v>This trip is in progress.</x:v>
      </x:c>
      <x:c r="J2007" s="73"/>
      <x:c r="K2007" s="74" t="str">
        <x:f>IF(J2007="",H2007,IF(J2007=I2007,I2007,J2007))</x:f>
        <x:v>This trip is in progress.</x:v>
      </x:c>
      <x:c r="L2007" s="74" t="str">
        <x:f>IF(J2007="","Keep current",IF(J2007=I2007,"Use suggestion","Custom"))</x:f>
        <x:v>Keep current</x:v>
      </x:c>
      <x:c r="M2007" s="71" t="str">
        <x:v>Pending review</x:v>
      </x:c>
      <x:c r="N2007" s="71" t="str">
        <x:v>Normal</x:v>
      </x:c>
      <x:c r="O2007" s="71" t="str">
        <x:v>lib/easyt/trip-prep.ts</x:v>
      </x:c>
      <x:c r="P2007" s="71" t="str">
        <x:v>tripDepartureCountdown:48</x:v>
      </x:c>
      <x:c r="Q2007" s="71" t="str">
        <x:v>EN (default / shared)</x:v>
      </x:c>
      <x:c r="R2007" s="71" t="str">
        <x:v>Already clear and direct; suggested wording intentionally keeps the current copy. Terminology watch: ‘trip’ and ‘journey’ both describe the same plan. Terminology watch: ‘stops’, ‘destinations’ and ‘places’ overlap.</x:v>
      </x:c>
      <x:c r="S2007" s="75" t="str">
        <x:v>Not applied — review required</x:v>
      </x:c>
    </x:row>
    <x:row r="2008">
      <x:c r="A2008" s="71" t="str">
        <x:v>MRV-89C6F6479F</x:v>
      </x:c>
      <x:c r="B2008" s="71" t="str">
        <x:v>Trip workspace</x:v>
      </x:c>
      <x:c r="C2008" s="71" t="str">
        <x:v>Prep</x:v>
      </x:c>
      <x:c r="D2008" s="71" t="str">
        <x:v>Shared: Prep</x:v>
      </x:c>
      <x:c r="E2008" s="71" t="str">
        <x:v>tripDepartureCountdown</x:v>
      </x:c>
      <x:c r="F2008" s="71" t="str">
        <x:v>Default</x:v>
      </x:c>
      <x:c r="G2008" s="71" t="str">
        <x:v>Body copy</x:v>
      </x:c>
      <x:c r="H2008" s="71" t="str">
        <x:v>This trip ends today.</x:v>
      </x:c>
      <x:c r="I2008" s="71" t="str">
        <x:v>This trip ends today.</x:v>
      </x:c>
      <x:c r="J2008" s="73"/>
      <x:c r="K2008" s="74" t="str">
        <x:f>IF(J2008="",H2008,IF(J2008=I2008,I2008,J2008))</x:f>
        <x:v>This trip ends today.</x:v>
      </x:c>
      <x:c r="L2008" s="74" t="str">
        <x:f>IF(J2008="","Keep current",IF(J2008=I2008,"Use suggestion","Custom"))</x:f>
        <x:v>Keep current</x:v>
      </x:c>
      <x:c r="M2008" s="71" t="str">
        <x:v>Pending review</x:v>
      </x:c>
      <x:c r="N2008" s="71" t="str">
        <x:v>Normal</x:v>
      </x:c>
      <x:c r="O2008" s="71" t="str">
        <x:v>lib/easyt/trip-prep.ts</x:v>
      </x:c>
      <x:c r="P2008" s="71" t="str">
        <x:v>tripDepartureCountdown:49</x:v>
      </x:c>
      <x:c r="Q2008" s="71" t="str">
        <x:v>EN (default / shared)</x:v>
      </x:c>
      <x:c r="R2008" s="71" t="str">
        <x:v>Already clear and direct; suggested wording intentionally keeps the current copy. Terminology watch: ‘trip’ and ‘journey’ both describe the same plan. Terminology watch: ‘stops’, ‘destinations’ and ‘places’ overlap.</x:v>
      </x:c>
      <x:c r="S2008" s="75" t="str">
        <x:v>Not applied — review required</x:v>
      </x:c>
    </x:row>
    <x:row r="2009">
      <x:c r="A2009" s="71" t="str">
        <x:v>MRV-0F11516A12</x:v>
      </x:c>
      <x:c r="B2009" s="71" t="str">
        <x:v>Trip workspace</x:v>
      </x:c>
      <x:c r="C2009" s="71" t="str">
        <x:v>Prep</x:v>
      </x:c>
      <x:c r="D2009" s="71" t="str">
        <x:v>Shared: Prep</x:v>
      </x:c>
      <x:c r="E2009" s="71" t="str">
        <x:v>tripDepartureCountdown</x:v>
      </x:c>
      <x:c r="F2009" s="71" t="str">
        <x:v>Default</x:v>
      </x:c>
      <x:c r="G2009" s="71" t="str">
        <x:v>Body copy</x:v>
      </x:c>
      <x:c r="H2009" s="71" t="str">
        <x:v>This trip has ended.</x:v>
      </x:c>
      <x:c r="I2009" s="71" t="str">
        <x:v>This trip has ended.</x:v>
      </x:c>
      <x:c r="J2009" s="73"/>
      <x:c r="K2009" s="74" t="str">
        <x:f>IF(J2009="",H2009,IF(J2009=I2009,I2009,J2009))</x:f>
        <x:v>This trip has ended.</x:v>
      </x:c>
      <x:c r="L2009" s="74" t="str">
        <x:f>IF(J2009="","Keep current",IF(J2009=I2009,"Use suggestion","Custom"))</x:f>
        <x:v>Keep current</x:v>
      </x:c>
      <x:c r="M2009" s="71" t="str">
        <x:v>Pending review</x:v>
      </x:c>
      <x:c r="N2009" s="71" t="str">
        <x:v>Normal</x:v>
      </x:c>
      <x:c r="O2009" s="71" t="str">
        <x:v>lib/easyt/trip-prep.ts</x:v>
      </x:c>
      <x:c r="P2009" s="71" t="str">
        <x:v>tripDepartureCountdown:50</x:v>
      </x:c>
      <x:c r="Q2009" s="71" t="str">
        <x:v>EN (default / shared)</x:v>
      </x:c>
      <x:c r="R2009" s="71" t="str">
        <x:v>Already clear and direct; suggested wording intentionally keeps the current copy. Terminology watch: ‘trip’ and ‘journey’ both describe the same plan. Terminology watch: ‘stops’, ‘destinations’ and ‘places’ overlap.</x:v>
      </x:c>
      <x:c r="S2009" s="75" t="str">
        <x:v>Not applied — review required</x:v>
      </x:c>
    </x:row>
    <x:row r="2010">
      <x:c r="A2010" s="71" t="str">
        <x:v>MRV-A946A374A4</x:v>
      </x:c>
      <x:c r="B2010" s="71" t="str">
        <x:v>Trip workspace</x:v>
      </x:c>
      <x:c r="C2010" s="71" t="str">
        <x:v>Prep</x:v>
      </x:c>
      <x:c r="D2010" s="71" t="str">
        <x:v>Shared: Prep</x:v>
      </x:c>
      <x:c r="E2010" s="71" t="str">
        <x:v>tripDepartureCountdown</x:v>
      </x:c>
      <x:c r="F2010" s="71" t="str">
        <x:v>Default</x:v>
      </x:c>
      <x:c r="G2010" s="71" t="str">
        <x:v>Label</x:v>
      </x:c>
      <x:c r="H2010" s="71" t="str">
        <x:v>1 day to go</x:v>
      </x:c>
      <x:c r="I2010" s="71" t="str">
        <x:v>1 day to go</x:v>
      </x:c>
      <x:c r="J2010" s="73"/>
      <x:c r="K2010" s="74" t="str">
        <x:f>IF(J2010="",H2010,IF(J2010=I2010,I2010,J2010))</x:f>
        <x:v>1 day to go</x:v>
      </x:c>
      <x:c r="L2010" s="74" t="str">
        <x:f>IF(J2010="","Keep current",IF(J2010=I2010,"Use suggestion","Custom"))</x:f>
        <x:v>Keep current</x:v>
      </x:c>
      <x:c r="M2010" s="71" t="str">
        <x:v>Pending review</x:v>
      </x:c>
      <x:c r="N2010" s="71" t="str">
        <x:v>Normal</x:v>
      </x:c>
      <x:c r="O2010" s="71" t="str">
        <x:v>lib/easyt/trip-prep.ts</x:v>
      </x:c>
      <x:c r="P2010" s="71" t="str">
        <x:v>tripDepartureCountdown:51</x:v>
      </x:c>
      <x:c r="Q2010" s="71" t="str">
        <x:v>EN (default / shared)</x:v>
      </x:c>
      <x:c r="R2010" s="71" t="str">
        <x:v>Already clear and direct; suggested wording intentionally keeps the current copy.</x:v>
      </x:c>
      <x:c r="S2010" s="75" t="str">
        <x:v>Not applied — review required</x:v>
      </x:c>
    </x:row>
    <x:row r="2011">
      <x:c r="A2011" s="71" t="str">
        <x:v>MRV-881ECC2748</x:v>
      </x:c>
      <x:c r="B2011" s="71" t="str">
        <x:v>Trip workspace</x:v>
      </x:c>
      <x:c r="C2011" s="71" t="str">
        <x:v>Prep</x:v>
      </x:c>
      <x:c r="D2011" s="71" t="str">
        <x:v>Shared: Prep</x:v>
      </x:c>
      <x:c r="E2011" s="71" t="str">
        <x:v>tripDepartureCountdown</x:v>
      </x:c>
      <x:c r="F2011" s="71" t="str">
        <x:v>Default</x:v>
      </x:c>
      <x:c r="G2011" s="71" t="str">
        <x:v>Label</x:v>
      </x:c>
      <x:c r="H2011" s="71" t="str">
        <x:v>{days} days to go</x:v>
      </x:c>
      <x:c r="I2011" s="71" t="str">
        <x:v>{days} days to go</x:v>
      </x:c>
      <x:c r="J2011" s="73"/>
      <x:c r="K2011" s="74" t="str">
        <x:f>IF(J2011="",H2011,IF(J2011=I2011,I2011,J2011))</x:f>
        <x:v>{days} days to go</x:v>
      </x:c>
      <x:c r="L2011" s="74" t="str">
        <x:f>IF(J2011="","Keep current",IF(J2011=I2011,"Use suggestion","Custom"))</x:f>
        <x:v>Keep current</x:v>
      </x:c>
      <x:c r="M2011" s="71" t="str">
        <x:v>Pending review</x:v>
      </x:c>
      <x:c r="N2011" s="71" t="str">
        <x:v>Normal</x:v>
      </x:c>
      <x:c r="O2011" s="71" t="str">
        <x:v>lib/easyt/trip-prep.ts</x:v>
      </x:c>
      <x:c r="P2011" s="71" t="str">
        <x:v>tripDepartureCountdown:52</x:v>
      </x:c>
      <x:c r="Q2011" s="71" t="str">
        <x:v>EN (default / shared)</x:v>
      </x:c>
      <x:c r="R2011" s="71" t="str">
        <x:v>Already clear and direct; suggested wording intentionally keeps the current copy. Dynamic traveller or trip value is represented as a token; user-generated values are excluded.</x:v>
      </x:c>
      <x:c r="S2011" s="75" t="str">
        <x:v>Not applied — review required</x:v>
      </x:c>
    </x:row>
    <x:row r="2012">
      <x:c r="A2012" s="71" t="str">
        <x:v>MRV-E7362D17DD</x:v>
      </x:c>
      <x:c r="B2012" s="71" t="str">
        <x:v>Trip workspace</x:v>
      </x:c>
      <x:c r="C2012" s="71" t="str">
        <x:v>Prep</x:v>
      </x:c>
      <x:c r="D2012" s="71" t="str">
        <x:v>Shared: Prep</x:v>
      </x:c>
      <x:c r="E2012" s="71" t="str">
        <x:v>text</x:v>
      </x:c>
      <x:c r="F2012" s="71" t="str">
        <x:v>Default</x:v>
      </x:c>
      <x:c r="G2012" s="71" t="str">
        <x:v>Body copy</x:v>
      </x:c>
      <x:c r="H2012" s="71" t="str">
        <x:v>{item.id} {item.label}</x:v>
      </x:c>
      <x:c r="I2012" s="71" t="str">
        <x:v>{item.id} {item.label}</x:v>
      </x:c>
      <x:c r="J2012" s="73"/>
      <x:c r="K2012" s="74" t="str">
        <x:f>IF(J2012="",H2012,IF(J2012=I2012,I2012,J2012))</x:f>
        <x:v>{item.id} {item.label}</x:v>
      </x:c>
      <x:c r="L2012" s="74" t="str">
        <x:f>IF(J2012="","Keep current",IF(J2012=I2012,"Use suggestion","Custom"))</x:f>
        <x:v>Keep current</x:v>
      </x:c>
      <x:c r="M2012" s="71" t="str">
        <x:v>Pending review</x:v>
      </x:c>
      <x:c r="N2012" s="71" t="str">
        <x:v>Normal</x:v>
      </x:c>
      <x:c r="O2012" s="71" t="str">
        <x:v>lib/easyt/trip-prep.ts</x:v>
      </x:c>
      <x:c r="P2012" s="71" t="str">
        <x:v>text:56</x:v>
      </x:c>
      <x:c r="Q2012" s="71" t="str">
        <x:v>EN (default / shared)</x:v>
      </x:c>
      <x:c r="R2012" s="71" t="str">
        <x:v>Already clear and direct; suggested wording intentionally keeps the current copy. Duplicate wording: appears 3 times. Dynamic traveller or trip value is represented as a token; user-generated values are excluded.</x:v>
      </x:c>
      <x:c r="S2012" s="75" t="str">
        <x:v>Not applied — review required</x:v>
      </x:c>
    </x:row>
    <x:row r="2013">
      <x:c r="A2013" s="71" t="str">
        <x:v>MRV-E53CA1FD8A</x:v>
      </x:c>
      <x:c r="B2013" s="71" t="str">
        <x:v>Trip workspace</x:v>
      </x:c>
      <x:c r="C2013" s="71" t="str">
        <x:v>Prep</x:v>
      </x:c>
      <x:c r="D2013" s="71" t="str">
        <x:v>Shared: Prep</x:v>
      </x:c>
      <x:c r="E2013" s="71" t="str">
        <x:v>text</x:v>
      </x:c>
      <x:c r="F2013" s="71" t="str">
        <x:v>Default</x:v>
      </x:c>
      <x:c r="G2013" s="71" t="str">
        <x:v>Body copy</x:v>
      </x:c>
      <x:c r="H2013" s="71" t="str">
        <x:v>{item.id} {item.label}</x:v>
      </x:c>
      <x:c r="I2013" s="71" t="str">
        <x:v>{item.id} {item.label}</x:v>
      </x:c>
      <x:c r="J2013" s="73"/>
      <x:c r="K2013" s="74" t="str">
        <x:f>IF(J2013="",H2013,IF(J2013=I2013,I2013,J2013))</x:f>
        <x:v>{item.id} {item.label}</x:v>
      </x:c>
      <x:c r="L2013" s="74" t="str">
        <x:f>IF(J2013="","Keep current",IF(J2013=I2013,"Use suggestion","Custom"))</x:f>
        <x:v>Keep current</x:v>
      </x:c>
      <x:c r="M2013" s="71" t="str">
        <x:v>Pending review</x:v>
      </x:c>
      <x:c r="N2013" s="71" t="str">
        <x:v>Normal</x:v>
      </x:c>
      <x:c r="O2013" s="71" t="str">
        <x:v>lib/easyt/trip-prep.ts</x:v>
      </x:c>
      <x:c r="P2013" s="71" t="str">
        <x:v>text:63</x:v>
      </x:c>
      <x:c r="Q2013" s="71" t="str">
        <x:v>EN (default / shared)</x:v>
      </x:c>
      <x:c r="R2013" s="71" t="str">
        <x:v>Already clear and direct; suggested wording intentionally keeps the current copy. Duplicate wording: appears 3 times. Dynamic traveller or trip value is represented as a token; user-generated values are excluded.</x:v>
      </x:c>
      <x:c r="S2013" s="75" t="str">
        <x:v>Not applied — review required</x:v>
      </x:c>
    </x:row>
    <x:row r="2014">
      <x:c r="A2014" s="71" t="str">
        <x:v>MRV-0A7AF34AFE</x:v>
      </x:c>
      <x:c r="B2014" s="71" t="str">
        <x:v>Trip workspace</x:v>
      </x:c>
      <x:c r="C2014" s="71" t="str">
        <x:v>Prep</x:v>
      </x:c>
      <x:c r="D2014" s="71" t="str">
        <x:v>Shared: Prep</x:v>
      </x:c>
      <x:c r="E2014" s="71" t="str">
        <x:v>deriveTripPrepTasks</x:v>
      </x:c>
      <x:c r="F2014" s="71" t="str">
        <x:v>Default</x:v>
      </x:c>
      <x:c r="G2014" s="71" t="str">
        <x:v>Tooltip</x:v>
      </x:c>
      <x:c r="H2014" s="71" t="str">
        <x:v>Trip dates</x:v>
      </x:c>
      <x:c r="I2014" s="71" t="str">
        <x:v>Trip dates</x:v>
      </x:c>
      <x:c r="J2014" s="73"/>
      <x:c r="K2014" s="74" t="str">
        <x:f>IF(J2014="",H2014,IF(J2014=I2014,I2014,J2014))</x:f>
        <x:v>Trip dates</x:v>
      </x:c>
      <x:c r="L2014" s="74" t="str">
        <x:f>IF(J2014="","Keep current",IF(J2014=I2014,"Use suggestion","Custom"))</x:f>
        <x:v>Keep current</x:v>
      </x:c>
      <x:c r="M2014" s="71" t="str">
        <x:v>Pending review</x:v>
      </x:c>
      <x:c r="N2014" s="71" t="str">
        <x:v>Normal</x:v>
      </x:c>
      <x:c r="O2014" s="71" t="str">
        <x:v>lib/easyt/trip-prep.ts</x:v>
      </x:c>
      <x:c r="P2014" s="71" t="str">
        <x:v>deriveTripPrepTasks:124</x:v>
      </x:c>
      <x:c r="Q2014" s="71" t="str">
        <x:v>EN (default / shared)</x:v>
      </x:c>
      <x:c r="R2014" s="71" t="str">
        <x:v>Already clear and direct; suggested wording intentionally keeps the current copy. Terminology watch: ‘trip’ and ‘journey’ both describe the same plan. Terminology watch: ‘stops’, ‘destinations’ and ‘places’ overlap.</x:v>
      </x:c>
      <x:c r="S2014" s="75" t="str">
        <x:v>Not applied — review required</x:v>
      </x:c>
    </x:row>
    <x:row r="2015">
      <x:c r="A2015" s="71" t="str">
        <x:v>MRV-570539A046</x:v>
      </x:c>
      <x:c r="B2015" s="71" t="str">
        <x:v>Trip workspace</x:v>
      </x:c>
      <x:c r="C2015" s="71" t="str">
        <x:v>Prep</x:v>
      </x:c>
      <x:c r="D2015" s="71" t="str">
        <x:v>Shared: Prep</x:v>
      </x:c>
      <x:c r="E2015" s="71" t="str">
        <x:v>deriveTripPrepTasks</x:v>
      </x:c>
      <x:c r="F2015" s="71" t="str">
        <x:v>Default</x:v>
      </x:c>
      <x:c r="G2015" s="71" t="str">
        <x:v>CTA / button</x:v>
      </x:c>
      <x:c r="H2015" s="71" t="str">
        <x:v>Review dates</x:v>
      </x:c>
      <x:c r="I2015" s="71" t="str">
        <x:v>Review dates</x:v>
      </x:c>
      <x:c r="J2015" s="73"/>
      <x:c r="K2015" s="74" t="str">
        <x:f>IF(J2015="",H2015,IF(J2015=I2015,I2015,J2015))</x:f>
        <x:v>Review dates</x:v>
      </x:c>
      <x:c r="L2015" s="74" t="str">
        <x:f>IF(J2015="","Keep current",IF(J2015=I2015,"Use suggestion","Custom"))</x:f>
        <x:v>Keep current</x:v>
      </x:c>
      <x:c r="M2015" s="71" t="str">
        <x:v>Pending review</x:v>
      </x:c>
      <x:c r="N2015" s="71" t="str">
        <x:v>Medium</x:v>
      </x:c>
      <x:c r="O2015" s="71" t="str">
        <x:v>lib/easyt/trip-prep.ts</x:v>
      </x:c>
      <x:c r="P2015" s="71" t="str">
        <x:v>deriveTripPrepTasks:131</x:v>
      </x:c>
      <x:c r="Q2015" s="71" t="str">
        <x:v>EN (default / shared)</x:v>
      </x:c>
      <x:c r="R2015" s="71" t="str">
        <x:v>Already clear and direct; suggested wording intentionally keeps the current copy. Duplicate wording: appears 2 times.</x:v>
      </x:c>
      <x:c r="S2015" s="75" t="str">
        <x:v>Not applied — review required</x:v>
      </x:c>
    </x:row>
    <x:row r="2016">
      <x:c r="A2016" s="71" t="str">
        <x:v>MRV-262145274A</x:v>
      </x:c>
      <x:c r="B2016" s="71" t="str">
        <x:v>Trip workspace</x:v>
      </x:c>
      <x:c r="C2016" s="71" t="str">
        <x:v>Prep</x:v>
      </x:c>
      <x:c r="D2016" s="71" t="str">
        <x:v>Shared: Prep</x:v>
      </x:c>
      <x:c r="E2016" s="71" t="str">
        <x:v>deriveTripPrepTasks</x:v>
      </x:c>
      <x:c r="F2016" s="71" t="str">
        <x:v>Default</x:v>
      </x:c>
      <x:c r="G2016" s="71" t="str">
        <x:v>Tooltip</x:v>
      </x:c>
      <x:c r="H2016" s="71" t="str">
        <x:v>Passport and traveller details</x:v>
      </x:c>
      <x:c r="I2016" s="71" t="str">
        <x:v>Passport and traveller details</x:v>
      </x:c>
      <x:c r="J2016" s="73"/>
      <x:c r="K2016" s="74" t="str">
        <x:f>IF(J2016="",H2016,IF(J2016=I2016,I2016,J2016))</x:f>
        <x:v>Passport and traveller details</x:v>
      </x:c>
      <x:c r="L2016" s="74" t="str">
        <x:f>IF(J2016="","Keep current",IF(J2016=I2016,"Use suggestion","Custom"))</x:f>
        <x:v>Keep current</x:v>
      </x:c>
      <x:c r="M2016" s="71" t="str">
        <x:v>Pending review</x:v>
      </x:c>
      <x:c r="N2016" s="71" t="str">
        <x:v>High</x:v>
      </x:c>
      <x:c r="O2016" s="71" t="str">
        <x:v>lib/easyt/trip-prep.ts</x:v>
      </x:c>
      <x:c r="P2016" s="71" t="str">
        <x:v>deriveTripPrepTasks:149</x:v>
      </x:c>
      <x:c r="Q2016" s="71" t="str">
        <x:v>EN (default / shared)</x:v>
      </x:c>
      <x:c r="R2016" s="71" t="str">
        <x:v>Already clear and direct; suggested wording intentionally keeps the current copy.</x:v>
      </x:c>
      <x:c r="S2016" s="75" t="str">
        <x:v>Not applied — review required</x:v>
      </x:c>
    </x:row>
    <x:row r="2017">
      <x:c r="A2017" s="71" t="str">
        <x:v>MRV-D7A4F16D7F</x:v>
      </x:c>
      <x:c r="B2017" s="71" t="str">
        <x:v>Trip workspace</x:v>
      </x:c>
      <x:c r="C2017" s="71" t="str">
        <x:v>Prep</x:v>
      </x:c>
      <x:c r="D2017" s="71" t="str">
        <x:v>Shared: Prep</x:v>
      </x:c>
      <x:c r="E2017" s="71" t="str">
        <x:v>deriveTripPrepTasks</x:v>
      </x:c>
      <x:c r="F2017" s="71" t="str">
        <x:v>Default</x:v>
      </x:c>
      <x:c r="G2017" s="71" t="str">
        <x:v>CTA / button</x:v>
      </x:c>
      <x:c r="H2017" s="71" t="str">
        <x:v>Review details</x:v>
      </x:c>
      <x:c r="I2017" s="71" t="str">
        <x:v>Review details</x:v>
      </x:c>
      <x:c r="J2017" s="73"/>
      <x:c r="K2017" s="74" t="str">
        <x:f>IF(J2017="",H2017,IF(J2017=I2017,I2017,J2017))</x:f>
        <x:v>Review details</x:v>
      </x:c>
      <x:c r="L2017" s="74" t="str">
        <x:f>IF(J2017="","Keep current",IF(J2017=I2017,"Use suggestion","Custom"))</x:f>
        <x:v>Keep current</x:v>
      </x:c>
      <x:c r="M2017" s="71" t="str">
        <x:v>Pending review</x:v>
      </x:c>
      <x:c r="N2017" s="71" t="str">
        <x:v>Medium</x:v>
      </x:c>
      <x:c r="O2017" s="71" t="str">
        <x:v>lib/easyt/trip-prep.ts</x:v>
      </x:c>
      <x:c r="P2017" s="71" t="str">
        <x:v>deriveTripPrepTasks:162</x:v>
      </x:c>
      <x:c r="Q2017" s="71" t="str">
        <x:v>EN (default / shared)</x:v>
      </x:c>
      <x:c r="R2017" s="71" t="str">
        <x:v>Already clear and direct; suggested wording intentionally keeps the current copy.</x:v>
      </x:c>
      <x:c r="S2017" s="75" t="str">
        <x:v>Not applied — review required</x:v>
      </x:c>
    </x:row>
    <x:row r="2018">
      <x:c r="A2018" s="71" t="str">
        <x:v>MRV-6A28A7B3D8</x:v>
      </x:c>
      <x:c r="B2018" s="71" t="str">
        <x:v>Trip workspace</x:v>
      </x:c>
      <x:c r="C2018" s="71" t="str">
        <x:v>Prep</x:v>
      </x:c>
      <x:c r="D2018" s="71" t="str">
        <x:v>Shared: Prep</x:v>
      </x:c>
      <x:c r="E2018" s="71" t="str">
        <x:v>deriveTripPrepTasks</x:v>
      </x:c>
      <x:c r="F2018" s="71" t="str">
        <x:v>Default</x:v>
      </x:c>
      <x:c r="G2018" s="71" t="str">
        <x:v>Tooltip</x:v>
      </x:c>
      <x:c r="H2018" s="71" t="str">
        <x:v>Accommodation</x:v>
      </x:c>
      <x:c r="I2018" s="71" t="str">
        <x:v>Accommodation</x:v>
      </x:c>
      <x:c r="J2018" s="73"/>
      <x:c r="K2018" s="74" t="str">
        <x:f>IF(J2018="",H2018,IF(J2018=I2018,I2018,J2018))</x:f>
        <x:v>Accommodation</x:v>
      </x:c>
      <x:c r="L2018" s="74" t="str">
        <x:f>IF(J2018="","Keep current",IF(J2018=I2018,"Use suggestion","Custom"))</x:f>
        <x:v>Keep current</x:v>
      </x:c>
      <x:c r="M2018" s="71" t="str">
        <x:v>Pending review</x:v>
      </x:c>
      <x:c r="N2018" s="71" t="str">
        <x:v>Normal</x:v>
      </x:c>
      <x:c r="O2018" s="71" t="str">
        <x:v>lib/easyt/trip-prep.ts</x:v>
      </x:c>
      <x:c r="P2018" s="71" t="str">
        <x:v>deriveTripPrepTasks:173</x:v>
      </x:c>
      <x:c r="Q2018" s="71" t="str">
        <x:v>EN (default / shared)</x:v>
      </x:c>
      <x:c r="R2018" s="71" t="str">
        <x:v>Already clear and direct; suggested wording intentionally keeps the current copy. Duplicate wording: appears 3 times.</x:v>
      </x:c>
      <x:c r="S2018" s="75" t="str">
        <x:v>Not applied — review required</x:v>
      </x:c>
    </x:row>
    <x:row r="2019">
      <x:c r="A2019" s="71" t="str">
        <x:v>MRV-F2D09FF4B3</x:v>
      </x:c>
      <x:c r="B2019" s="71" t="str">
        <x:v>Trip workspace</x:v>
      </x:c>
      <x:c r="C2019" s="71" t="str">
        <x:v>Prep</x:v>
      </x:c>
      <x:c r="D2019" s="71" t="str">
        <x:v>Shared: Prep</x:v>
      </x:c>
      <x:c r="E2019" s="71" t="str">
        <x:v>deriveTripPrepTasks</x:v>
      </x:c>
      <x:c r="F2019" s="71" t="str">
        <x:v>Default</x:v>
      </x:c>
      <x:c r="G2019" s="71" t="str">
        <x:v>CTA / button</x:v>
      </x:c>
      <x:c r="H2019" s="71" t="str">
        <x:v>Review dates</x:v>
      </x:c>
      <x:c r="I2019" s="71" t="str">
        <x:v>Review dates</x:v>
      </x:c>
      <x:c r="J2019" s="73"/>
      <x:c r="K2019" s="74" t="str">
        <x:f>IF(J2019="",H2019,IF(J2019=I2019,I2019,J2019))</x:f>
        <x:v>Review dates</x:v>
      </x:c>
      <x:c r="L2019" s="74" t="str">
        <x:f>IF(J2019="","Keep current",IF(J2019=I2019,"Use suggestion","Custom"))</x:f>
        <x:v>Keep current</x:v>
      </x:c>
      <x:c r="M2019" s="71" t="str">
        <x:v>Pending review</x:v>
      </x:c>
      <x:c r="N2019" s="71" t="str">
        <x:v>Medium</x:v>
      </x:c>
      <x:c r="O2019" s="71" t="str">
        <x:v>lib/easyt/trip-prep.ts</x:v>
      </x:c>
      <x:c r="P2019" s="71" t="str">
        <x:v>deriveTripPrepTasks:181</x:v>
      </x:c>
      <x:c r="Q2019" s="71" t="str">
        <x:v>EN (default / shared)</x:v>
      </x:c>
      <x:c r="R2019" s="71" t="str">
        <x:v>Already clear and direct; suggested wording intentionally keeps the current copy. Duplicate wording: appears 2 times.</x:v>
      </x:c>
      <x:c r="S2019" s="75" t="str">
        <x:v>Not applied — review required</x:v>
      </x:c>
    </x:row>
    <x:row r="2020">
      <x:c r="A2020" s="71" t="str">
        <x:v>MRV-C384916F02</x:v>
      </x:c>
      <x:c r="B2020" s="71" t="str">
        <x:v>Trip workspace</x:v>
      </x:c>
      <x:c r="C2020" s="71" t="str">
        <x:v>Prep</x:v>
      </x:c>
      <x:c r="D2020" s="71" t="str">
        <x:v>Shared: Prep</x:v>
      </x:c>
      <x:c r="E2020" s="71" t="str">
        <x:v>deriveTripPrepTasks</x:v>
      </x:c>
      <x:c r="F2020" s="71" t="str">
        <x:v>Default</x:v>
      </x:c>
      <x:c r="G2020" s="71" t="str">
        <x:v>CTA / button</x:v>
      </x:c>
      <x:c r="H2020" s="71" t="str">
        <x:v>Find stays</x:v>
      </x:c>
      <x:c r="I2020" s="71" t="str">
        <x:v>Find stays</x:v>
      </x:c>
      <x:c r="J2020" s="73"/>
      <x:c r="K2020" s="74" t="str">
        <x:f>IF(J2020="",H2020,IF(J2020=I2020,I2020,J2020))</x:f>
        <x:v>Find stays</x:v>
      </x:c>
      <x:c r="L2020" s="74" t="str">
        <x:f>IF(J2020="","Keep current",IF(J2020=I2020,"Use suggestion","Custom"))</x:f>
        <x:v>Keep current</x:v>
      </x:c>
      <x:c r="M2020" s="71" t="str">
        <x:v>Pending review</x:v>
      </x:c>
      <x:c r="N2020" s="71" t="str">
        <x:v>Medium</x:v>
      </x:c>
      <x:c r="O2020" s="71" t="str">
        <x:v>lib/easyt/trip-prep.ts</x:v>
      </x:c>
      <x:c r="P2020" s="71" t="str">
        <x:v>deriveTripPrepTasks:184</x:v>
      </x:c>
      <x:c r="Q2020" s="71" t="str">
        <x:v>EN (default / shared)</x:v>
      </x:c>
      <x:c r="R2020" s="71" t="str">
        <x:v>Already clear and direct; suggested wording intentionally keeps the current copy.</x:v>
      </x:c>
      <x:c r="S2020" s="75" t="str">
        <x:v>Not applied — review required</x:v>
      </x:c>
    </x:row>
    <x:row r="2021">
      <x:c r="A2021" s="71" t="str">
        <x:v>MRV-B9D44D351F</x:v>
      </x:c>
      <x:c r="B2021" s="71" t="str">
        <x:v>Trip workspace</x:v>
      </x:c>
      <x:c r="C2021" s="71" t="str">
        <x:v>Prep</x:v>
      </x:c>
      <x:c r="D2021" s="71" t="str">
        <x:v>Shared: Prep</x:v>
      </x:c>
      <x:c r="E2021" s="71" t="str">
        <x:v>deriveTripPrepTasks</x:v>
      </x:c>
      <x:c r="F2021" s="71" t="str">
        <x:v>Default</x:v>
      </x:c>
      <x:c r="G2021" s="71" t="str">
        <x:v>CTA / button</x:v>
      </x:c>
      <x:c r="H2021" s="71" t="str">
        <x:v>Review guidance</x:v>
      </x:c>
      <x:c r="I2021" s="71" t="str">
        <x:v>Review guidance</x:v>
      </x:c>
      <x:c r="J2021" s="73"/>
      <x:c r="K2021" s="74" t="str">
        <x:f>IF(J2021="",H2021,IF(J2021=I2021,I2021,J2021))</x:f>
        <x:v>Review guidance</x:v>
      </x:c>
      <x:c r="L2021" s="74" t="str">
        <x:f>IF(J2021="","Keep current",IF(J2021=I2021,"Use suggestion","Custom"))</x:f>
        <x:v>Keep current</x:v>
      </x:c>
      <x:c r="M2021" s="71" t="str">
        <x:v>Pending review</x:v>
      </x:c>
      <x:c r="N2021" s="71" t="str">
        <x:v>Medium</x:v>
      </x:c>
      <x:c r="O2021" s="71" t="str">
        <x:v>lib/easyt/trip-prep.ts</x:v>
      </x:c>
      <x:c r="P2021" s="71" t="str">
        <x:v>deriveTripPrepTasks:204</x:v>
      </x:c>
      <x:c r="Q2021" s="71" t="str">
        <x:v>EN (default / shared)</x:v>
      </x:c>
      <x:c r="R2021" s="71" t="str">
        <x:v>Already clear and direct; suggested wording intentionally keeps the current copy. Duplicate wording: appears 2 times.</x:v>
      </x:c>
      <x:c r="S2021" s="75" t="str">
        <x:v>Not applied — review required</x:v>
      </x:c>
    </x:row>
    <x:row r="2022">
      <x:c r="A2022" s="71" t="str">
        <x:v>MRV-04ED587DC2</x:v>
      </x:c>
      <x:c r="B2022" s="71" t="str">
        <x:v>Trip workspace</x:v>
      </x:c>
      <x:c r="C2022" s="71" t="str">
        <x:v>Prep</x:v>
      </x:c>
      <x:c r="D2022" s="71" t="str">
        <x:v>Shared: Prep</x:v>
      </x:c>
      <x:c r="E2022" s="71" t="str">
        <x:v>deriveTripPrepTasks</x:v>
      </x:c>
      <x:c r="F2022" s="71" t="str">
        <x:v>Default</x:v>
      </x:c>
      <x:c r="G2022" s="71" t="str">
        <x:v>CTA / button</x:v>
      </x:c>
      <x:c r="H2022" s="71" t="str">
        <x:v>Review guidance</x:v>
      </x:c>
      <x:c r="I2022" s="71" t="str">
        <x:v>Review guidance</x:v>
      </x:c>
      <x:c r="J2022" s="73"/>
      <x:c r="K2022" s="74" t="str">
        <x:f>IF(J2022="",H2022,IF(J2022=I2022,I2022,J2022))</x:f>
        <x:v>Review guidance</x:v>
      </x:c>
      <x:c r="L2022" s="74" t="str">
        <x:f>IF(J2022="","Keep current",IF(J2022=I2022,"Use suggestion","Custom"))</x:f>
        <x:v>Keep current</x:v>
      </x:c>
      <x:c r="M2022" s="71" t="str">
        <x:v>Pending review</x:v>
      </x:c>
      <x:c r="N2022" s="71" t="str">
        <x:v>Medium</x:v>
      </x:c>
      <x:c r="O2022" s="71" t="str">
        <x:v>lib/easyt/trip-prep.ts</x:v>
      </x:c>
      <x:c r="P2022" s="71" t="str">
        <x:v>deriveTripPrepTasks:230</x:v>
      </x:c>
      <x:c r="Q2022" s="71" t="str">
        <x:v>EN (default / shared)</x:v>
      </x:c>
      <x:c r="R2022" s="71" t="str">
        <x:v>Already clear and direct; suggested wording intentionally keeps the current copy. Duplicate wording: appears 2 times.</x:v>
      </x:c>
      <x:c r="S2022" s="75" t="str">
        <x:v>Not applied — review required</x:v>
      </x:c>
    </x:row>
    <x:row r="2023">
      <x:c r="A2023" s="71" t="str">
        <x:v>MRV-320EEB30F0</x:v>
      </x:c>
      <x:c r="B2023" s="71" t="str">
        <x:v>Trip workspace</x:v>
      </x:c>
      <x:c r="C2023" s="71" t="str">
        <x:v>Prep</x:v>
      </x:c>
      <x:c r="D2023" s="71" t="str">
        <x:v>Shared: Prep</x:v>
      </x:c>
      <x:c r="E2023" s="71" t="str">
        <x:v>signals</x:v>
      </x:c>
      <x:c r="F2023" s="71" t="str">
        <x:v>Default</x:v>
      </x:c>
      <x:c r="G2023" s="71" t="str">
        <x:v>Body copy</x:v>
      </x:c>
      <x:c r="H2023" s="71" t="str">
        <x:v>{stays.sortedCount} of {stays.stops.length} stays sorted</x:v>
      </x:c>
      <x:c r="I2023" s="71" t="str">
        <x:v>{stays.sortedCount} of {stays.stops.length} stays sorted</x:v>
      </x:c>
      <x:c r="J2023" s="73"/>
      <x:c r="K2023" s="74" t="str">
        <x:f>IF(J2023="",H2023,IF(J2023=I2023,I2023,J2023))</x:f>
        <x:v>{stays.sortedCount} of {stays.stops.length} stays sorted</x:v>
      </x:c>
      <x:c r="L2023" s="74" t="str">
        <x:f>IF(J2023="","Keep current",IF(J2023=I2023,"Use suggestion","Custom"))</x:f>
        <x:v>Keep current</x:v>
      </x:c>
      <x:c r="M2023" s="71" t="str">
        <x:v>Pending review</x:v>
      </x:c>
      <x:c r="N2023" s="71" t="str">
        <x:v>Normal</x:v>
      </x:c>
      <x:c r="O2023" s="71" t="str">
        <x:v>lib/easyt/trip-readiness-summary.ts</x:v>
      </x:c>
      <x:c r="P2023" s="71" t="str">
        <x:v>signals:31</x:v>
      </x:c>
      <x:c r="Q2023" s="71" t="str">
        <x:v>EN (default / shared)</x:v>
      </x:c>
      <x:c r="R2023"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2023" s="75" t="str">
        <x:v>Not applied — review required</x:v>
      </x:c>
    </x:row>
    <x:row r="2024">
      <x:c r="A2024" s="71" t="str">
        <x:v>MRV-5DE9B153CA</x:v>
      </x:c>
      <x:c r="B2024" s="71" t="str">
        <x:v>Trip workspace</x:v>
      </x:c>
      <x:c r="C2024" s="71" t="str">
        <x:v>Prep</x:v>
      </x:c>
      <x:c r="D2024" s="71" t="str">
        <x:v>Shared: Prep</x:v>
      </x:c>
      <x:c r="E2024" s="71" t="str">
        <x:v>signals</x:v>
      </x:c>
      <x:c r="F2024" s="71" t="str">
        <x:v>Default</x:v>
      </x:c>
      <x:c r="G2024" s="71" t="str">
        <x:v>Label</x:v>
      </x:c>
      <x:c r="H2024" s="71" t="str">
        <x:v>Overnight stays to confirm</x:v>
      </x:c>
      <x:c r="I2024" s="71" t="str">
        <x:v>Overnight stays to confirm</x:v>
      </x:c>
      <x:c r="J2024" s="73"/>
      <x:c r="K2024" s="74" t="str">
        <x:f>IF(J2024="",H2024,IF(J2024=I2024,I2024,J2024))</x:f>
        <x:v>Overnight stays to confirm</x:v>
      </x:c>
      <x:c r="L2024" s="74" t="str">
        <x:f>IF(J2024="","Keep current",IF(J2024=I2024,"Use suggestion","Custom"))</x:f>
        <x:v>Keep current</x:v>
      </x:c>
      <x:c r="M2024" s="71" t="str">
        <x:v>Pending review</x:v>
      </x:c>
      <x:c r="N2024" s="71" t="str">
        <x:v>Normal</x:v>
      </x:c>
      <x:c r="O2024" s="71" t="str">
        <x:v>lib/easyt/trip-readiness-summary.ts</x:v>
      </x:c>
      <x:c r="P2024" s="71" t="str">
        <x:v>signals:31</x:v>
      </x:c>
      <x:c r="Q2024" s="71" t="str">
        <x:v>EN (default / shared)</x:v>
      </x:c>
      <x:c r="R2024" s="71" t="str">
        <x:v>Already clear and direct; suggested wording intentionally keeps the current copy.</x:v>
      </x:c>
      <x:c r="S2024" s="75" t="str">
        <x:v>Not applied — review required</x:v>
      </x:c>
    </x:row>
    <x:row r="2025">
      <x:c r="A2025" s="71" t="str">
        <x:v>MRV-ADBFAA9D59</x:v>
      </x:c>
      <x:c r="B2025" s="71" t="str">
        <x:v>Trip workspace</x:v>
      </x:c>
      <x:c r="C2025" s="71" t="str">
        <x:v>Prep</x:v>
      </x:c>
      <x:c r="D2025" s="71" t="str">
        <x:v>Shared: Prep</x:v>
      </x:c>
      <x:c r="E2025" s="71" t="str">
        <x:v>signals</x:v>
      </x:c>
      <x:c r="F2025" s="71" t="str">
        <x:v>Default</x:v>
      </x:c>
      <x:c r="G2025" s="71" t="str">
        <x:v>Body copy</x:v>
      </x:c>
      <x:c r="H2025" s="71" t="str">
        <x:v>Route needs a critical review</x:v>
      </x:c>
      <x:c r="I2025" s="71" t="str">
        <x:v>Route needs a critical review</x:v>
      </x:c>
      <x:c r="J2025" s="73"/>
      <x:c r="K2025" s="74" t="str">
        <x:f>IF(J2025="",H2025,IF(J2025=I2025,I2025,J2025))</x:f>
        <x:v>Route needs a critical review</x:v>
      </x:c>
      <x:c r="L2025" s="74" t="str">
        <x:f>IF(J2025="","Keep current",IF(J2025=I2025,"Use suggestion","Custom"))</x:f>
        <x:v>Keep current</x:v>
      </x:c>
      <x:c r="M2025" s="71" t="str">
        <x:v>Pending review</x:v>
      </x:c>
      <x:c r="N2025" s="71" t="str">
        <x:v>Normal</x:v>
      </x:c>
      <x:c r="O2025" s="71" t="str">
        <x:v>lib/easyt/trip-readiness-summary.ts</x:v>
      </x:c>
      <x:c r="P2025" s="71" t="str">
        <x:v>signals:37</x:v>
      </x:c>
      <x:c r="Q2025" s="71" t="str">
        <x:v>EN (default / shared)</x:v>
      </x:c>
      <x:c r="R2025" s="71" t="str">
        <x:v>Already clear and direct; suggested wording intentionally keeps the current copy.</x:v>
      </x:c>
      <x:c r="S2025" s="75" t="str">
        <x:v>Not applied — review required</x:v>
      </x:c>
    </x:row>
    <x:row r="2026">
      <x:c r="A2026" s="71" t="str">
        <x:v>MRV-B2301C8F16</x:v>
      </x:c>
      <x:c r="B2026" s="71" t="str">
        <x:v>Trip workspace</x:v>
      </x:c>
      <x:c r="C2026" s="71" t="str">
        <x:v>Prep</x:v>
      </x:c>
      <x:c r="D2026" s="71" t="str">
        <x:v>Shared: Prep</x:v>
      </x:c>
      <x:c r="E2026" s="71" t="str">
        <x:v>signals</x:v>
      </x:c>
      <x:c r="F2026" s="71" t="str">
        <x:v>Default</x:v>
      </x:c>
      <x:c r="G2026" s="71" t="str">
        <x:v>Label</x:v>
      </x:c>
      <x:c r="H2026" s="71" t="str">
        <x:v>Route has checks to review</x:v>
      </x:c>
      <x:c r="I2026" s="71" t="str">
        <x:v>Route has checks to review</x:v>
      </x:c>
      <x:c r="J2026" s="73"/>
      <x:c r="K2026" s="74" t="str">
        <x:f>IF(J2026="",H2026,IF(J2026=I2026,I2026,J2026))</x:f>
        <x:v>Route has checks to review</x:v>
      </x:c>
      <x:c r="L2026" s="74" t="str">
        <x:f>IF(J2026="","Keep current",IF(J2026=I2026,"Use suggestion","Custom"))</x:f>
        <x:v>Keep current</x:v>
      </x:c>
      <x:c r="M2026" s="71" t="str">
        <x:v>Pending review</x:v>
      </x:c>
      <x:c r="N2026" s="71" t="str">
        <x:v>Normal</x:v>
      </x:c>
      <x:c r="O2026" s="71" t="str">
        <x:v>lib/easyt/trip-readiness-summary.ts</x:v>
      </x:c>
      <x:c r="P2026" s="71" t="str">
        <x:v>signals:37</x:v>
      </x:c>
      <x:c r="Q2026" s="71" t="str">
        <x:v>EN (default / shared)</x:v>
      </x:c>
      <x:c r="R2026" s="71" t="str">
        <x:v>Already clear and direct; suggested wording intentionally keeps the current copy.</x:v>
      </x:c>
      <x:c r="S2026" s="75" t="str">
        <x:v>Not applied — review required</x:v>
      </x:c>
    </x:row>
    <x:row r="2027">
      <x:c r="A2027" s="71" t="str">
        <x:v>MRV-5945D8442F</x:v>
      </x:c>
      <x:c r="B2027" s="71" t="str">
        <x:v>Trip workspace</x:v>
      </x:c>
      <x:c r="C2027" s="71" t="str">
        <x:v>Prep</x:v>
      </x:c>
      <x:c r="D2027" s="71" t="str">
        <x:v>Shared: Prep</x:v>
      </x:c>
      <x:c r="E2027" s="71" t="str">
        <x:v>signals</x:v>
      </x:c>
      <x:c r="F2027" s="71" t="str">
        <x:v>Default</x:v>
      </x:c>
      <x:c r="G2027" s="71" t="str">
        <x:v>Label</x:v>
      </x:c>
      <x:c r="H2027" s="71" t="str">
        <x:v>Route checks clear</x:v>
      </x:c>
      <x:c r="I2027" s="71" t="str">
        <x:v>Route checks clear</x:v>
      </x:c>
      <x:c r="J2027" s="73"/>
      <x:c r="K2027" s="74" t="str">
        <x:f>IF(J2027="",H2027,IF(J2027=I2027,I2027,J2027))</x:f>
        <x:v>Route checks clear</x:v>
      </x:c>
      <x:c r="L2027" s="74" t="str">
        <x:f>IF(J2027="","Keep current",IF(J2027=I2027,"Use suggestion","Custom"))</x:f>
        <x:v>Keep current</x:v>
      </x:c>
      <x:c r="M2027" s="71" t="str">
        <x:v>Pending review</x:v>
      </x:c>
      <x:c r="N2027" s="71" t="str">
        <x:v>Normal</x:v>
      </x:c>
      <x:c r="O2027" s="71" t="str">
        <x:v>lib/easyt/trip-readiness-summary.ts</x:v>
      </x:c>
      <x:c r="P2027" s="71" t="str">
        <x:v>signals:37</x:v>
      </x:c>
      <x:c r="Q2027" s="71" t="str">
        <x:v>EN (default / shared)</x:v>
      </x:c>
      <x:c r="R2027" s="71" t="str">
        <x:v>Already clear and direct; suggested wording intentionally keeps the current copy.</x:v>
      </x:c>
      <x:c r="S2027" s="75" t="str">
        <x:v>Not applied — review required</x:v>
      </x:c>
    </x:row>
    <x:row r="2028">
      <x:c r="A2028" s="71" t="str">
        <x:v>MRV-2E66D02553</x:v>
      </x:c>
      <x:c r="B2028" s="71" t="str">
        <x:v>Trip workspace</x:v>
      </x:c>
      <x:c r="C2028" s="71" t="str">
        <x:v>Prep</x:v>
      </x:c>
      <x:c r="D2028" s="71" t="str">
        <x:v>Shared: Prep</x:v>
      </x:c>
      <x:c r="E2028" s="71" t="str">
        <x:v>signals</x:v>
      </x:c>
      <x:c r="F2028" s="71" t="str">
        <x:v>Default</x:v>
      </x:c>
      <x:c r="G2028" s="71" t="str">
        <x:v>Body copy</x:v>
      </x:c>
      <x:c r="H2028" s="71" t="str">
        <x:v>{completedPrep} of {savedPrep.length} saved Prep tasks complete</x:v>
      </x:c>
      <x:c r="I2028" s="71" t="str">
        <x:v>{completedPrep} of {savedPrep.length} saved Prep tasks complete</x:v>
      </x:c>
      <x:c r="J2028" s="73"/>
      <x:c r="K2028" s="74" t="str">
        <x:f>IF(J2028="",H2028,IF(J2028=I2028,I2028,J2028))</x:f>
        <x:v>{completedPrep} of {savedPrep.length} saved Prep tasks complete</x:v>
      </x:c>
      <x:c r="L2028" s="74" t="str">
        <x:f>IF(J2028="","Keep current",IF(J2028=I2028,"Use suggestion","Custom"))</x:f>
        <x:v>Keep current</x:v>
      </x:c>
      <x:c r="M2028" s="71" t="str">
        <x:v>Pending review</x:v>
      </x:c>
      <x:c r="N2028" s="71" t="str">
        <x:v>Normal</x:v>
      </x:c>
      <x:c r="O2028" s="71" t="str">
        <x:v>lib/easyt/trip-readiness-summary.ts</x:v>
      </x:c>
      <x:c r="P2028" s="71" t="str">
        <x:v>signals:43</x:v>
      </x:c>
      <x:c r="Q2028" s="71" t="str">
        <x:v>EN (default / shared)</x:v>
      </x:c>
      <x:c r="R2028" s="71" t="str">
        <x:v>Already clear and direct; suggested wording intentionally keeps the current copy. Dynamic traveller or trip value is represented as a token; user-generated values are excluded.</x:v>
      </x:c>
      <x:c r="S2028" s="75" t="str">
        <x:v>Not applied — review required</x:v>
      </x:c>
    </x:row>
    <x:row r="2029">
      <x:c r="A2029" s="71" t="str">
        <x:v>MRV-D2457D1BC2</x:v>
      </x:c>
      <x:c r="B2029" s="71" t="str">
        <x:v>Trip workspace</x:v>
      </x:c>
      <x:c r="C2029" s="71" t="str">
        <x:v>Prep</x:v>
      </x:c>
      <x:c r="D2029" s="71" t="str">
        <x:v>Shared: Prep</x:v>
      </x:c>
      <x:c r="E2029" s="71" t="str">
        <x:v>signals</x:v>
      </x:c>
      <x:c r="F2029" s="71" t="str">
        <x:v>Default</x:v>
      </x:c>
      <x:c r="G2029" s="71" t="str">
        <x:v>Label</x:v>
      </x:c>
      <x:c r="H2029" s="71" t="str">
        <x:v>Prep tasks to review</x:v>
      </x:c>
      <x:c r="I2029" s="71" t="str">
        <x:v>Prep tasks to review</x:v>
      </x:c>
      <x:c r="J2029" s="73"/>
      <x:c r="K2029" s="74" t="str">
        <x:f>IF(J2029="",H2029,IF(J2029=I2029,I2029,J2029))</x:f>
        <x:v>Prep tasks to review</x:v>
      </x:c>
      <x:c r="L2029" s="74" t="str">
        <x:f>IF(J2029="","Keep current",IF(J2029=I2029,"Use suggestion","Custom"))</x:f>
        <x:v>Keep current</x:v>
      </x:c>
      <x:c r="M2029" s="71" t="str">
        <x:v>Pending review</x:v>
      </x:c>
      <x:c r="N2029" s="71" t="str">
        <x:v>Normal</x:v>
      </x:c>
      <x:c r="O2029" s="71" t="str">
        <x:v>lib/easyt/trip-readiness-summary.ts</x:v>
      </x:c>
      <x:c r="P2029" s="71" t="str">
        <x:v>signals:43</x:v>
      </x:c>
      <x:c r="Q2029" s="71" t="str">
        <x:v>EN (default / shared)</x:v>
      </x:c>
      <x:c r="R2029" s="71" t="str">
        <x:v>Already clear and direct; suggested wording intentionally keeps the current copy.</x:v>
      </x:c>
      <x:c r="S2029" s="75" t="str">
        <x:v>Not applied — review required</x:v>
      </x:c>
    </x:row>
    <x:row r="2030">
      <x:c r="A2030" s="71" t="str">
        <x:v>MRV-9577C17B81</x:v>
      </x:c>
      <x:c r="B2030" s="71" t="str">
        <x:v>Planning</x:v>
      </x:c>
      <x:c r="C2030" s="71" t="str">
        <x:v>Planner recommendations</x:v>
      </x:c>
      <x:c r="D2030" s="71" t="str">
        <x:v>Shared planner output</x:v>
      </x:c>
      <x:c r="E2030" s="71" t="str">
        <x:v>totalDaysFor</x:v>
      </x:c>
      <x:c r="F2030" s="71" t="str">
        <x:v>Default</x:v>
      </x:c>
      <x:c r="G2030" s="71" t="str">
        <x:v>Body copy</x:v>
      </x:c>
      <x:c r="H2030" s="71" t="str">
        <x:v>{trip.endDate}T00:00:00</x:v>
      </x:c>
      <x:c r="I2030" s="71" t="str">
        <x:v>{trip.endDate}T00:00:00</x:v>
      </x:c>
      <x:c r="J2030" s="73"/>
      <x:c r="K2030" s="74" t="str">
        <x:f>IF(J2030="",H2030,IF(J2030=I2030,I2030,J2030))</x:f>
        <x:v>{trip.endDate}T00:00:00</x:v>
      </x:c>
      <x:c r="L2030" s="74" t="str">
        <x:f>IF(J2030="","Keep current",IF(J2030=I2030,"Use suggestion","Custom"))</x:f>
        <x:v>Keep current</x:v>
      </x:c>
      <x:c r="M2030" s="71" t="str">
        <x:v>Pending review</x:v>
      </x:c>
      <x:c r="N2030" s="71" t="str">
        <x:v>Normal</x:v>
      </x:c>
      <x:c r="O2030" s="71" t="str">
        <x:v>lib/easyt/trip-replan.ts</x:v>
      </x:c>
      <x:c r="P2030" s="71" t="str">
        <x:v>totalDaysFor:11</x:v>
      </x:c>
      <x:c r="Q2030" s="71" t="str">
        <x:v>EN (default / shared)</x:v>
      </x:c>
      <x:c r="R2030"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2030" s="75" t="str">
        <x:v>Not applied — review required</x:v>
      </x:c>
    </x:row>
    <x:row r="2031">
      <x:c r="A2031" s="71" t="str">
        <x:v>MRV-35DA3CE561</x:v>
      </x:c>
      <x:c r="B2031" s="71" t="str">
        <x:v>Planning</x:v>
      </x:c>
      <x:c r="C2031" s="71" t="str">
        <x:v>Planner recommendations</x:v>
      </x:c>
      <x:c r="D2031" s="71" t="str">
        <x:v>Shared planner output</x:v>
      </x:c>
      <x:c r="E2031" s="71" t="str">
        <x:v>totalDaysFor</x:v>
      </x:c>
      <x:c r="F2031" s="71" t="str">
        <x:v>Default</x:v>
      </x:c>
      <x:c r="G2031" s="71" t="str">
        <x:v>Body copy</x:v>
      </x:c>
      <x:c r="H2031" s="71" t="str">
        <x:v>{trip.startDate}T00:00:00</x:v>
      </x:c>
      <x:c r="I2031" s="71" t="str">
        <x:v>{trip.startDate}T00:00:00</x:v>
      </x:c>
      <x:c r="J2031" s="73"/>
      <x:c r="K2031" s="74" t="str">
        <x:f>IF(J2031="",H2031,IF(J2031=I2031,I2031,J2031))</x:f>
        <x:v>{trip.startDate}T00:00:00</x:v>
      </x:c>
      <x:c r="L2031" s="74" t="str">
        <x:f>IF(J2031="","Keep current",IF(J2031=I2031,"Use suggestion","Custom"))</x:f>
        <x:v>Keep current</x:v>
      </x:c>
      <x:c r="M2031" s="71" t="str">
        <x:v>Pending review</x:v>
      </x:c>
      <x:c r="N2031" s="71" t="str">
        <x:v>Normal</x:v>
      </x:c>
      <x:c r="O2031" s="71" t="str">
        <x:v>lib/easyt/trip-replan.ts</x:v>
      </x:c>
      <x:c r="P2031" s="71" t="str">
        <x:v>totalDaysFor:11</x:v>
      </x:c>
      <x:c r="Q2031" s="71" t="str">
        <x:v>EN (default / shared)</x:v>
      </x:c>
      <x:c r="R2031"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2031" s="75" t="str">
        <x:v>Not applied — review required</x:v>
      </x:c>
    </x:row>
    <x:row r="2032">
      <x:c r="A2032" s="71" t="str">
        <x:v>MRV-281769D67F</x:v>
      </x:c>
      <x:c r="B2032" s="71" t="str">
        <x:v>Travel utility</x:v>
      </x:c>
      <x:c r="C2032" s="71" t="str">
        <x:v>Passport</x:v>
      </x:c>
      <x:c r="D2032" s="71" t="str">
        <x:v>Shared: Passport</x:v>
      </x:c>
      <x:c r="E2032" s="71" t="str">
        <x:v>flagFromIso2</x:v>
      </x:c>
      <x:c r="F2032" s="71" t="str">
        <x:v>Default</x:v>
      </x:c>
      <x:c r="G2032" s="71" t="str">
        <x:v>Label</x:v>
      </x:c>
      <x:c r="H2032" s="71" t="str">
        <x:v>🌐</x:v>
      </x:c>
      <x:c r="I2032" s="71" t="str">
        <x:v>🌐</x:v>
      </x:c>
      <x:c r="J2032" s="73"/>
      <x:c r="K2032" s="74" t="str">
        <x:f>IF(J2032="",H2032,IF(J2032=I2032,I2032,J2032))</x:f>
        <x:v>🌐</x:v>
      </x:c>
      <x:c r="L2032" s="74" t="str">
        <x:f>IF(J2032="","Keep current",IF(J2032=I2032,"Use suggestion","Custom"))</x:f>
        <x:v>Keep current</x:v>
      </x:c>
      <x:c r="M2032" s="71" t="str">
        <x:v>Pending review</x:v>
      </x:c>
      <x:c r="N2032" s="71" t="str">
        <x:v>Normal</x:v>
      </x:c>
      <x:c r="O2032" s="71" t="str">
        <x:v>lib/easyt/visa-requirements.ts</x:v>
      </x:c>
      <x:c r="P2032" s="71" t="str">
        <x:v>flagFromIso2:31</x:v>
      </x:c>
      <x:c r="Q2032" s="71" t="str">
        <x:v>EN (default / shared)</x:v>
      </x:c>
      <x:c r="R2032" s="71" t="str">
        <x:v>Already clear and direct; suggested wording intentionally keeps the current copy.</x:v>
      </x:c>
      <x:c r="S2032" s="75" t="str">
        <x:v>Not applied — review required</x:v>
      </x:c>
    </x:row>
    <x:row r="2033">
      <x:c r="A2033" s="71" t="str">
        <x:v>MRV-DA700A90B8</x:v>
      </x:c>
      <x:c r="B2033" s="71" t="str">
        <x:v>Travel utility</x:v>
      </x:c>
      <x:c r="C2033" s="71" t="str">
        <x:v>Passport</x:v>
      </x:c>
      <x:c r="D2033" s="71" t="str">
        <x:v>Shared: Passport</x:v>
      </x:c>
      <x:c r="E2033" s="71" t="str">
        <x:v>SCHENGEN_DESTINATIONS</x:v>
      </x:c>
      <x:c r="F2033" s="71" t="str">
        <x:v>Default</x:v>
      </x:c>
      <x:c r="G2033" s="71" t="str">
        <x:v>Label</x:v>
      </x:c>
      <x:c r="H2033" s="71" t="str">
        <x:v>Austria</x:v>
      </x:c>
      <x:c r="I2033" s="71" t="str">
        <x:v>Austria</x:v>
      </x:c>
      <x:c r="J2033" s="73"/>
      <x:c r="K2033" s="74" t="str">
        <x:f>IF(J2033="",H2033,IF(J2033=I2033,I2033,J2033))</x:f>
        <x:v>Austria</x:v>
      </x:c>
      <x:c r="L2033" s="74" t="str">
        <x:f>IF(J2033="","Keep current",IF(J2033=I2033,"Use suggestion","Custom"))</x:f>
        <x:v>Keep current</x:v>
      </x:c>
      <x:c r="M2033" s="71" t="str">
        <x:v>Pending review</x:v>
      </x:c>
      <x:c r="N2033" s="71" t="str">
        <x:v>Normal</x:v>
      </x:c>
      <x:c r="O2033" s="71" t="str">
        <x:v>lib/easyt/visa-requirements.ts</x:v>
      </x:c>
      <x:c r="P2033" s="71" t="str">
        <x:v>SCHENGEN_DESTINATIONS:41</x:v>
      </x:c>
      <x:c r="Q2033" s="71" t="str">
        <x:v>EN (default / shared)</x:v>
      </x:c>
      <x:c r="R2033" s="71" t="str">
        <x:v>Already clear and direct; suggested wording intentionally keeps the current copy.</x:v>
      </x:c>
      <x:c r="S2033" s="75" t="str">
        <x:v>Not applied — review required</x:v>
      </x:c>
    </x:row>
    <x:row r="2034">
      <x:c r="A2034" s="71" t="str">
        <x:v>MRV-8E71517CE0</x:v>
      </x:c>
      <x:c r="B2034" s="71" t="str">
        <x:v>Travel utility</x:v>
      </x:c>
      <x:c r="C2034" s="71" t="str">
        <x:v>Passport</x:v>
      </x:c>
      <x:c r="D2034" s="71" t="str">
        <x:v>Shared: Passport</x:v>
      </x:c>
      <x:c r="E2034" s="71" t="str">
        <x:v>SCHENGEN_DESTINATIONS</x:v>
      </x:c>
      <x:c r="F2034" s="71" t="str">
        <x:v>Default</x:v>
      </x:c>
      <x:c r="G2034" s="71" t="str">
        <x:v>Label</x:v>
      </x:c>
      <x:c r="H2034" s="71" t="str">
        <x:v>Croatia</x:v>
      </x:c>
      <x:c r="I2034" s="71" t="str">
        <x:v>Croatia</x:v>
      </x:c>
      <x:c r="J2034" s="73"/>
      <x:c r="K2034" s="74" t="str">
        <x:f>IF(J2034="",H2034,IF(J2034=I2034,I2034,J2034))</x:f>
        <x:v>Croatia</x:v>
      </x:c>
      <x:c r="L2034" s="74" t="str">
        <x:f>IF(J2034="","Keep current",IF(J2034=I2034,"Use suggestion","Custom"))</x:f>
        <x:v>Keep current</x:v>
      </x:c>
      <x:c r="M2034" s="71" t="str">
        <x:v>Pending review</x:v>
      </x:c>
      <x:c r="N2034" s="71" t="str">
        <x:v>Normal</x:v>
      </x:c>
      <x:c r="O2034" s="71" t="str">
        <x:v>lib/easyt/visa-requirements.ts</x:v>
      </x:c>
      <x:c r="P2034" s="71" t="str">
        <x:v>SCHENGEN_DESTINATIONS:41</x:v>
      </x:c>
      <x:c r="Q2034" s="71" t="str">
        <x:v>EN (default / shared)</x:v>
      </x:c>
      <x:c r="R2034" s="71" t="str">
        <x:v>Already clear and direct; suggested wording intentionally keeps the current copy.</x:v>
      </x:c>
      <x:c r="S2034" s="75" t="str">
        <x:v>Not applied — review required</x:v>
      </x:c>
    </x:row>
    <x:row r="2035">
      <x:c r="A2035" s="71" t="str">
        <x:v>MRV-3589413207</x:v>
      </x:c>
      <x:c r="B2035" s="71" t="str">
        <x:v>Travel utility</x:v>
      </x:c>
      <x:c r="C2035" s="71" t="str">
        <x:v>Passport</x:v>
      </x:c>
      <x:c r="D2035" s="71" t="str">
        <x:v>Shared: Passport</x:v>
      </x:c>
      <x:c r="E2035" s="71" t="str">
        <x:v>SCHENGEN_DESTINATIONS</x:v>
      </x:c>
      <x:c r="F2035" s="71" t="str">
        <x:v>Default</x:v>
      </x:c>
      <x:c r="G2035" s="71" t="str">
        <x:v>Label</x:v>
      </x:c>
      <x:c r="H2035" s="71" t="str">
        <x:v>Denmark</x:v>
      </x:c>
      <x:c r="I2035" s="71" t="str">
        <x:v>Denmark</x:v>
      </x:c>
      <x:c r="J2035" s="73"/>
      <x:c r="K2035" s="74" t="str">
        <x:f>IF(J2035="",H2035,IF(J2035=I2035,I2035,J2035))</x:f>
        <x:v>Denmark</x:v>
      </x:c>
      <x:c r="L2035" s="74" t="str">
        <x:f>IF(J2035="","Keep current",IF(J2035=I2035,"Use suggestion","Custom"))</x:f>
        <x:v>Keep current</x:v>
      </x:c>
      <x:c r="M2035" s="71" t="str">
        <x:v>Pending review</x:v>
      </x:c>
      <x:c r="N2035" s="71" t="str">
        <x:v>Normal</x:v>
      </x:c>
      <x:c r="O2035" s="71" t="str">
        <x:v>lib/easyt/visa-requirements.ts</x:v>
      </x:c>
      <x:c r="P2035" s="71" t="str">
        <x:v>SCHENGEN_DESTINATIONS:41</x:v>
      </x:c>
      <x:c r="Q2035" s="71" t="str">
        <x:v>EN (default / shared)</x:v>
      </x:c>
      <x:c r="R2035" s="71" t="str">
        <x:v>Already clear and direct; suggested wording intentionally keeps the current copy. Duplicate wording: appears 2 times.</x:v>
      </x:c>
      <x:c r="S2035" s="75" t="str">
        <x:v>Not applied — review required</x:v>
      </x:c>
    </x:row>
    <x:row r="2036">
      <x:c r="A2036" s="71" t="str">
        <x:v>MRV-6A028B297E</x:v>
      </x:c>
      <x:c r="B2036" s="71" t="str">
        <x:v>Travel utility</x:v>
      </x:c>
      <x:c r="C2036" s="71" t="str">
        <x:v>Passport</x:v>
      </x:c>
      <x:c r="D2036" s="71" t="str">
        <x:v>Shared: Passport</x:v>
      </x:c>
      <x:c r="E2036" s="71" t="str">
        <x:v>SCHENGEN_DESTINATIONS</x:v>
      </x:c>
      <x:c r="F2036" s="71" t="str">
        <x:v>Default</x:v>
      </x:c>
      <x:c r="G2036" s="71" t="str">
        <x:v>Label</x:v>
      </x:c>
      <x:c r="H2036" s="71" t="str">
        <x:v>Finland</x:v>
      </x:c>
      <x:c r="I2036" s="71" t="str">
        <x:v>Finland</x:v>
      </x:c>
      <x:c r="J2036" s="73"/>
      <x:c r="K2036" s="74" t="str">
        <x:f>IF(J2036="",H2036,IF(J2036=I2036,I2036,J2036))</x:f>
        <x:v>Finland</x:v>
      </x:c>
      <x:c r="L2036" s="74" t="str">
        <x:f>IF(J2036="","Keep current",IF(J2036=I2036,"Use suggestion","Custom"))</x:f>
        <x:v>Keep current</x:v>
      </x:c>
      <x:c r="M2036" s="71" t="str">
        <x:v>Pending review</x:v>
      </x:c>
      <x:c r="N2036" s="71" t="str">
        <x:v>Normal</x:v>
      </x:c>
      <x:c r="O2036" s="71" t="str">
        <x:v>lib/easyt/visa-requirements.ts</x:v>
      </x:c>
      <x:c r="P2036" s="71" t="str">
        <x:v>SCHENGEN_DESTINATIONS:41</x:v>
      </x:c>
      <x:c r="Q2036" s="71" t="str">
        <x:v>EN (default / shared)</x:v>
      </x:c>
      <x:c r="R2036" s="71" t="str">
        <x:v>Already clear and direct; suggested wording intentionally keeps the current copy. Duplicate wording: appears 2 times.</x:v>
      </x:c>
      <x:c r="S2036" s="75" t="str">
        <x:v>Not applied — review required</x:v>
      </x:c>
    </x:row>
    <x:row r="2037">
      <x:c r="A2037" s="71" t="str">
        <x:v>MRV-431D47258D</x:v>
      </x:c>
      <x:c r="B2037" s="71" t="str">
        <x:v>Travel utility</x:v>
      </x:c>
      <x:c r="C2037" s="71" t="str">
        <x:v>Passport</x:v>
      </x:c>
      <x:c r="D2037" s="71" t="str">
        <x:v>Shared: Passport</x:v>
      </x:c>
      <x:c r="E2037" s="71" t="str">
        <x:v>SCHENGEN_DESTINATIONS</x:v>
      </x:c>
      <x:c r="F2037" s="71" t="str">
        <x:v>Default</x:v>
      </x:c>
      <x:c r="G2037" s="71" t="str">
        <x:v>Label</x:v>
      </x:c>
      <x:c r="H2037" s="71" t="str">
        <x:v>France</x:v>
      </x:c>
      <x:c r="I2037" s="71" t="str">
        <x:v>France</x:v>
      </x:c>
      <x:c r="J2037" s="73"/>
      <x:c r="K2037" s="74" t="str">
        <x:f>IF(J2037="",H2037,IF(J2037=I2037,I2037,J2037))</x:f>
        <x:v>France</x:v>
      </x:c>
      <x:c r="L2037" s="74" t="str">
        <x:f>IF(J2037="","Keep current",IF(J2037=I2037,"Use suggestion","Custom"))</x:f>
        <x:v>Keep current</x:v>
      </x:c>
      <x:c r="M2037" s="71" t="str">
        <x:v>Pending review</x:v>
      </x:c>
      <x:c r="N2037" s="71" t="str">
        <x:v>Normal</x:v>
      </x:c>
      <x:c r="O2037" s="71" t="str">
        <x:v>lib/easyt/visa-requirements.ts</x:v>
      </x:c>
      <x:c r="P2037" s="71" t="str">
        <x:v>SCHENGEN_DESTINATIONS:41</x:v>
      </x:c>
      <x:c r="Q2037" s="71" t="str">
        <x:v>EN (default / shared)</x:v>
      </x:c>
      <x:c r="R2037" s="71" t="str">
        <x:v>Already clear and direct; suggested wording intentionally keeps the current copy. Duplicate wording: appears 2 times.</x:v>
      </x:c>
      <x:c r="S2037" s="75" t="str">
        <x:v>Not applied — review required</x:v>
      </x:c>
    </x:row>
    <x:row r="2038">
      <x:c r="A2038" s="71" t="str">
        <x:v>MRV-E209C6B3F1</x:v>
      </x:c>
      <x:c r="B2038" s="71" t="str">
        <x:v>Travel utility</x:v>
      </x:c>
      <x:c r="C2038" s="71" t="str">
        <x:v>Passport</x:v>
      </x:c>
      <x:c r="D2038" s="71" t="str">
        <x:v>Shared: Passport</x:v>
      </x:c>
      <x:c r="E2038" s="71" t="str">
        <x:v>SCHENGEN_DESTINATIONS</x:v>
      </x:c>
      <x:c r="F2038" s="71" t="str">
        <x:v>Default</x:v>
      </x:c>
      <x:c r="G2038" s="71" t="str">
        <x:v>Label</x:v>
      </x:c>
      <x:c r="H2038" s="71" t="str">
        <x:v>Germany</x:v>
      </x:c>
      <x:c r="I2038" s="71" t="str">
        <x:v>Germany</x:v>
      </x:c>
      <x:c r="J2038" s="73"/>
      <x:c r="K2038" s="74" t="str">
        <x:f>IF(J2038="",H2038,IF(J2038=I2038,I2038,J2038))</x:f>
        <x:v>Germany</x:v>
      </x:c>
      <x:c r="L2038" s="74" t="str">
        <x:f>IF(J2038="","Keep current",IF(J2038=I2038,"Use suggestion","Custom"))</x:f>
        <x:v>Keep current</x:v>
      </x:c>
      <x:c r="M2038" s="71" t="str">
        <x:v>Pending review</x:v>
      </x:c>
      <x:c r="N2038" s="71" t="str">
        <x:v>Normal</x:v>
      </x:c>
      <x:c r="O2038" s="71" t="str">
        <x:v>lib/easyt/visa-requirements.ts</x:v>
      </x:c>
      <x:c r="P2038" s="71" t="str">
        <x:v>SCHENGEN_DESTINATIONS:41</x:v>
      </x:c>
      <x:c r="Q2038" s="71" t="str">
        <x:v>EN (default / shared)</x:v>
      </x:c>
      <x:c r="R2038" s="71" t="str">
        <x:v>Already clear and direct; suggested wording intentionally keeps the current copy. Duplicate wording: appears 2 times.</x:v>
      </x:c>
      <x:c r="S2038" s="75" t="str">
        <x:v>Not applied — review required</x:v>
      </x:c>
    </x:row>
    <x:row r="2039">
      <x:c r="A2039" s="71" t="str">
        <x:v>MRV-3AFB1BF670</x:v>
      </x:c>
      <x:c r="B2039" s="71" t="str">
        <x:v>Travel utility</x:v>
      </x:c>
      <x:c r="C2039" s="71" t="str">
        <x:v>Passport</x:v>
      </x:c>
      <x:c r="D2039" s="71" t="str">
        <x:v>Shared: Passport</x:v>
      </x:c>
      <x:c r="E2039" s="71" t="str">
        <x:v>SCHENGEN_DESTINATIONS</x:v>
      </x:c>
      <x:c r="F2039" s="71" t="str">
        <x:v>Default</x:v>
      </x:c>
      <x:c r="G2039" s="71" t="str">
        <x:v>Label</x:v>
      </x:c>
      <x:c r="H2039" s="71" t="str">
        <x:v>Greece</x:v>
      </x:c>
      <x:c r="I2039" s="71" t="str">
        <x:v>Greece</x:v>
      </x:c>
      <x:c r="J2039" s="73"/>
      <x:c r="K2039" s="74" t="str">
        <x:f>IF(J2039="",H2039,IF(J2039=I2039,I2039,J2039))</x:f>
        <x:v>Greece</x:v>
      </x:c>
      <x:c r="L2039" s="74" t="str">
        <x:f>IF(J2039="","Keep current",IF(J2039=I2039,"Use suggestion","Custom"))</x:f>
        <x:v>Keep current</x:v>
      </x:c>
      <x:c r="M2039" s="71" t="str">
        <x:v>Pending review</x:v>
      </x:c>
      <x:c r="N2039" s="71" t="str">
        <x:v>Normal</x:v>
      </x:c>
      <x:c r="O2039" s="71" t="str">
        <x:v>lib/easyt/visa-requirements.ts</x:v>
      </x:c>
      <x:c r="P2039" s="71" t="str">
        <x:v>SCHENGEN_DESTINATIONS:41</x:v>
      </x:c>
      <x:c r="Q2039" s="71" t="str">
        <x:v>EN (default / shared)</x:v>
      </x:c>
      <x:c r="R2039" s="71" t="str">
        <x:v>Already clear and direct; suggested wording intentionally keeps the current copy.</x:v>
      </x:c>
      <x:c r="S2039" s="75" t="str">
        <x:v>Not applied — review required</x:v>
      </x:c>
    </x:row>
    <x:row r="2040">
      <x:c r="A2040" s="71" t="str">
        <x:v>MRV-145A618899</x:v>
      </x:c>
      <x:c r="B2040" s="71" t="str">
        <x:v>Travel utility</x:v>
      </x:c>
      <x:c r="C2040" s="71" t="str">
        <x:v>Passport</x:v>
      </x:c>
      <x:c r="D2040" s="71" t="str">
        <x:v>Shared: Passport</x:v>
      </x:c>
      <x:c r="E2040" s="71" t="str">
        <x:v>SCHENGEN_DESTINATIONS</x:v>
      </x:c>
      <x:c r="F2040" s="71" t="str">
        <x:v>Default</x:v>
      </x:c>
      <x:c r="G2040" s="71" t="str">
        <x:v>Label</x:v>
      </x:c>
      <x:c r="H2040" s="71" t="str">
        <x:v>Italy</x:v>
      </x:c>
      <x:c r="I2040" s="71" t="str">
        <x:v>Italy</x:v>
      </x:c>
      <x:c r="J2040" s="73"/>
      <x:c r="K2040" s="74" t="str">
        <x:f>IF(J2040="",H2040,IF(J2040=I2040,I2040,J2040))</x:f>
        <x:v>Italy</x:v>
      </x:c>
      <x:c r="L2040" s="74" t="str">
        <x:f>IF(J2040="","Keep current",IF(J2040=I2040,"Use suggestion","Custom"))</x:f>
        <x:v>Keep current</x:v>
      </x:c>
      <x:c r="M2040" s="71" t="str">
        <x:v>Pending review</x:v>
      </x:c>
      <x:c r="N2040" s="71" t="str">
        <x:v>Normal</x:v>
      </x:c>
      <x:c r="O2040" s="71" t="str">
        <x:v>lib/easyt/visa-requirements.ts</x:v>
      </x:c>
      <x:c r="P2040" s="71" t="str">
        <x:v>SCHENGEN_DESTINATIONS:41</x:v>
      </x:c>
      <x:c r="Q2040" s="71" t="str">
        <x:v>EN (default / shared)</x:v>
      </x:c>
      <x:c r="R2040" s="71" t="str">
        <x:v>Already clear and direct; suggested wording intentionally keeps the current copy.</x:v>
      </x:c>
      <x:c r="S2040" s="75" t="str">
        <x:v>Not applied — review required</x:v>
      </x:c>
    </x:row>
    <x:row r="2041">
      <x:c r="A2041" s="71" t="str">
        <x:v>MRV-BFC3421793</x:v>
      </x:c>
      <x:c r="B2041" s="71" t="str">
        <x:v>Travel utility</x:v>
      </x:c>
      <x:c r="C2041" s="71" t="str">
        <x:v>Passport</x:v>
      </x:c>
      <x:c r="D2041" s="71" t="str">
        <x:v>Shared: Passport</x:v>
      </x:c>
      <x:c r="E2041" s="71" t="str">
        <x:v>SCHENGEN_DESTINATIONS</x:v>
      </x:c>
      <x:c r="F2041" s="71" t="str">
        <x:v>Default</x:v>
      </x:c>
      <x:c r="G2041" s="71" t="str">
        <x:v>Label</x:v>
      </x:c>
      <x:c r="H2041" s="71" t="str">
        <x:v>Malta</x:v>
      </x:c>
      <x:c r="I2041" s="71" t="str">
        <x:v>Malta</x:v>
      </x:c>
      <x:c r="J2041" s="73"/>
      <x:c r="K2041" s="74" t="str">
        <x:f>IF(J2041="",H2041,IF(J2041=I2041,I2041,J2041))</x:f>
        <x:v>Malta</x:v>
      </x:c>
      <x:c r="L2041" s="74" t="str">
        <x:f>IF(J2041="","Keep current",IF(J2041=I2041,"Use suggestion","Custom"))</x:f>
        <x:v>Keep current</x:v>
      </x:c>
      <x:c r="M2041" s="71" t="str">
        <x:v>Pending review</x:v>
      </x:c>
      <x:c r="N2041" s="71" t="str">
        <x:v>Normal</x:v>
      </x:c>
      <x:c r="O2041" s="71" t="str">
        <x:v>lib/easyt/visa-requirements.ts</x:v>
      </x:c>
      <x:c r="P2041" s="71" t="str">
        <x:v>SCHENGEN_DESTINATIONS:42</x:v>
      </x:c>
      <x:c r="Q2041" s="71" t="str">
        <x:v>EN (default / shared)</x:v>
      </x:c>
      <x:c r="R2041" s="71" t="str">
        <x:v>Already clear and direct; suggested wording intentionally keeps the current copy.</x:v>
      </x:c>
      <x:c r="S2041" s="75" t="str">
        <x:v>Not applied — review required</x:v>
      </x:c>
    </x:row>
    <x:row r="2042">
      <x:c r="A2042" s="71" t="str">
        <x:v>MRV-87CE25339F</x:v>
      </x:c>
      <x:c r="B2042" s="71" t="str">
        <x:v>Travel utility</x:v>
      </x:c>
      <x:c r="C2042" s="71" t="str">
        <x:v>Passport</x:v>
      </x:c>
      <x:c r="D2042" s="71" t="str">
        <x:v>Shared: Passport</x:v>
      </x:c>
      <x:c r="E2042" s="71" t="str">
        <x:v>SCHENGEN_DESTINATIONS</x:v>
      </x:c>
      <x:c r="F2042" s="71" t="str">
        <x:v>Default</x:v>
      </x:c>
      <x:c r="G2042" s="71" t="str">
        <x:v>Label</x:v>
      </x:c>
      <x:c r="H2042" s="71" t="str">
        <x:v>Netherlands</x:v>
      </x:c>
      <x:c r="I2042" s="71" t="str">
        <x:v>Netherlands</x:v>
      </x:c>
      <x:c r="J2042" s="73"/>
      <x:c r="K2042" s="74" t="str">
        <x:f>IF(J2042="",H2042,IF(J2042=I2042,I2042,J2042))</x:f>
        <x:v>Netherlands</x:v>
      </x:c>
      <x:c r="L2042" s="74" t="str">
        <x:f>IF(J2042="","Keep current",IF(J2042=I2042,"Use suggestion","Custom"))</x:f>
        <x:v>Keep current</x:v>
      </x:c>
      <x:c r="M2042" s="71" t="str">
        <x:v>Pending review</x:v>
      </x:c>
      <x:c r="N2042" s="71" t="str">
        <x:v>Normal</x:v>
      </x:c>
      <x:c r="O2042" s="71" t="str">
        <x:v>lib/easyt/visa-requirements.ts</x:v>
      </x:c>
      <x:c r="P2042" s="71" t="str">
        <x:v>SCHENGEN_DESTINATIONS:42</x:v>
      </x:c>
      <x:c r="Q2042" s="71" t="str">
        <x:v>EN (default / shared)</x:v>
      </x:c>
      <x:c r="R2042" s="71" t="str">
        <x:v>Already clear and direct; suggested wording intentionally keeps the current copy. Duplicate wording: appears 2 times.</x:v>
      </x:c>
      <x:c r="S2042" s="75" t="str">
        <x:v>Not applied — review required</x:v>
      </x:c>
    </x:row>
    <x:row r="2043">
      <x:c r="A2043" s="71" t="str">
        <x:v>MRV-FEAAF615FC</x:v>
      </x:c>
      <x:c r="B2043" s="71" t="str">
        <x:v>Travel utility</x:v>
      </x:c>
      <x:c r="C2043" s="71" t="str">
        <x:v>Passport</x:v>
      </x:c>
      <x:c r="D2043" s="71" t="str">
        <x:v>Shared: Passport</x:v>
      </x:c>
      <x:c r="E2043" s="71" t="str">
        <x:v>SCHENGEN_DESTINATIONS</x:v>
      </x:c>
      <x:c r="F2043" s="71" t="str">
        <x:v>Default</x:v>
      </x:c>
      <x:c r="G2043" s="71" t="str">
        <x:v>Label</x:v>
      </x:c>
      <x:c r="H2043" s="71" t="str">
        <x:v>Norway</x:v>
      </x:c>
      <x:c r="I2043" s="71" t="str">
        <x:v>Norway</x:v>
      </x:c>
      <x:c r="J2043" s="73"/>
      <x:c r="K2043" s="74" t="str">
        <x:f>IF(J2043="",H2043,IF(J2043=I2043,I2043,J2043))</x:f>
        <x:v>Norway</x:v>
      </x:c>
      <x:c r="L2043" s="74" t="str">
        <x:f>IF(J2043="","Keep current",IF(J2043=I2043,"Use suggestion","Custom"))</x:f>
        <x:v>Keep current</x:v>
      </x:c>
      <x:c r="M2043" s="71" t="str">
        <x:v>Pending review</x:v>
      </x:c>
      <x:c r="N2043" s="71" t="str">
        <x:v>Normal</x:v>
      </x:c>
      <x:c r="O2043" s="71" t="str">
        <x:v>lib/easyt/visa-requirements.ts</x:v>
      </x:c>
      <x:c r="P2043" s="71" t="str">
        <x:v>SCHENGEN_DESTINATIONS:42</x:v>
      </x:c>
      <x:c r="Q2043" s="71" t="str">
        <x:v>EN (default / shared)</x:v>
      </x:c>
      <x:c r="R2043" s="71" t="str">
        <x:v>Already clear and direct; suggested wording intentionally keeps the current copy. Duplicate wording: appears 2 times.</x:v>
      </x:c>
      <x:c r="S2043" s="75" t="str">
        <x:v>Not applied — review required</x:v>
      </x:c>
    </x:row>
    <x:row r="2044">
      <x:c r="A2044" s="71" t="str">
        <x:v>MRV-C93BC00536</x:v>
      </x:c>
      <x:c r="B2044" s="71" t="str">
        <x:v>Travel utility</x:v>
      </x:c>
      <x:c r="C2044" s="71" t="str">
        <x:v>Passport</x:v>
      </x:c>
      <x:c r="D2044" s="71" t="str">
        <x:v>Shared: Passport</x:v>
      </x:c>
      <x:c r="E2044" s="71" t="str">
        <x:v>SCHENGEN_DESTINATIONS</x:v>
      </x:c>
      <x:c r="F2044" s="71" t="str">
        <x:v>Default</x:v>
      </x:c>
      <x:c r="G2044" s="71" t="str">
        <x:v>Label</x:v>
      </x:c>
      <x:c r="H2044" s="71" t="str">
        <x:v>Poland</x:v>
      </x:c>
      <x:c r="I2044" s="71" t="str">
        <x:v>Poland</x:v>
      </x:c>
      <x:c r="J2044" s="73"/>
      <x:c r="K2044" s="74" t="str">
        <x:f>IF(J2044="",H2044,IF(J2044=I2044,I2044,J2044))</x:f>
        <x:v>Poland</x:v>
      </x:c>
      <x:c r="L2044" s="74" t="str">
        <x:f>IF(J2044="","Keep current",IF(J2044=I2044,"Use suggestion","Custom"))</x:f>
        <x:v>Keep current</x:v>
      </x:c>
      <x:c r="M2044" s="71" t="str">
        <x:v>Pending review</x:v>
      </x:c>
      <x:c r="N2044" s="71" t="str">
        <x:v>Normal</x:v>
      </x:c>
      <x:c r="O2044" s="71" t="str">
        <x:v>lib/easyt/visa-requirements.ts</x:v>
      </x:c>
      <x:c r="P2044" s="71" t="str">
        <x:v>SCHENGEN_DESTINATIONS:42</x:v>
      </x:c>
      <x:c r="Q2044" s="71" t="str">
        <x:v>EN (default / shared)</x:v>
      </x:c>
      <x:c r="R2044" s="71" t="str">
        <x:v>Already clear and direct; suggested wording intentionally keeps the current copy.</x:v>
      </x:c>
      <x:c r="S2044" s="75" t="str">
        <x:v>Not applied — review required</x:v>
      </x:c>
    </x:row>
    <x:row r="2045">
      <x:c r="A2045" s="71" t="str">
        <x:v>MRV-F46FD4E413</x:v>
      </x:c>
      <x:c r="B2045" s="71" t="str">
        <x:v>Travel utility</x:v>
      </x:c>
      <x:c r="C2045" s="71" t="str">
        <x:v>Passport</x:v>
      </x:c>
      <x:c r="D2045" s="71" t="str">
        <x:v>Shared: Passport</x:v>
      </x:c>
      <x:c r="E2045" s="71" t="str">
        <x:v>SCHENGEN_DESTINATIONS</x:v>
      </x:c>
      <x:c r="F2045" s="71" t="str">
        <x:v>Default</x:v>
      </x:c>
      <x:c r="G2045" s="71" t="str">
        <x:v>Label</x:v>
      </x:c>
      <x:c r="H2045" s="71" t="str">
        <x:v>Portugal</x:v>
      </x:c>
      <x:c r="I2045" s="71" t="str">
        <x:v>Portugal</x:v>
      </x:c>
      <x:c r="J2045" s="73"/>
      <x:c r="K2045" s="74" t="str">
        <x:f>IF(J2045="",H2045,IF(J2045=I2045,I2045,J2045))</x:f>
        <x:v>Portugal</x:v>
      </x:c>
      <x:c r="L2045" s="74" t="str">
        <x:f>IF(J2045="","Keep current",IF(J2045=I2045,"Use suggestion","Custom"))</x:f>
        <x:v>Keep current</x:v>
      </x:c>
      <x:c r="M2045" s="71" t="str">
        <x:v>Pending review</x:v>
      </x:c>
      <x:c r="N2045" s="71" t="str">
        <x:v>Normal</x:v>
      </x:c>
      <x:c r="O2045" s="71" t="str">
        <x:v>lib/easyt/visa-requirements.ts</x:v>
      </x:c>
      <x:c r="P2045" s="71" t="str">
        <x:v>SCHENGEN_DESTINATIONS:42</x:v>
      </x:c>
      <x:c r="Q2045" s="71" t="str">
        <x:v>EN (default / shared)</x:v>
      </x:c>
      <x:c r="R2045" s="71" t="str">
        <x:v>Already clear and direct; suggested wording intentionally keeps the current copy.</x:v>
      </x:c>
      <x:c r="S2045" s="75" t="str">
        <x:v>Not applied — review required</x:v>
      </x:c>
    </x:row>
    <x:row r="2046">
      <x:c r="A2046" s="71" t="str">
        <x:v>MRV-D4C6A505DC</x:v>
      </x:c>
      <x:c r="B2046" s="71" t="str">
        <x:v>Travel utility</x:v>
      </x:c>
      <x:c r="C2046" s="71" t="str">
        <x:v>Passport</x:v>
      </x:c>
      <x:c r="D2046" s="71" t="str">
        <x:v>Shared: Passport</x:v>
      </x:c>
      <x:c r="E2046" s="71" t="str">
        <x:v>SCHENGEN_DESTINATIONS</x:v>
      </x:c>
      <x:c r="F2046" s="71" t="str">
        <x:v>Default</x:v>
      </x:c>
      <x:c r="G2046" s="71" t="str">
        <x:v>Label</x:v>
      </x:c>
      <x:c r="H2046" s="71" t="str">
        <x:v>Spain</x:v>
      </x:c>
      <x:c r="I2046" s="71" t="str">
        <x:v>Spain</x:v>
      </x:c>
      <x:c r="J2046" s="73"/>
      <x:c r="K2046" s="74" t="str">
        <x:f>IF(J2046="",H2046,IF(J2046=I2046,I2046,J2046))</x:f>
        <x:v>Spain</x:v>
      </x:c>
      <x:c r="L2046" s="74" t="str">
        <x:f>IF(J2046="","Keep current",IF(J2046=I2046,"Use suggestion","Custom"))</x:f>
        <x:v>Keep current</x:v>
      </x:c>
      <x:c r="M2046" s="71" t="str">
        <x:v>Pending review</x:v>
      </x:c>
      <x:c r="N2046" s="71" t="str">
        <x:v>Normal</x:v>
      </x:c>
      <x:c r="O2046" s="71" t="str">
        <x:v>lib/easyt/visa-requirements.ts</x:v>
      </x:c>
      <x:c r="P2046" s="71" t="str">
        <x:v>SCHENGEN_DESTINATIONS:42</x:v>
      </x:c>
      <x:c r="Q2046" s="71" t="str">
        <x:v>EN (default / shared)</x:v>
      </x:c>
      <x:c r="R2046" s="71" t="str">
        <x:v>Already clear and direct; suggested wording intentionally keeps the current copy. Duplicate wording: appears 2 times.</x:v>
      </x:c>
      <x:c r="S2046" s="75" t="str">
        <x:v>Not applied — review required</x:v>
      </x:c>
    </x:row>
    <x:row r="2047">
      <x:c r="A2047" s="71" t="str">
        <x:v>MRV-1139833391</x:v>
      </x:c>
      <x:c r="B2047" s="71" t="str">
        <x:v>Travel utility</x:v>
      </x:c>
      <x:c r="C2047" s="71" t="str">
        <x:v>Passport</x:v>
      </x:c>
      <x:c r="D2047" s="71" t="str">
        <x:v>Shared: Passport</x:v>
      </x:c>
      <x:c r="E2047" s="71" t="str">
        <x:v>SCHENGEN_DESTINATIONS</x:v>
      </x:c>
      <x:c r="F2047" s="71" t="str">
        <x:v>Default</x:v>
      </x:c>
      <x:c r="G2047" s="71" t="str">
        <x:v>Label</x:v>
      </x:c>
      <x:c r="H2047" s="71" t="str">
        <x:v>Sweden</x:v>
      </x:c>
      <x:c r="I2047" s="71" t="str">
        <x:v>Sweden</x:v>
      </x:c>
      <x:c r="J2047" s="73"/>
      <x:c r="K2047" s="74" t="str">
        <x:f>IF(J2047="",H2047,IF(J2047=I2047,I2047,J2047))</x:f>
        <x:v>Sweden</x:v>
      </x:c>
      <x:c r="L2047" s="74" t="str">
        <x:f>IF(J2047="","Keep current",IF(J2047=I2047,"Use suggestion","Custom"))</x:f>
        <x:v>Keep current</x:v>
      </x:c>
      <x:c r="M2047" s="71" t="str">
        <x:v>Pending review</x:v>
      </x:c>
      <x:c r="N2047" s="71" t="str">
        <x:v>Normal</x:v>
      </x:c>
      <x:c r="O2047" s="71" t="str">
        <x:v>lib/easyt/visa-requirements.ts</x:v>
      </x:c>
      <x:c r="P2047" s="71" t="str">
        <x:v>SCHENGEN_DESTINATIONS:42</x:v>
      </x:c>
      <x:c r="Q2047" s="71" t="str">
        <x:v>EN (default / shared)</x:v>
      </x:c>
      <x:c r="R2047" s="71" t="str">
        <x:v>Already clear and direct; suggested wording intentionally keeps the current copy. Duplicate wording: appears 2 times.</x:v>
      </x:c>
      <x:c r="S2047" s="75" t="str">
        <x:v>Not applied — review required</x:v>
      </x:c>
    </x:row>
    <x:row r="2048">
      <x:c r="A2048" s="71" t="str">
        <x:v>MRV-810DB4D66F</x:v>
      </x:c>
      <x:c r="B2048" s="71" t="str">
        <x:v>Travel utility</x:v>
      </x:c>
      <x:c r="C2048" s="71" t="str">
        <x:v>Passport</x:v>
      </x:c>
      <x:c r="D2048" s="71" t="str">
        <x:v>Shared: Passport</x:v>
      </x:c>
      <x:c r="E2048" s="71" t="str">
        <x:v>EU_EEA_PASSPORTS</x:v>
      </x:c>
      <x:c r="F2048" s="71" t="str">
        <x:v>Default</x:v>
      </x:c>
      <x:c r="G2048" s="71" t="str">
        <x:v>Label</x:v>
      </x:c>
      <x:c r="H2048" s="71" t="str">
        <x:v>Denmark</x:v>
      </x:c>
      <x:c r="I2048" s="71" t="str">
        <x:v>Denmark</x:v>
      </x:c>
      <x:c r="J2048" s="73"/>
      <x:c r="K2048" s="74" t="str">
        <x:f>IF(J2048="",H2048,IF(J2048=I2048,I2048,J2048))</x:f>
        <x:v>Denmark</x:v>
      </x:c>
      <x:c r="L2048" s="74" t="str">
        <x:f>IF(J2048="","Keep current",IF(J2048=I2048,"Use suggestion","Custom"))</x:f>
        <x:v>Keep current</x:v>
      </x:c>
      <x:c r="M2048" s="71" t="str">
        <x:v>Pending review</x:v>
      </x:c>
      <x:c r="N2048" s="71" t="str">
        <x:v>Normal</x:v>
      </x:c>
      <x:c r="O2048" s="71" t="str">
        <x:v>lib/easyt/visa-requirements.ts</x:v>
      </x:c>
      <x:c r="P2048" s="71" t="str">
        <x:v>EU_EEA_PASSPORTS:45</x:v>
      </x:c>
      <x:c r="Q2048" s="71" t="str">
        <x:v>EN (default / shared)</x:v>
      </x:c>
      <x:c r="R2048" s="71" t="str">
        <x:v>Already clear and direct; suggested wording intentionally keeps the current copy. Duplicate wording: appears 2 times.</x:v>
      </x:c>
      <x:c r="S2048" s="75" t="str">
        <x:v>Not applied — review required</x:v>
      </x:c>
    </x:row>
    <x:row r="2049">
      <x:c r="A2049" s="71" t="str">
        <x:v>MRV-790B2DD482</x:v>
      </x:c>
      <x:c r="B2049" s="71" t="str">
        <x:v>Travel utility</x:v>
      </x:c>
      <x:c r="C2049" s="71" t="str">
        <x:v>Passport</x:v>
      </x:c>
      <x:c r="D2049" s="71" t="str">
        <x:v>Shared: Passport</x:v>
      </x:c>
      <x:c r="E2049" s="71" t="str">
        <x:v>EU_EEA_PASSPORTS</x:v>
      </x:c>
      <x:c r="F2049" s="71" t="str">
        <x:v>Default</x:v>
      </x:c>
      <x:c r="G2049" s="71" t="str">
        <x:v>Label</x:v>
      </x:c>
      <x:c r="H2049" s="71" t="str">
        <x:v>Finland</x:v>
      </x:c>
      <x:c r="I2049" s="71" t="str">
        <x:v>Finland</x:v>
      </x:c>
      <x:c r="J2049" s="73"/>
      <x:c r="K2049" s="74" t="str">
        <x:f>IF(J2049="",H2049,IF(J2049=I2049,I2049,J2049))</x:f>
        <x:v>Finland</x:v>
      </x:c>
      <x:c r="L2049" s="74" t="str">
        <x:f>IF(J2049="","Keep current",IF(J2049=I2049,"Use suggestion","Custom"))</x:f>
        <x:v>Keep current</x:v>
      </x:c>
      <x:c r="M2049" s="71" t="str">
        <x:v>Pending review</x:v>
      </x:c>
      <x:c r="N2049" s="71" t="str">
        <x:v>Normal</x:v>
      </x:c>
      <x:c r="O2049" s="71" t="str">
        <x:v>lib/easyt/visa-requirements.ts</x:v>
      </x:c>
      <x:c r="P2049" s="71" t="str">
        <x:v>EU_EEA_PASSPORTS:45</x:v>
      </x:c>
      <x:c r="Q2049" s="71" t="str">
        <x:v>EN (default / shared)</x:v>
      </x:c>
      <x:c r="R2049" s="71" t="str">
        <x:v>Already clear and direct; suggested wording intentionally keeps the current copy. Duplicate wording: appears 2 times.</x:v>
      </x:c>
      <x:c r="S2049" s="75" t="str">
        <x:v>Not applied — review required</x:v>
      </x:c>
    </x:row>
    <x:row r="2050">
      <x:c r="A2050" s="71" t="str">
        <x:v>MRV-2F0C508E0C</x:v>
      </x:c>
      <x:c r="B2050" s="71" t="str">
        <x:v>Travel utility</x:v>
      </x:c>
      <x:c r="C2050" s="71" t="str">
        <x:v>Passport</x:v>
      </x:c>
      <x:c r="D2050" s="71" t="str">
        <x:v>Shared: Passport</x:v>
      </x:c>
      <x:c r="E2050" s="71" t="str">
        <x:v>EU_EEA_PASSPORTS</x:v>
      </x:c>
      <x:c r="F2050" s="71" t="str">
        <x:v>Default</x:v>
      </x:c>
      <x:c r="G2050" s="71" t="str">
        <x:v>Label</x:v>
      </x:c>
      <x:c r="H2050" s="71" t="str">
        <x:v>France</x:v>
      </x:c>
      <x:c r="I2050" s="71" t="str">
        <x:v>France</x:v>
      </x:c>
      <x:c r="J2050" s="73"/>
      <x:c r="K2050" s="74" t="str">
        <x:f>IF(J2050="",H2050,IF(J2050=I2050,I2050,J2050))</x:f>
        <x:v>France</x:v>
      </x:c>
      <x:c r="L2050" s="74" t="str">
        <x:f>IF(J2050="","Keep current",IF(J2050=I2050,"Use suggestion","Custom"))</x:f>
        <x:v>Keep current</x:v>
      </x:c>
      <x:c r="M2050" s="71" t="str">
        <x:v>Pending review</x:v>
      </x:c>
      <x:c r="N2050" s="71" t="str">
        <x:v>Normal</x:v>
      </x:c>
      <x:c r="O2050" s="71" t="str">
        <x:v>lib/easyt/visa-requirements.ts</x:v>
      </x:c>
      <x:c r="P2050" s="71" t="str">
        <x:v>EU_EEA_PASSPORTS:45</x:v>
      </x:c>
      <x:c r="Q2050" s="71" t="str">
        <x:v>EN (default / shared)</x:v>
      </x:c>
      <x:c r="R2050" s="71" t="str">
        <x:v>Already clear and direct; suggested wording intentionally keeps the current copy. Duplicate wording: appears 2 times.</x:v>
      </x:c>
      <x:c r="S2050" s="75" t="str">
        <x:v>Not applied — review required</x:v>
      </x:c>
    </x:row>
    <x:row r="2051">
      <x:c r="A2051" s="71" t="str">
        <x:v>MRV-1FC423E54B</x:v>
      </x:c>
      <x:c r="B2051" s="71" t="str">
        <x:v>Travel utility</x:v>
      </x:c>
      <x:c r="C2051" s="71" t="str">
        <x:v>Passport</x:v>
      </x:c>
      <x:c r="D2051" s="71" t="str">
        <x:v>Shared: Passport</x:v>
      </x:c>
      <x:c r="E2051" s="71" t="str">
        <x:v>EU_EEA_PASSPORTS</x:v>
      </x:c>
      <x:c r="F2051" s="71" t="str">
        <x:v>Default</x:v>
      </x:c>
      <x:c r="G2051" s="71" t="str">
        <x:v>Label</x:v>
      </x:c>
      <x:c r="H2051" s="71" t="str">
        <x:v>Germany</x:v>
      </x:c>
      <x:c r="I2051" s="71" t="str">
        <x:v>Germany</x:v>
      </x:c>
      <x:c r="J2051" s="73"/>
      <x:c r="K2051" s="74" t="str">
        <x:f>IF(J2051="",H2051,IF(J2051=I2051,I2051,J2051))</x:f>
        <x:v>Germany</x:v>
      </x:c>
      <x:c r="L2051" s="74" t="str">
        <x:f>IF(J2051="","Keep current",IF(J2051=I2051,"Use suggestion","Custom"))</x:f>
        <x:v>Keep current</x:v>
      </x:c>
      <x:c r="M2051" s="71" t="str">
        <x:v>Pending review</x:v>
      </x:c>
      <x:c r="N2051" s="71" t="str">
        <x:v>Normal</x:v>
      </x:c>
      <x:c r="O2051" s="71" t="str">
        <x:v>lib/easyt/visa-requirements.ts</x:v>
      </x:c>
      <x:c r="P2051" s="71" t="str">
        <x:v>EU_EEA_PASSPORTS:45</x:v>
      </x:c>
      <x:c r="Q2051" s="71" t="str">
        <x:v>EN (default / shared)</x:v>
      </x:c>
      <x:c r="R2051" s="71" t="str">
        <x:v>Already clear and direct; suggested wording intentionally keeps the current copy. Duplicate wording: appears 2 times.</x:v>
      </x:c>
      <x:c r="S2051" s="75" t="str">
        <x:v>Not applied — review required</x:v>
      </x:c>
    </x:row>
    <x:row r="2052">
      <x:c r="A2052" s="71" t="str">
        <x:v>MRV-8D60E98A31</x:v>
      </x:c>
      <x:c r="B2052" s="71" t="str">
        <x:v>Travel utility</x:v>
      </x:c>
      <x:c r="C2052" s="71" t="str">
        <x:v>Passport</x:v>
      </x:c>
      <x:c r="D2052" s="71" t="str">
        <x:v>Shared: Passport</x:v>
      </x:c>
      <x:c r="E2052" s="71" t="str">
        <x:v>EU_EEA_PASSPORTS</x:v>
      </x:c>
      <x:c r="F2052" s="71" t="str">
        <x:v>Default</x:v>
      </x:c>
      <x:c r="G2052" s="71" t="str">
        <x:v>Label</x:v>
      </x:c>
      <x:c r="H2052" s="71" t="str">
        <x:v>Ireland</x:v>
      </x:c>
      <x:c r="I2052" s="71" t="str">
        <x:v>Ireland</x:v>
      </x:c>
      <x:c r="J2052" s="73"/>
      <x:c r="K2052" s="74" t="str">
        <x:f>IF(J2052="",H2052,IF(J2052=I2052,I2052,J2052))</x:f>
        <x:v>Ireland</x:v>
      </x:c>
      <x:c r="L2052" s="74" t="str">
        <x:f>IF(J2052="","Keep current",IF(J2052=I2052,"Use suggestion","Custom"))</x:f>
        <x:v>Keep current</x:v>
      </x:c>
      <x:c r="M2052" s="71" t="str">
        <x:v>Pending review</x:v>
      </x:c>
      <x:c r="N2052" s="71" t="str">
        <x:v>Normal</x:v>
      </x:c>
      <x:c r="O2052" s="71" t="str">
        <x:v>lib/easyt/visa-requirements.ts</x:v>
      </x:c>
      <x:c r="P2052" s="71" t="str">
        <x:v>EU_EEA_PASSPORTS:45</x:v>
      </x:c>
      <x:c r="Q2052" s="71" t="str">
        <x:v>EN (default / shared)</x:v>
      </x:c>
      <x:c r="R2052" s="71" t="str">
        <x:v>Already clear and direct; suggested wording intentionally keeps the current copy.</x:v>
      </x:c>
      <x:c r="S2052" s="75" t="str">
        <x:v>Not applied — review required</x:v>
      </x:c>
    </x:row>
    <x:row r="2053">
      <x:c r="A2053" s="71" t="str">
        <x:v>MRV-AC5B8805D3</x:v>
      </x:c>
      <x:c r="B2053" s="71" t="str">
        <x:v>Travel utility</x:v>
      </x:c>
      <x:c r="C2053" s="71" t="str">
        <x:v>Passport</x:v>
      </x:c>
      <x:c r="D2053" s="71" t="str">
        <x:v>Shared: Passport</x:v>
      </x:c>
      <x:c r="E2053" s="71" t="str">
        <x:v>EU_EEA_PASSPORTS</x:v>
      </x:c>
      <x:c r="F2053" s="71" t="str">
        <x:v>Default</x:v>
      </x:c>
      <x:c r="G2053" s="71" t="str">
        <x:v>Label</x:v>
      </x:c>
      <x:c r="H2053" s="71" t="str">
        <x:v>Netherlands</x:v>
      </x:c>
      <x:c r="I2053" s="71" t="str">
        <x:v>Netherlands</x:v>
      </x:c>
      <x:c r="J2053" s="73"/>
      <x:c r="K2053" s="74" t="str">
        <x:f>IF(J2053="",H2053,IF(J2053=I2053,I2053,J2053))</x:f>
        <x:v>Netherlands</x:v>
      </x:c>
      <x:c r="L2053" s="74" t="str">
        <x:f>IF(J2053="","Keep current",IF(J2053=I2053,"Use suggestion","Custom"))</x:f>
        <x:v>Keep current</x:v>
      </x:c>
      <x:c r="M2053" s="71" t="str">
        <x:v>Pending review</x:v>
      </x:c>
      <x:c r="N2053" s="71" t="str">
        <x:v>Normal</x:v>
      </x:c>
      <x:c r="O2053" s="71" t="str">
        <x:v>lib/easyt/visa-requirements.ts</x:v>
      </x:c>
      <x:c r="P2053" s="71" t="str">
        <x:v>EU_EEA_PASSPORTS:45</x:v>
      </x:c>
      <x:c r="Q2053" s="71" t="str">
        <x:v>EN (default / shared)</x:v>
      </x:c>
      <x:c r="R2053" s="71" t="str">
        <x:v>Already clear and direct; suggested wording intentionally keeps the current copy. Duplicate wording: appears 2 times.</x:v>
      </x:c>
      <x:c r="S2053" s="75" t="str">
        <x:v>Not applied — review required</x:v>
      </x:c>
    </x:row>
    <x:row r="2054">
      <x:c r="A2054" s="71" t="str">
        <x:v>MRV-88B877B64D</x:v>
      </x:c>
      <x:c r="B2054" s="71" t="str">
        <x:v>Travel utility</x:v>
      </x:c>
      <x:c r="C2054" s="71" t="str">
        <x:v>Passport</x:v>
      </x:c>
      <x:c r="D2054" s="71" t="str">
        <x:v>Shared: Passport</x:v>
      </x:c>
      <x:c r="E2054" s="71" t="str">
        <x:v>EU_EEA_PASSPORTS</x:v>
      </x:c>
      <x:c r="F2054" s="71" t="str">
        <x:v>Default</x:v>
      </x:c>
      <x:c r="G2054" s="71" t="str">
        <x:v>Label</x:v>
      </x:c>
      <x:c r="H2054" s="71" t="str">
        <x:v>Norway</x:v>
      </x:c>
      <x:c r="I2054" s="71" t="str">
        <x:v>Norway</x:v>
      </x:c>
      <x:c r="J2054" s="73"/>
      <x:c r="K2054" s="74" t="str">
        <x:f>IF(J2054="",H2054,IF(J2054=I2054,I2054,J2054))</x:f>
        <x:v>Norway</x:v>
      </x:c>
      <x:c r="L2054" s="74" t="str">
        <x:f>IF(J2054="","Keep current",IF(J2054=I2054,"Use suggestion","Custom"))</x:f>
        <x:v>Keep current</x:v>
      </x:c>
      <x:c r="M2054" s="71" t="str">
        <x:v>Pending review</x:v>
      </x:c>
      <x:c r="N2054" s="71" t="str">
        <x:v>Normal</x:v>
      </x:c>
      <x:c r="O2054" s="71" t="str">
        <x:v>lib/easyt/visa-requirements.ts</x:v>
      </x:c>
      <x:c r="P2054" s="71" t="str">
        <x:v>EU_EEA_PASSPORTS:45</x:v>
      </x:c>
      <x:c r="Q2054" s="71" t="str">
        <x:v>EN (default / shared)</x:v>
      </x:c>
      <x:c r="R2054" s="71" t="str">
        <x:v>Already clear and direct; suggested wording intentionally keeps the current copy. Duplicate wording: appears 2 times.</x:v>
      </x:c>
      <x:c r="S2054" s="75" t="str">
        <x:v>Not applied — review required</x:v>
      </x:c>
    </x:row>
    <x:row r="2055">
      <x:c r="A2055" s="71" t="str">
        <x:v>MRV-56233D2850</x:v>
      </x:c>
      <x:c r="B2055" s="71" t="str">
        <x:v>Travel utility</x:v>
      </x:c>
      <x:c r="C2055" s="71" t="str">
        <x:v>Passport</x:v>
      </x:c>
      <x:c r="D2055" s="71" t="str">
        <x:v>Shared: Passport</x:v>
      </x:c>
      <x:c r="E2055" s="71" t="str">
        <x:v>EU_EEA_PASSPORTS</x:v>
      </x:c>
      <x:c r="F2055" s="71" t="str">
        <x:v>Default</x:v>
      </x:c>
      <x:c r="G2055" s="71" t="str">
        <x:v>Label</x:v>
      </x:c>
      <x:c r="H2055" s="71" t="str">
        <x:v>Spain</x:v>
      </x:c>
      <x:c r="I2055" s="71" t="str">
        <x:v>Spain</x:v>
      </x:c>
      <x:c r="J2055" s="73"/>
      <x:c r="K2055" s="74" t="str">
        <x:f>IF(J2055="",H2055,IF(J2055=I2055,I2055,J2055))</x:f>
        <x:v>Spain</x:v>
      </x:c>
      <x:c r="L2055" s="74" t="str">
        <x:f>IF(J2055="","Keep current",IF(J2055=I2055,"Use suggestion","Custom"))</x:f>
        <x:v>Keep current</x:v>
      </x:c>
      <x:c r="M2055" s="71" t="str">
        <x:v>Pending review</x:v>
      </x:c>
      <x:c r="N2055" s="71" t="str">
        <x:v>Normal</x:v>
      </x:c>
      <x:c r="O2055" s="71" t="str">
        <x:v>lib/easyt/visa-requirements.ts</x:v>
      </x:c>
      <x:c r="P2055" s="71" t="str">
        <x:v>EU_EEA_PASSPORTS:45</x:v>
      </x:c>
      <x:c r="Q2055" s="71" t="str">
        <x:v>EN (default / shared)</x:v>
      </x:c>
      <x:c r="R2055" s="71" t="str">
        <x:v>Already clear and direct; suggested wording intentionally keeps the current copy. Duplicate wording: appears 2 times.</x:v>
      </x:c>
      <x:c r="S2055" s="75" t="str">
        <x:v>Not applied — review required</x:v>
      </x:c>
    </x:row>
    <x:row r="2056">
      <x:c r="A2056" s="71" t="str">
        <x:v>MRV-F68262062E</x:v>
      </x:c>
      <x:c r="B2056" s="71" t="str">
        <x:v>Travel utility</x:v>
      </x:c>
      <x:c r="C2056" s="71" t="str">
        <x:v>Passport</x:v>
      </x:c>
      <x:c r="D2056" s="71" t="str">
        <x:v>Shared: Passport</x:v>
      </x:c>
      <x:c r="E2056" s="71" t="str">
        <x:v>EU_EEA_PASSPORTS</x:v>
      </x:c>
      <x:c r="F2056" s="71" t="str">
        <x:v>Default</x:v>
      </x:c>
      <x:c r="G2056" s="71" t="str">
        <x:v>Label</x:v>
      </x:c>
      <x:c r="H2056" s="71" t="str">
        <x:v>Sweden</x:v>
      </x:c>
      <x:c r="I2056" s="71" t="str">
        <x:v>Sweden</x:v>
      </x:c>
      <x:c r="J2056" s="73"/>
      <x:c r="K2056" s="74" t="str">
        <x:f>IF(J2056="",H2056,IF(J2056=I2056,I2056,J2056))</x:f>
        <x:v>Sweden</x:v>
      </x:c>
      <x:c r="L2056" s="74" t="str">
        <x:f>IF(J2056="","Keep current",IF(J2056=I2056,"Use suggestion","Custom"))</x:f>
        <x:v>Keep current</x:v>
      </x:c>
      <x:c r="M2056" s="71" t="str">
        <x:v>Pending review</x:v>
      </x:c>
      <x:c r="N2056" s="71" t="str">
        <x:v>Normal</x:v>
      </x:c>
      <x:c r="O2056" s="71" t="str">
        <x:v>lib/easyt/visa-requirements.ts</x:v>
      </x:c>
      <x:c r="P2056" s="71" t="str">
        <x:v>EU_EEA_PASSPORTS:45</x:v>
      </x:c>
      <x:c r="Q2056" s="71" t="str">
        <x:v>EN (default / shared)</x:v>
      </x:c>
      <x:c r="R2056" s="71" t="str">
        <x:v>Already clear and direct; suggested wording intentionally keeps the current copy. Duplicate wording: appears 2 times.</x:v>
      </x:c>
      <x:c r="S2056" s="75" t="str">
        <x:v>Not applied — review required</x:v>
      </x:c>
    </x:row>
    <x:row r="2057">
      <x:c r="A2057" s="71" t="str">
        <x:v>MRV-B1BA739827</x:v>
      </x:c>
      <x:c r="B2057" s="71" t="str">
        <x:v>Travel utility</x:v>
      </x:c>
      <x:c r="C2057" s="71" t="str">
        <x:v>Passport</x:v>
      </x:c>
      <x:c r="D2057" s="71" t="str">
        <x:v>Shared: Passport</x:v>
      </x:c>
      <x:c r="E2057" s="71" t="str">
        <x:v>statusDetails</x:v>
      </x:c>
      <x:c r="F2057" s="71" t="str">
        <x:v>Default</x:v>
      </x:c>
      <x:c r="G2057" s="71" t="str">
        <x:v>Label</x:v>
      </x:c>
      <x:c r="H2057" s="71" t="str">
        <x:v>Visa-free</x:v>
      </x:c>
      <x:c r="I2057" s="71" t="str">
        <x:v>Visa-free</x:v>
      </x:c>
      <x:c r="J2057" s="73"/>
      <x:c r="K2057" s="74" t="str">
        <x:f>IF(J2057="",H2057,IF(J2057=I2057,I2057,J2057))</x:f>
        <x:v>Visa-free</x:v>
      </x:c>
      <x:c r="L2057" s="74" t="str">
        <x:f>IF(J2057="","Keep current",IF(J2057=I2057,"Use suggestion","Custom"))</x:f>
        <x:v>Keep current</x:v>
      </x:c>
      <x:c r="M2057" s="71" t="str">
        <x:v>Pending review</x:v>
      </x:c>
      <x:c r="N2057" s="71" t="str">
        <x:v>High</x:v>
      </x:c>
      <x:c r="O2057" s="71" t="str">
        <x:v>lib/easyt/visa-requirements.ts</x:v>
      </x:c>
      <x:c r="P2057" s="71" t="str">
        <x:v>statusDetails:50</x:v>
      </x:c>
      <x:c r="Q2057" s="71" t="str">
        <x:v>EN (default / shared)</x:v>
      </x:c>
      <x:c r="R2057" s="71" t="str">
        <x:v>Already clear and direct; suggested wording intentionally keeps the current copy.</x:v>
      </x:c>
      <x:c r="S2057" s="75" t="str">
        <x:v>Not applied — review required</x:v>
      </x:c>
    </x:row>
    <x:row r="2058">
      <x:c r="A2058" s="71" t="str">
        <x:v>MRV-99B5E88022</x:v>
      </x:c>
      <x:c r="B2058" s="71" t="str">
        <x:v>Travel utility</x:v>
      </x:c>
      <x:c r="C2058" s="71" t="str">
        <x:v>Passport</x:v>
      </x:c>
      <x:c r="D2058" s="71" t="str">
        <x:v>Shared: Passport</x:v>
      </x:c>
      <x:c r="E2058" s="71" t="str">
        <x:v>statusDetails</x:v>
      </x:c>
      <x:c r="F2058" s="71" t="str">
        <x:v>Default</x:v>
      </x:c>
      <x:c r="G2058" s="71" t="str">
        <x:v>Label</x:v>
      </x:c>
      <x:c r="H2058" s="71" t="str">
        <x:v>Sin visado</x:v>
      </x:c>
      <x:c r="I2058" s="71" t="str">
        <x:v>Sin visado</x:v>
      </x:c>
      <x:c r="J2058" s="73"/>
      <x:c r="K2058" s="74" t="str">
        <x:f>IF(J2058="",H2058,IF(J2058=I2058,I2058,J2058))</x:f>
        <x:v>Sin visado</x:v>
      </x:c>
      <x:c r="L2058" s="74" t="str">
        <x:f>IF(J2058="","Keep current",IF(J2058=I2058,"Use suggestion","Custom"))</x:f>
        <x:v>Keep current</x:v>
      </x:c>
      <x:c r="M2058" s="71" t="str">
        <x:v>Pending review</x:v>
      </x:c>
      <x:c r="N2058" s="71" t="str">
        <x:v>High</x:v>
      </x:c>
      <x:c r="O2058" s="71" t="str">
        <x:v>lib/easyt/visa-requirements.ts</x:v>
      </x:c>
      <x:c r="P2058" s="71" t="str">
        <x:v>statusDetails:51</x:v>
      </x:c>
      <x:c r="Q2058" s="71" t="str">
        <x:v>EN (default / shared)</x:v>
      </x:c>
      <x:c r="R2058" s="71" t="str">
        <x:v>Already clear and direct; suggested wording intentionally keeps the current copy.</x:v>
      </x:c>
      <x:c r="S2058" s="75" t="str">
        <x:v>Not applied — review required</x:v>
      </x:c>
    </x:row>
    <x:row r="2059">
      <x:c r="A2059" s="71" t="str">
        <x:v>MRV-E4E7CC68F9</x:v>
      </x:c>
      <x:c r="B2059" s="71" t="str">
        <x:v>Travel utility</x:v>
      </x:c>
      <x:c r="C2059" s="71" t="str">
        <x:v>Passport</x:v>
      </x:c>
      <x:c r="D2059" s="71" t="str">
        <x:v>Shared: Passport</x:v>
      </x:c>
      <x:c r="E2059" s="71" t="str">
        <x:v>statusDetails</x:v>
      </x:c>
      <x:c r="F2059" s="71" t="str">
        <x:v>Default</x:v>
      </x:c>
      <x:c r="G2059" s="71" t="str">
        <x:v>Label</x:v>
      </x:c>
      <x:c r="H2059" s="71" t="str">
        <x:v>Visa on arrival</x:v>
      </x:c>
      <x:c r="I2059" s="71" t="str">
        <x:v>Visa on arrival</x:v>
      </x:c>
      <x:c r="J2059" s="73"/>
      <x:c r="K2059" s="74" t="str">
        <x:f>IF(J2059="",H2059,IF(J2059=I2059,I2059,J2059))</x:f>
        <x:v>Visa on arrival</x:v>
      </x:c>
      <x:c r="L2059" s="74" t="str">
        <x:f>IF(J2059="","Keep current",IF(J2059=I2059,"Use suggestion","Custom"))</x:f>
        <x:v>Keep current</x:v>
      </x:c>
      <x:c r="M2059" s="71" t="str">
        <x:v>Pending review</x:v>
      </x:c>
      <x:c r="N2059" s="71" t="str">
        <x:v>High</x:v>
      </x:c>
      <x:c r="O2059" s="71" t="str">
        <x:v>lib/easyt/visa-requirements.ts</x:v>
      </x:c>
      <x:c r="P2059" s="71" t="str">
        <x:v>statusDetails:54</x:v>
      </x:c>
      <x:c r="Q2059" s="71" t="str">
        <x:v>EN (default / shared)</x:v>
      </x:c>
      <x:c r="R2059" s="71" t="str">
        <x:v>Already clear and direct; suggested wording intentionally keeps the current copy. Duplicate wording: appears 2 times.</x:v>
      </x:c>
      <x:c r="S2059" s="75" t="str">
        <x:v>Not applied — review required</x:v>
      </x:c>
    </x:row>
    <x:row r="2060">
      <x:c r="A2060" s="71" t="str">
        <x:v>MRV-250DE94D28</x:v>
      </x:c>
      <x:c r="B2060" s="71" t="str">
        <x:v>Travel utility</x:v>
      </x:c>
      <x:c r="C2060" s="71" t="str">
        <x:v>Passport</x:v>
      </x:c>
      <x:c r="D2060" s="71" t="str">
        <x:v>Shared: Passport</x:v>
      </x:c>
      <x:c r="E2060" s="71" t="str">
        <x:v>statusDetails</x:v>
      </x:c>
      <x:c r="F2060" s="71" t="str">
        <x:v>Default</x:v>
      </x:c>
      <x:c r="G2060" s="71" t="str">
        <x:v>Label</x:v>
      </x:c>
      <x:c r="H2060" s="71" t="str">
        <x:v>Visado a la llegada</x:v>
      </x:c>
      <x:c r="I2060" s="71" t="str">
        <x:v>Visado a la llegada</x:v>
      </x:c>
      <x:c r="J2060" s="73"/>
      <x:c r="K2060" s="74" t="str">
        <x:f>IF(J2060="",H2060,IF(J2060=I2060,I2060,J2060))</x:f>
        <x:v>Visado a la llegada</x:v>
      </x:c>
      <x:c r="L2060" s="74" t="str">
        <x:f>IF(J2060="","Keep current",IF(J2060=I2060,"Use suggestion","Custom"))</x:f>
        <x:v>Keep current</x:v>
      </x:c>
      <x:c r="M2060" s="71" t="str">
        <x:v>Pending review</x:v>
      </x:c>
      <x:c r="N2060" s="71" t="str">
        <x:v>High</x:v>
      </x:c>
      <x:c r="O2060" s="71" t="str">
        <x:v>lib/easyt/visa-requirements.ts</x:v>
      </x:c>
      <x:c r="P2060" s="71" t="str">
        <x:v>statusDetails:55</x:v>
      </x:c>
      <x:c r="Q2060" s="71" t="str">
        <x:v>EN (default / shared)</x:v>
      </x:c>
      <x:c r="R2060" s="71" t="str">
        <x:v>Already clear and direct; suggested wording intentionally keeps the current copy.</x:v>
      </x:c>
      <x:c r="S2060" s="75" t="str">
        <x:v>Not applied — review required</x:v>
      </x:c>
    </x:row>
    <x:row r="2061">
      <x:c r="A2061" s="71" t="str">
        <x:v>MRV-B699EC7BC1</x:v>
      </x:c>
      <x:c r="B2061" s="71" t="str">
        <x:v>Travel utility</x:v>
      </x:c>
      <x:c r="C2061" s="71" t="str">
        <x:v>Passport</x:v>
      </x:c>
      <x:c r="D2061" s="71" t="str">
        <x:v>Shared: Passport</x:v>
      </x:c>
      <x:c r="E2061" s="71" t="str">
        <x:v>statusDetails</x:v>
      </x:c>
      <x:c r="F2061" s="71" t="str">
        <x:v>Default</x:v>
      </x:c>
      <x:c r="G2061" s="71" t="str">
        <x:v>Label</x:v>
      </x:c>
      <x:c r="H2061" s="71" t="str">
        <x:v>Travel authorisation</x:v>
      </x:c>
      <x:c r="I2061" s="71" t="str">
        <x:v>Travel authorisation</x:v>
      </x:c>
      <x:c r="J2061" s="73"/>
      <x:c r="K2061" s="74" t="str">
        <x:f>IF(J2061="",H2061,IF(J2061=I2061,I2061,J2061))</x:f>
        <x:v>Travel authorisation</x:v>
      </x:c>
      <x:c r="L2061" s="74" t="str">
        <x:f>IF(J2061="","Keep current",IF(J2061=I2061,"Use suggestion","Custom"))</x:f>
        <x:v>Keep current</x:v>
      </x:c>
      <x:c r="M2061" s="71" t="str">
        <x:v>Pending review</x:v>
      </x:c>
      <x:c r="N2061" s="71" t="str">
        <x:v>Normal</x:v>
      </x:c>
      <x:c r="O2061" s="71" t="str">
        <x:v>lib/easyt/visa-requirements.ts</x:v>
      </x:c>
      <x:c r="P2061" s="71" t="str">
        <x:v>statusDetails:58</x:v>
      </x:c>
      <x:c r="Q2061" s="71" t="str">
        <x:v>EN (default / shared)</x:v>
      </x:c>
      <x:c r="R2061" s="71" t="str">
        <x:v>Already clear and direct; suggested wording intentionally keeps the current copy.</x:v>
      </x:c>
      <x:c r="S2061" s="75" t="str">
        <x:v>Not applied — review required</x:v>
      </x:c>
    </x:row>
    <x:row r="2062">
      <x:c r="A2062" s="71" t="str">
        <x:v>MRV-C9A9993D60</x:v>
      </x:c>
      <x:c r="B2062" s="71" t="str">
        <x:v>Travel utility</x:v>
      </x:c>
      <x:c r="C2062" s="71" t="str">
        <x:v>Passport</x:v>
      </x:c>
      <x:c r="D2062" s="71" t="str">
        <x:v>Shared: Passport</x:v>
      </x:c>
      <x:c r="E2062" s="71" t="str">
        <x:v>statusDetails</x:v>
      </x:c>
      <x:c r="F2062" s="71" t="str">
        <x:v>Default</x:v>
      </x:c>
      <x:c r="G2062" s="71" t="str">
        <x:v>Label</x:v>
      </x:c>
      <x:c r="H2062" s="71" t="str">
        <x:v>Autorización de viaje</x:v>
      </x:c>
      <x:c r="I2062" s="71" t="str">
        <x:v>Autorización de viaje</x:v>
      </x:c>
      <x:c r="J2062" s="73"/>
      <x:c r="K2062" s="74" t="str">
        <x:f>IF(J2062="",H2062,IF(J2062=I2062,I2062,J2062))</x:f>
        <x:v>Autorización de viaje</x:v>
      </x:c>
      <x:c r="L2062" s="74" t="str">
        <x:f>IF(J2062="","Keep current",IF(J2062=I2062,"Use suggestion","Custom"))</x:f>
        <x:v>Keep current</x:v>
      </x:c>
      <x:c r="M2062" s="71" t="str">
        <x:v>Pending review</x:v>
      </x:c>
      <x:c r="N2062" s="71" t="str">
        <x:v>Normal</x:v>
      </x:c>
      <x:c r="O2062" s="71" t="str">
        <x:v>lib/easyt/visa-requirements.ts</x:v>
      </x:c>
      <x:c r="P2062" s="71" t="str">
        <x:v>statusDetails:59</x:v>
      </x:c>
      <x:c r="Q2062" s="71" t="str">
        <x:v>EN (default / shared)</x:v>
      </x:c>
      <x:c r="R2062" s="71" t="str">
        <x:v>Already clear and direct; suggested wording intentionally keeps the current copy.</x:v>
      </x:c>
      <x:c r="S2062" s="75" t="str">
        <x:v>Not applied — review required</x:v>
      </x:c>
    </x:row>
    <x:row r="2063">
      <x:c r="A2063" s="71" t="str">
        <x:v>MRV-14E022A1A5</x:v>
      </x:c>
      <x:c r="B2063" s="71" t="str">
        <x:v>Travel utility</x:v>
      </x:c>
      <x:c r="C2063" s="71" t="str">
        <x:v>Passport</x:v>
      </x:c>
      <x:c r="D2063" s="71" t="str">
        <x:v>Shared: Passport</x:v>
      </x:c>
      <x:c r="E2063" s="71" t="str">
        <x:v>statusDetails</x:v>
      </x:c>
      <x:c r="F2063" s="71" t="str">
        <x:v>Default</x:v>
      </x:c>
      <x:c r="G2063" s="71" t="str">
        <x:v>Label</x:v>
      </x:c>
      <x:c r="H2063" s="71" t="str">
        <x:v>Visado electrónico</x:v>
      </x:c>
      <x:c r="I2063" s="71" t="str">
        <x:v>Visado electrónico</x:v>
      </x:c>
      <x:c r="J2063" s="73"/>
      <x:c r="K2063" s="74" t="str">
        <x:f>IF(J2063="",H2063,IF(J2063=I2063,I2063,J2063))</x:f>
        <x:v>Visado electrónico</x:v>
      </x:c>
      <x:c r="L2063" s="74" t="str">
        <x:f>IF(J2063="","Keep current",IF(J2063=I2063,"Use suggestion","Custom"))</x:f>
        <x:v>Keep current</x:v>
      </x:c>
      <x:c r="M2063" s="71" t="str">
        <x:v>Pending review</x:v>
      </x:c>
      <x:c r="N2063" s="71" t="str">
        <x:v>High</x:v>
      </x:c>
      <x:c r="O2063" s="71" t="str">
        <x:v>lib/easyt/visa-requirements.ts</x:v>
      </x:c>
      <x:c r="P2063" s="71" t="str">
        <x:v>statusDetails:63</x:v>
      </x:c>
      <x:c r="Q2063" s="71" t="str">
        <x:v>EN (default / shared)</x:v>
      </x:c>
      <x:c r="R2063" s="71" t="str">
        <x:v>Already clear and direct; suggested wording intentionally keeps the current copy.</x:v>
      </x:c>
      <x:c r="S2063" s="75" t="str">
        <x:v>Not applied — review required</x:v>
      </x:c>
    </x:row>
    <x:row r="2064">
      <x:c r="A2064" s="71" t="str">
        <x:v>MRV-654C248B3E</x:v>
      </x:c>
      <x:c r="B2064" s="71" t="str">
        <x:v>Travel utility</x:v>
      </x:c>
      <x:c r="C2064" s="71" t="str">
        <x:v>Passport</x:v>
      </x:c>
      <x:c r="D2064" s="71" t="str">
        <x:v>Shared: Passport</x:v>
      </x:c>
      <x:c r="E2064" s="71" t="str">
        <x:v>statusDetails</x:v>
      </x:c>
      <x:c r="F2064" s="71" t="str">
        <x:v>Default</x:v>
      </x:c>
      <x:c r="G2064" s="71" t="str">
        <x:v>Label</x:v>
      </x:c>
      <x:c r="H2064" s="71" t="str">
        <x:v>Visa required</x:v>
      </x:c>
      <x:c r="I2064" s="71" t="str">
        <x:v>Visa required</x:v>
      </x:c>
      <x:c r="J2064" s="73"/>
      <x:c r="K2064" s="74" t="str">
        <x:f>IF(J2064="",H2064,IF(J2064=I2064,I2064,J2064))</x:f>
        <x:v>Visa required</x:v>
      </x:c>
      <x:c r="L2064" s="74" t="str">
        <x:f>IF(J2064="","Keep current",IF(J2064=I2064,"Use suggestion","Custom"))</x:f>
        <x:v>Keep current</x:v>
      </x:c>
      <x:c r="M2064" s="71" t="str">
        <x:v>Pending review</x:v>
      </x:c>
      <x:c r="N2064" s="71" t="str">
        <x:v>High</x:v>
      </x:c>
      <x:c r="O2064" s="71" t="str">
        <x:v>lib/easyt/visa-requirements.ts</x:v>
      </x:c>
      <x:c r="P2064" s="71" t="str">
        <x:v>statusDetails:66</x:v>
      </x:c>
      <x:c r="Q2064" s="71" t="str">
        <x:v>EN (default / shared)</x:v>
      </x:c>
      <x:c r="R2064" s="71" t="str">
        <x:v>Already clear and direct; suggested wording intentionally keeps the current copy. Duplicate wording: appears 2 times.</x:v>
      </x:c>
      <x:c r="S2064" s="75" t="str">
        <x:v>Not applied — review required</x:v>
      </x:c>
    </x:row>
    <x:row r="2065">
      <x:c r="A2065" s="71" t="str">
        <x:v>MRV-EFD1DBD009</x:v>
      </x:c>
      <x:c r="B2065" s="71" t="str">
        <x:v>Travel utility</x:v>
      </x:c>
      <x:c r="C2065" s="71" t="str">
        <x:v>Passport</x:v>
      </x:c>
      <x:c r="D2065" s="71" t="str">
        <x:v>Shared: Passport</x:v>
      </x:c>
      <x:c r="E2065" s="71" t="str">
        <x:v>statusDetails</x:v>
      </x:c>
      <x:c r="F2065" s="71" t="str">
        <x:v>Default</x:v>
      </x:c>
      <x:c r="G2065" s="71" t="str">
        <x:v>Label</x:v>
      </x:c>
      <x:c r="H2065" s="71" t="str">
        <x:v>Visado requerido</x:v>
      </x:c>
      <x:c r="I2065" s="71" t="str">
        <x:v>Visado requerido</x:v>
      </x:c>
      <x:c r="J2065" s="73"/>
      <x:c r="K2065" s="74" t="str">
        <x:f>IF(J2065="",H2065,IF(J2065=I2065,I2065,J2065))</x:f>
        <x:v>Visado requerido</x:v>
      </x:c>
      <x:c r="L2065" s="74" t="str">
        <x:f>IF(J2065="","Keep current",IF(J2065=I2065,"Use suggestion","Custom"))</x:f>
        <x:v>Keep current</x:v>
      </x:c>
      <x:c r="M2065" s="71" t="str">
        <x:v>Pending review</x:v>
      </x:c>
      <x:c r="N2065" s="71" t="str">
        <x:v>High</x:v>
      </x:c>
      <x:c r="O2065" s="71" t="str">
        <x:v>lib/easyt/visa-requirements.ts</x:v>
      </x:c>
      <x:c r="P2065" s="71" t="str">
        <x:v>statusDetails:67</x:v>
      </x:c>
      <x:c r="Q2065" s="71" t="str">
        <x:v>EN (default / shared)</x:v>
      </x:c>
      <x:c r="R2065" s="71" t="str">
        <x:v>Already clear and direct; suggested wording intentionally keeps the current copy.</x:v>
      </x:c>
      <x:c r="S2065" s="75" t="str">
        <x:v>Not applied — review required</x:v>
      </x:c>
    </x:row>
    <x:row r="2066">
      <x:c r="A2066" s="71" t="str">
        <x:v>MRV-520A97F54A</x:v>
      </x:c>
      <x:c r="B2066" s="71" t="str">
        <x:v>Travel utility</x:v>
      </x:c>
      <x:c r="C2066" s="71" t="str">
        <x:v>Passport</x:v>
      </x:c>
      <x:c r="D2066" s="71" t="str">
        <x:v>Shared: Passport</x:v>
      </x:c>
      <x:c r="E2066" s="71" t="str">
        <x:v>statusDetails</x:v>
      </x:c>
      <x:c r="F2066" s="71" t="str">
        <x:v>Default</x:v>
      </x:c>
      <x:c r="G2066" s="71" t="str">
        <x:v>Label</x:v>
      </x:c>
      <x:c r="H2066" s="71" t="str">
        <x:v>Entry restricted</x:v>
      </x:c>
      <x:c r="I2066" s="71" t="str">
        <x:v>Entry restricted</x:v>
      </x:c>
      <x:c r="J2066" s="73"/>
      <x:c r="K2066" s="74" t="str">
        <x:f>IF(J2066="",H2066,IF(J2066=I2066,I2066,J2066))</x:f>
        <x:v>Entry restricted</x:v>
      </x:c>
      <x:c r="L2066" s="74" t="str">
        <x:f>IF(J2066="","Keep current",IF(J2066=I2066,"Use suggestion","Custom"))</x:f>
        <x:v>Keep current</x:v>
      </x:c>
      <x:c r="M2066" s="71" t="str">
        <x:v>Pending review</x:v>
      </x:c>
      <x:c r="N2066" s="71" t="str">
        <x:v>Normal</x:v>
      </x:c>
      <x:c r="O2066" s="71" t="str">
        <x:v>lib/easyt/visa-requirements.ts</x:v>
      </x:c>
      <x:c r="P2066" s="71" t="str">
        <x:v>statusDetails:70</x:v>
      </x:c>
      <x:c r="Q2066" s="71" t="str">
        <x:v>EN (default / shared)</x:v>
      </x:c>
      <x:c r="R2066" s="71" t="str">
        <x:v>Already clear and direct; suggested wording intentionally keeps the current copy.</x:v>
      </x:c>
      <x:c r="S2066" s="75" t="str">
        <x:v>Not applied — review required</x:v>
      </x:c>
    </x:row>
    <x:row r="2067">
      <x:c r="A2067" s="71" t="str">
        <x:v>MRV-D86B7266A5</x:v>
      </x:c>
      <x:c r="B2067" s="71" t="str">
        <x:v>Travel utility</x:v>
      </x:c>
      <x:c r="C2067" s="71" t="str">
        <x:v>Passport</x:v>
      </x:c>
      <x:c r="D2067" s="71" t="str">
        <x:v>Shared: Passport</x:v>
      </x:c>
      <x:c r="E2067" s="71" t="str">
        <x:v>statusDetails</x:v>
      </x:c>
      <x:c r="F2067" s="71" t="str">
        <x:v>Default</x:v>
      </x:c>
      <x:c r="G2067" s="71" t="str">
        <x:v>Label</x:v>
      </x:c>
      <x:c r="H2067" s="71" t="str">
        <x:v>Entrada restringida</x:v>
      </x:c>
      <x:c r="I2067" s="71" t="str">
        <x:v>Entrada restringida</x:v>
      </x:c>
      <x:c r="J2067" s="73"/>
      <x:c r="K2067" s="74" t="str">
        <x:f>IF(J2067="",H2067,IF(J2067=I2067,I2067,J2067))</x:f>
        <x:v>Entrada restringida</x:v>
      </x:c>
      <x:c r="L2067" s="74" t="str">
        <x:f>IF(J2067="","Keep current",IF(J2067=I2067,"Use suggestion","Custom"))</x:f>
        <x:v>Keep current</x:v>
      </x:c>
      <x:c r="M2067" s="71" t="str">
        <x:v>Pending review</x:v>
      </x:c>
      <x:c r="N2067" s="71" t="str">
        <x:v>Normal</x:v>
      </x:c>
      <x:c r="O2067" s="71" t="str">
        <x:v>lib/easyt/visa-requirements.ts</x:v>
      </x:c>
      <x:c r="P2067" s="71" t="str">
        <x:v>statusDetails:71</x:v>
      </x:c>
      <x:c r="Q2067" s="71" t="str">
        <x:v>EN (default / shared)</x:v>
      </x:c>
      <x:c r="R2067" s="71" t="str">
        <x:v>Already clear and direct; suggested wording intentionally keeps the current copy.</x:v>
      </x:c>
      <x:c r="S2067" s="75" t="str">
        <x:v>Not applied — review required</x:v>
      </x:c>
    </x:row>
    <x:row r="2068">
      <x:c r="A2068" s="71" t="str">
        <x:v>MRV-8F66A5F7B8</x:v>
      </x:c>
      <x:c r="B2068" s="71" t="str">
        <x:v>Travel utility</x:v>
      </x:c>
      <x:c r="C2068" s="71" t="str">
        <x:v>Passport</x:v>
      </x:c>
      <x:c r="D2068" s="71" t="str">
        <x:v>Shared: Passport</x:v>
      </x:c>
      <x:c r="E2068" s="71" t="str">
        <x:v>statusFromDataset</x:v>
      </x:c>
      <x:c r="F2068" s="71" t="str">
        <x:v>Default</x:v>
      </x:c>
      <x:c r="G2068" s="71" t="str">
        <x:v>Label</x:v>
      </x:c>
      <x:c r="H2068" s="71" t="str">
        <x:v>visa free</x:v>
      </x:c>
      <x:c r="I2068" s="71" t="str">
        <x:v>visa free</x:v>
      </x:c>
      <x:c r="J2068" s="73"/>
      <x:c r="K2068" s="74" t="str">
        <x:f>IF(J2068="",H2068,IF(J2068=I2068,I2068,J2068))</x:f>
        <x:v>visa free</x:v>
      </x:c>
      <x:c r="L2068" s="74" t="str">
        <x:f>IF(J2068="","Keep current",IF(J2068=I2068,"Use suggestion","Custom"))</x:f>
        <x:v>Keep current</x:v>
      </x:c>
      <x:c r="M2068" s="71" t="str">
        <x:v>Pending review</x:v>
      </x:c>
      <x:c r="N2068" s="71" t="str">
        <x:v>High</x:v>
      </x:c>
      <x:c r="O2068" s="71" t="str">
        <x:v>lib/easyt/visa-requirements.ts</x:v>
      </x:c>
      <x:c r="P2068" s="71" t="str">
        <x:v>statusFromDataset:82</x:v>
      </x:c>
      <x:c r="Q2068" s="71" t="str">
        <x:v>EN (default / shared)</x:v>
      </x:c>
      <x:c r="R2068" s="71" t="str">
        <x:v>Already clear and direct; suggested wording intentionally keeps the current copy.</x:v>
      </x:c>
      <x:c r="S2068" s="75" t="str">
        <x:v>Not applied — review required</x:v>
      </x:c>
    </x:row>
    <x:row r="2069">
      <x:c r="A2069" s="71" t="str">
        <x:v>MRV-C4D9A8AEEC</x:v>
      </x:c>
      <x:c r="B2069" s="71" t="str">
        <x:v>Travel utility</x:v>
      </x:c>
      <x:c r="C2069" s="71" t="str">
        <x:v>Passport</x:v>
      </x:c>
      <x:c r="D2069" s="71" t="str">
        <x:v>Shared: Passport</x:v>
      </x:c>
      <x:c r="E2069" s="71" t="str">
        <x:v>statusFromDataset</x:v>
      </x:c>
      <x:c r="F2069" s="71" t="str">
        <x:v>Default</x:v>
      </x:c>
      <x:c r="G2069" s="71" t="str">
        <x:v>Label</x:v>
      </x:c>
      <x:c r="H2069" s="71" t="str">
        <x:v>visa on arrival</x:v>
      </x:c>
      <x:c r="I2069" s="71" t="str">
        <x:v>visa on arrival</x:v>
      </x:c>
      <x:c r="J2069" s="73"/>
      <x:c r="K2069" s="74" t="str">
        <x:f>IF(J2069="",H2069,IF(J2069=I2069,I2069,J2069))</x:f>
        <x:v>visa on arrival</x:v>
      </x:c>
      <x:c r="L2069" s="74" t="str">
        <x:f>IF(J2069="","Keep current",IF(J2069=I2069,"Use suggestion","Custom"))</x:f>
        <x:v>Keep current</x:v>
      </x:c>
      <x:c r="M2069" s="71" t="str">
        <x:v>Pending review</x:v>
      </x:c>
      <x:c r="N2069" s="71" t="str">
        <x:v>High</x:v>
      </x:c>
      <x:c r="O2069" s="71" t="str">
        <x:v>lib/easyt/visa-requirements.ts</x:v>
      </x:c>
      <x:c r="P2069" s="71" t="str">
        <x:v>statusFromDataset:82</x:v>
      </x:c>
      <x:c r="Q2069" s="71" t="str">
        <x:v>EN (default / shared)</x:v>
      </x:c>
      <x:c r="R2069" s="71" t="str">
        <x:v>Already clear and direct; suggested wording intentionally keeps the current copy. Duplicate wording: appears 2 times.</x:v>
      </x:c>
      <x:c r="S2069" s="75" t="str">
        <x:v>Not applied — review required</x:v>
      </x:c>
    </x:row>
    <x:row r="2070">
      <x:c r="A2070" s="71" t="str">
        <x:v>MRV-64DAA7BC42</x:v>
      </x:c>
      <x:c r="B2070" s="71" t="str">
        <x:v>Travel utility</x:v>
      </x:c>
      <x:c r="C2070" s="71" t="str">
        <x:v>Passport</x:v>
      </x:c>
      <x:c r="D2070" s="71" t="str">
        <x:v>Shared: Passport</x:v>
      </x:c>
      <x:c r="E2070" s="71" t="str">
        <x:v>statusFromDataset</x:v>
      </x:c>
      <x:c r="F2070" s="71" t="str">
        <x:v>Default</x:v>
      </x:c>
      <x:c r="G2070" s="71" t="str">
        <x:v>Label</x:v>
      </x:c>
      <x:c r="H2070" s="71" t="str">
        <x:v>visa required</x:v>
      </x:c>
      <x:c r="I2070" s="71" t="str">
        <x:v>visa required</x:v>
      </x:c>
      <x:c r="J2070" s="73"/>
      <x:c r="K2070" s="74" t="str">
        <x:f>IF(J2070="",H2070,IF(J2070=I2070,I2070,J2070))</x:f>
        <x:v>visa required</x:v>
      </x:c>
      <x:c r="L2070" s="74" t="str">
        <x:f>IF(J2070="","Keep current",IF(J2070=I2070,"Use suggestion","Custom"))</x:f>
        <x:v>Keep current</x:v>
      </x:c>
      <x:c r="M2070" s="71" t="str">
        <x:v>Pending review</x:v>
      </x:c>
      <x:c r="N2070" s="71" t="str">
        <x:v>High</x:v>
      </x:c>
      <x:c r="O2070" s="71" t="str">
        <x:v>lib/easyt/visa-requirements.ts</x:v>
      </x:c>
      <x:c r="P2070" s="71" t="str">
        <x:v>statusFromDataset:82</x:v>
      </x:c>
      <x:c r="Q2070" s="71" t="str">
        <x:v>EN (default / shared)</x:v>
      </x:c>
      <x:c r="R2070" s="71" t="str">
        <x:v>Already clear and direct; suggested wording intentionally keeps the current copy. Duplicate wording: appears 2 times.</x:v>
      </x:c>
      <x:c r="S2070" s="75" t="str">
        <x:v>Not applied — review required</x:v>
      </x:c>
    </x:row>
    <x:row r="2071">
      <x:c r="A2071" s="71" t="str">
        <x:v>MRV-9757473F6F</x:v>
      </x:c>
      <x:c r="B2071" s="71" t="str">
        <x:v>Travel utility</x:v>
      </x:c>
      <x:c r="C2071" s="71" t="str">
        <x:v>Passport</x:v>
      </x:c>
      <x:c r="D2071" s="71" t="str">
        <x:v>Shared: Passport</x:v>
      </x:c>
      <x:c r="E2071" s="71" t="str">
        <x:v>statusFromDataset</x:v>
      </x:c>
      <x:c r="F2071" s="71" t="str">
        <x:v>Default</x:v>
      </x:c>
      <x:c r="G2071" s="71" t="str">
        <x:v>Label</x:v>
      </x:c>
      <x:c r="H2071" s="71" t="str">
        <x:v>no admission</x:v>
      </x:c>
      <x:c r="I2071" s="71" t="str">
        <x:v>no admission</x:v>
      </x:c>
      <x:c r="J2071" s="73"/>
      <x:c r="K2071" s="74" t="str">
        <x:f>IF(J2071="",H2071,IF(J2071=I2071,I2071,J2071))</x:f>
        <x:v>no admission</x:v>
      </x:c>
      <x:c r="L2071" s="74" t="str">
        <x:f>IF(J2071="","Keep current",IF(J2071=I2071,"Use suggestion","Custom"))</x:f>
        <x:v>Keep current</x:v>
      </x:c>
      <x:c r="M2071" s="71" t="str">
        <x:v>Pending review</x:v>
      </x:c>
      <x:c r="N2071" s="71" t="str">
        <x:v>Normal</x:v>
      </x:c>
      <x:c r="O2071" s="71" t="str">
        <x:v>lib/easyt/visa-requirements.ts</x:v>
      </x:c>
      <x:c r="P2071" s="71" t="str">
        <x:v>statusFromDataset:82</x:v>
      </x:c>
      <x:c r="Q2071" s="71" t="str">
        <x:v>EN (default / shared)</x:v>
      </x:c>
      <x:c r="R2071" s="71" t="str">
        <x:v>Already clear and direct; suggested wording intentionally keeps the current copy.</x:v>
      </x:c>
      <x:c r="S2071" s="75" t="str">
        <x:v>Not applied — review required</x:v>
      </x:c>
    </x:row>
    <x:row r="2072">
      <x:c r="A2072" s="71" t="str">
        <x:v>MRV-D91B944DFF</x:v>
      </x:c>
      <x:c r="B2072" s="71" t="str">
        <x:v>Travel utility</x:v>
      </x:c>
      <x:c r="C2072" s="71" t="str">
        <x:v>Passport</x:v>
      </x:c>
      <x:c r="D2072" s="71" t="str">
        <x:v>Shared: Passport</x:v>
      </x:c>
      <x:c r="E2072" s="71" t="str">
        <x:v>stayFor</x:v>
      </x:c>
      <x:c r="F2072" s="71" t="str">
        <x:v>Default</x:v>
      </x:c>
      <x:c r="G2072" s="71" t="str">
        <x:v>Body copy</x:v>
      </x:c>
      <x:c r="H2072" s="71" t="str">
        <x:v>La duración no figura en los datos</x:v>
      </x:c>
      <x:c r="I2072" s="71" t="str">
        <x:v>La duración no figura en los datos</x:v>
      </x:c>
      <x:c r="J2072" s="73"/>
      <x:c r="K2072" s="74" t="str">
        <x:f>IF(J2072="",H2072,IF(J2072=I2072,I2072,J2072))</x:f>
        <x:v>La duración no figura en los datos</x:v>
      </x:c>
      <x:c r="L2072" s="74" t="str">
        <x:f>IF(J2072="","Keep current",IF(J2072=I2072,"Use suggestion","Custom"))</x:f>
        <x:v>Keep current</x:v>
      </x:c>
      <x:c r="M2072" s="71" t="str">
        <x:v>Pending review</x:v>
      </x:c>
      <x:c r="N2072" s="71" t="str">
        <x:v>Normal</x:v>
      </x:c>
      <x:c r="O2072" s="71" t="str">
        <x:v>lib/easyt/visa-requirements.ts</x:v>
      </x:c>
      <x:c r="P2072" s="71" t="str">
        <x:v>stayFor:85</x:v>
      </x:c>
      <x:c r="Q2072" s="71" t="str">
        <x:v>ES</x:v>
      </x:c>
      <x:c r="R2072" s="71" t="str">
        <x:v>Already clear and direct; suggested wording intentionally keeps the current copy.</x:v>
      </x:c>
      <x:c r="S2072" s="75" t="str">
        <x:v>Not applied — review required</x:v>
      </x:c>
    </x:row>
    <x:row r="2073">
      <x:c r="A2073" s="71" t="str">
        <x:v>MRV-9B9C373B9B</x:v>
      </x:c>
      <x:c r="B2073" s="71" t="str">
        <x:v>Travel utility</x:v>
      </x:c>
      <x:c r="C2073" s="71" t="str">
        <x:v>Passport</x:v>
      </x:c>
      <x:c r="D2073" s="71" t="str">
        <x:v>Shared: Passport</x:v>
      </x:c>
      <x:c r="E2073" s="71" t="str">
        <x:v>stayFor</x:v>
      </x:c>
      <x:c r="F2073" s="71" t="str">
        <x:v>Default</x:v>
      </x:c>
      <x:c r="G2073" s="71" t="str">
        <x:v>Body copy</x:v>
      </x:c>
      <x:c r="H2073" s="71" t="str">
        <x:v>Stay length is not stated in the data</x:v>
      </x:c>
      <x:c r="I2073" s="71" t="str">
        <x:v>Stay length is not stated in the data</x:v>
      </x:c>
      <x:c r="J2073" s="73"/>
      <x:c r="K2073" s="74" t="str">
        <x:f>IF(J2073="",H2073,IF(J2073=I2073,I2073,J2073))</x:f>
        <x:v>Stay length is not stated in the data</x:v>
      </x:c>
      <x:c r="L2073" s="74" t="str">
        <x:f>IF(J2073="","Keep current",IF(J2073=I2073,"Use suggestion","Custom"))</x:f>
        <x:v>Keep current</x:v>
      </x:c>
      <x:c r="M2073" s="71" t="str">
        <x:v>Pending review</x:v>
      </x:c>
      <x:c r="N2073" s="71" t="str">
        <x:v>Normal</x:v>
      </x:c>
      <x:c r="O2073" s="71" t="str">
        <x:v>lib/easyt/visa-requirements.ts</x:v>
      </x:c>
      <x:c r="P2073" s="71" t="str">
        <x:v>stayFor:85</x:v>
      </x:c>
      <x:c r="Q2073" s="71" t="str">
        <x:v>EN</x:v>
      </x:c>
      <x:c r="R2073" s="71" t="str">
        <x:v>Already clear and direct; suggested wording intentionally keeps the current copy.</x:v>
      </x:c>
      <x:c r="S2073" s="75" t="str">
        <x:v>Not applied — review required</x:v>
      </x:c>
    </x:row>
    <x:row r="2074">
      <x:c r="A2074" s="71" t="str">
        <x:v>MRV-6697AA4192</x:v>
      </x:c>
      <x:c r="B2074" s="71" t="str">
        <x:v>Travel utility</x:v>
      </x:c>
      <x:c r="C2074" s="71" t="str">
        <x:v>Passport</x:v>
      </x:c>
      <x:c r="D2074" s="71" t="str">
        <x:v>Shared: Passport</x:v>
      </x:c>
      <x:c r="E2074" s="71" t="str">
        <x:v>stayFor</x:v>
      </x:c>
      <x:c r="F2074" s="71" t="str">
        <x:v>Default</x:v>
      </x:c>
      <x:c r="G2074" s="71" t="str">
        <x:v>Label</x:v>
      </x:c>
      <x:c r="H2074" s="71" t="str">
        <x:v>Hasta {days} días</x:v>
      </x:c>
      <x:c r="I2074" s="71" t="str">
        <x:v>Hasta {days} días</x:v>
      </x:c>
      <x:c r="J2074" s="73"/>
      <x:c r="K2074" s="74" t="str">
        <x:f>IF(J2074="",H2074,IF(J2074=I2074,I2074,J2074))</x:f>
        <x:v>Hasta {days} días</x:v>
      </x:c>
      <x:c r="L2074" s="74" t="str">
        <x:f>IF(J2074="","Keep current",IF(J2074=I2074,"Use suggestion","Custom"))</x:f>
        <x:v>Keep current</x:v>
      </x:c>
      <x:c r="M2074" s="71" t="str">
        <x:v>Pending review</x:v>
      </x:c>
      <x:c r="N2074" s="71" t="str">
        <x:v>Normal</x:v>
      </x:c>
      <x:c r="O2074" s="71" t="str">
        <x:v>lib/easyt/visa-requirements.ts</x:v>
      </x:c>
      <x:c r="P2074" s="71" t="str">
        <x:v>stayFor:86</x:v>
      </x:c>
      <x:c r="Q2074" s="71" t="str">
        <x:v>ES</x:v>
      </x:c>
      <x:c r="R2074" s="71" t="str">
        <x:v>Already clear and direct; suggested wording intentionally keeps the current copy. Dynamic traveller or trip value is represented as a token; user-generated values are excluded.</x:v>
      </x:c>
      <x:c r="S2074" s="75" t="str">
        <x:v>Not applied — review required</x:v>
      </x:c>
    </x:row>
    <x:row r="2075">
      <x:c r="A2075" s="71" t="str">
        <x:v>MRV-B5718AABF6</x:v>
      </x:c>
      <x:c r="B2075" s="71" t="str">
        <x:v>Travel utility</x:v>
      </x:c>
      <x:c r="C2075" s="71" t="str">
        <x:v>Passport</x:v>
      </x:c>
      <x:c r="D2075" s="71" t="str">
        <x:v>Shared: Passport</x:v>
      </x:c>
      <x:c r="E2075" s="71" t="str">
        <x:v>stayFor</x:v>
      </x:c>
      <x:c r="F2075" s="71" t="str">
        <x:v>Default</x:v>
      </x:c>
      <x:c r="G2075" s="71" t="str">
        <x:v>Label</x:v>
      </x:c>
      <x:c r="H2075" s="71" t="str">
        <x:v>Up to {days} days</x:v>
      </x:c>
      <x:c r="I2075" s="71" t="str">
        <x:v>Up to {days} days</x:v>
      </x:c>
      <x:c r="J2075" s="73"/>
      <x:c r="K2075" s="74" t="str">
        <x:f>IF(J2075="",H2075,IF(J2075=I2075,I2075,J2075))</x:f>
        <x:v>Up to {days} days</x:v>
      </x:c>
      <x:c r="L2075" s="74" t="str">
        <x:f>IF(J2075="","Keep current",IF(J2075=I2075,"Use suggestion","Custom"))</x:f>
        <x:v>Keep current</x:v>
      </x:c>
      <x:c r="M2075" s="71" t="str">
        <x:v>Pending review</x:v>
      </x:c>
      <x:c r="N2075" s="71" t="str">
        <x:v>Normal</x:v>
      </x:c>
      <x:c r="O2075" s="71" t="str">
        <x:v>lib/easyt/visa-requirements.ts</x:v>
      </x:c>
      <x:c r="P2075" s="71" t="str">
        <x:v>stayFor:86</x:v>
      </x:c>
      <x:c r="Q2075" s="71" t="str">
        <x:v>EN</x:v>
      </x:c>
      <x:c r="R2075" s="71" t="str">
        <x:v>Already clear and direct; suggested wording intentionally keeps the current copy. Dynamic traveller or trip value is represented as a token; user-generated values are excluded.</x:v>
      </x:c>
      <x:c r="S2075" s="75" t="str">
        <x:v>Not applied — review required</x:v>
      </x:c>
    </x:row>
    <x:row r="2076">
      <x:c r="A2076" s="71" t="str">
        <x:v>MRV-6714840F47</x:v>
      </x:c>
      <x:c r="B2076" s="71" t="str">
        <x:v>Travel utility</x:v>
      </x:c>
      <x:c r="C2076" s="71" t="str">
        <x:v>Passport</x:v>
      </x:c>
      <x:c r="D2076" s="71" t="str">
        <x:v>Shared: Passport</x:v>
      </x:c>
      <x:c r="E2076" s="71" t="str">
        <x:v>schengenAllowance</x:v>
      </x:c>
      <x:c r="F2076" s="71" t="str">
        <x:v>Default</x:v>
      </x:c>
      <x:c r="G2076" s="71" t="str">
        <x:v>Label</x:v>
      </x:c>
      <x:c r="H2076" s="71" t="str">
        <x:v>United Kingdom</x:v>
      </x:c>
      <x:c r="I2076" s="71" t="str">
        <x:v>United Kingdom</x:v>
      </x:c>
      <x:c r="J2076" s="73"/>
      <x:c r="K2076" s="74" t="str">
        <x:f>IF(J2076="",H2076,IF(J2076=I2076,I2076,J2076))</x:f>
        <x:v>United Kingdom</x:v>
      </x:c>
      <x:c r="L2076" s="74" t="str">
        <x:f>IF(J2076="","Keep current",IF(J2076=I2076,"Use suggestion","Custom"))</x:f>
        <x:v>Keep current</x:v>
      </x:c>
      <x:c r="M2076" s="71" t="str">
        <x:v>Pending review</x:v>
      </x:c>
      <x:c r="N2076" s="71" t="str">
        <x:v>Normal</x:v>
      </x:c>
      <x:c r="O2076" s="71" t="str">
        <x:v>lib/easyt/visa-requirements.ts</x:v>
      </x:c>
      <x:c r="P2076" s="71" t="str">
        <x:v>schengenAllowance:131</x:v>
      </x:c>
      <x:c r="Q2076" s="71" t="str">
        <x:v>EN (default / shared)</x:v>
      </x:c>
      <x:c r="R2076" s="71" t="str">
        <x:v>Already clear and direct; suggested wording intentionally keeps the current copy. Duplicate wording: appears 3 times.</x:v>
      </x:c>
      <x:c r="S2076" s="75" t="str">
        <x:v>Not applied — review required</x:v>
      </x:c>
    </x:row>
    <x:row r="2077">
      <x:c r="A2077" s="71" t="str">
        <x:v>MRV-00A2620E4D</x:v>
      </x:c>
      <x:c r="B2077" s="71" t="str">
        <x:v>Travel utility</x:v>
      </x:c>
      <x:c r="C2077" s="71" t="str">
        <x:v>Passport</x:v>
      </x:c>
      <x:c r="D2077" s="71" t="str">
        <x:v>Shared: Passport</x:v>
      </x:c>
      <x:c r="E2077" s="71" t="str">
        <x:v>permittedStay</x:v>
      </x:c>
      <x:c r="F2077" s="71" t="str">
        <x:v>Default</x:v>
      </x:c>
      <x:c r="G2077" s="71" t="str">
        <x:v>Body copy</x:v>
      </x:c>
      <x:c r="H2077" s="71" t="str">
        <x:v>Hasta 90 días en cualquier período de 180 días</x:v>
      </x:c>
      <x:c r="I2077" s="71" t="str">
        <x:v>Hasta 90 días en cualquier período de 180 días</x:v>
      </x:c>
      <x:c r="J2077" s="73"/>
      <x:c r="K2077" s="74" t="str">
        <x:f>IF(J2077="",H2077,IF(J2077=I2077,I2077,J2077))</x:f>
        <x:v>Hasta 90 días en cualquier período de 180 días</x:v>
      </x:c>
      <x:c r="L2077" s="74" t="str">
        <x:f>IF(J2077="","Keep current",IF(J2077=I2077,"Use suggestion","Custom"))</x:f>
        <x:v>Keep current</x:v>
      </x:c>
      <x:c r="M2077" s="71" t="str">
        <x:v>Pending review</x:v>
      </x:c>
      <x:c r="N2077" s="71" t="str">
        <x:v>Normal</x:v>
      </x:c>
      <x:c r="O2077" s="71" t="str">
        <x:v>lib/easyt/visa-requirements.ts</x:v>
      </x:c>
      <x:c r="P2077" s="71" t="str">
        <x:v>permittedStay:133</x:v>
      </x:c>
      <x:c r="Q2077" s="71" t="str">
        <x:v>ES</x:v>
      </x:c>
      <x:c r="R2077" s="71" t="str">
        <x:v>Already clear and direct; suggested wording intentionally keeps the current copy.</x:v>
      </x:c>
      <x:c r="S2077" s="75" t="str">
        <x:v>Not applied — review required</x:v>
      </x:c>
    </x:row>
    <x:row r="2078">
      <x:c r="A2078" s="71" t="str">
        <x:v>MRV-3C6B09F41C</x:v>
      </x:c>
      <x:c r="B2078" s="71" t="str">
        <x:v>Travel utility</x:v>
      </x:c>
      <x:c r="C2078" s="71" t="str">
        <x:v>Passport</x:v>
      </x:c>
      <x:c r="D2078" s="71" t="str">
        <x:v>Shared: Passport</x:v>
      </x:c>
      <x:c r="E2078" s="71" t="str">
        <x:v>permittedStay</x:v>
      </x:c>
      <x:c r="F2078" s="71" t="str">
        <x:v>Default</x:v>
      </x:c>
      <x:c r="G2078" s="71" t="str">
        <x:v>Body copy</x:v>
      </x:c>
      <x:c r="H2078" s="71" t="str">
        <x:v>Up to 90 days in any 180-day period</x:v>
      </x:c>
      <x:c r="I2078" s="71" t="str">
        <x:v>Up to 90 days in any 180-day period</x:v>
      </x:c>
      <x:c r="J2078" s="73"/>
      <x:c r="K2078" s="74" t="str">
        <x:f>IF(J2078="",H2078,IF(J2078=I2078,I2078,J2078))</x:f>
        <x:v>Up to 90 days in any 180-day period</x:v>
      </x:c>
      <x:c r="L2078" s="74" t="str">
        <x:f>IF(J2078="","Keep current",IF(J2078=I2078,"Use suggestion","Custom"))</x:f>
        <x:v>Keep current</x:v>
      </x:c>
      <x:c r="M2078" s="71" t="str">
        <x:v>Pending review</x:v>
      </x:c>
      <x:c r="N2078" s="71" t="str">
        <x:v>Normal</x:v>
      </x:c>
      <x:c r="O2078" s="71" t="str">
        <x:v>lib/easyt/visa-requirements.ts</x:v>
      </x:c>
      <x:c r="P2078" s="71" t="str">
        <x:v>permittedStay:133</x:v>
      </x:c>
      <x:c r="Q2078" s="71" t="str">
        <x:v>EN</x:v>
      </x:c>
      <x:c r="R2078" s="71" t="str">
        <x:v>Already clear and direct; suggested wording intentionally keeps the current copy.</x:v>
      </x:c>
      <x:c r="S2078" s="75" t="str">
        <x:v>Not applied — review required</x:v>
      </x:c>
    </x:row>
  </x:sheetData>
  <x:conditionalFormatting sqref="L2:L601">
    <x:cfRule type="expression" dxfId="2" priority="1">
      <x:formula>L2="Pending review"</x:formula>
    </x:cfRule>
    <x:cfRule type="expression" dxfId="3" priority="2">
      <x:formula>L2="Use suggestion"</x:formula>
    </x:cfRule>
    <x:cfRule type="expression" dxfId="4" priority="3">
      <x:formula>L2="Custom"</x:formula>
    </x:cfRule>
  </x:conditionalFormatting>
  <x:conditionalFormatting sqref="M2:M601">
    <x:cfRule type="expression" dxfId="5" priority="4">
      <x:formula>M2="Needs context"</x:formula>
    </x:cfRule>
  </x:conditionalFormatting>
  <x:conditionalFormatting sqref="S2:S601">
    <x:cfRule type="expression" dxfId="6" priority="5">
      <x:formula>S2="QA passed"</x:formula>
    </x:cfRule>
    <x:cfRule type="expression" dxfId="7" priority="6">
      <x:formula>S2="Blocked"</x:formula>
    </x:cfRule>
  </x:conditionalFormatting>
  <x:dataValidations count="6">
    <x:dataValidation type="list" sqref="G2:G601">
      <x:formula1>"Heading,Body,CTA,Navigation,Label,Helper,Placeholder,Tooltip,Warning,Error,Success,Empty state,Loading,Recovery,Consent,Accessibility"</x:formula1>
    </x:dataValidation>
    <x:dataValidation type="list" sqref="M2:M601">
      <x:formula1>"Not reviewed,Reviewed,Needs context"</x:formula1>
    </x:dataValidation>
    <x:dataValidation type="list" sqref="N2:N601">
      <x:formula1>"P0,P1,P2,P3"</x:formula1>
    </x:dataValidation>
    <x:dataValidation type="list" sqref="Q2:Q601">
      <x:formula1>"en,es,shared"</x:formula1>
    </x:dataValidation>
    <x:dataValidation type="list" sqref="S2:S601">
      <x:formula1>"Not started,Applied,QA passed,Blocked"</x:formula1>
    </x:dataValidation>
    <x:dataValidation type="list" sqref="M2:M2078">
      <x:formula1>"Pending review,Reviewed"</x:formula1>
    </x:dataValidation>
  </x:dataValidations>
  <x:pageMargins left="0.7" right="0.7" top="0.75" bottom="0.75" header="0.3" footer="0.3"/>
  <x:tableParts count="1">
    <x:tablePart xmlns:r="http://schemas.openxmlformats.org/officeDocument/2006/relationships" r:id="R7f2882df17274db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75" hidden="0" customWidth="1"/>
    <x:col min="4" max="4" width="20" hidden="0" customWidth="1"/>
    <x:col min="5" max="5" width="14" hidden="0" customWidth="1"/>
  </x:cols>
  <x:sheetData>
    <x:row r="1" ht="34" customHeight="1">
      <x:c r="A1" s="3" t="str">
        <x:v>Copy Review Dashboard</x:v>
      </x:c>
      <x:c r="B1" s="3"/>
      <x:c r="C1" s="3"/>
      <x:c r="D1" s="3"/>
      <x:c r="E1" s="3"/>
      <x:c r="F1" s="3"/>
    </x:row>
    <x:row r="3">
      <x:c r="A3" s="20" t="str">
        <x:v>Metric</x:v>
      </x:c>
      <x:c r="B3" s="20" t="str">
        <x:v>Value</x:v>
      </x:c>
      <x:c r="C3" s="21"/>
      <x:c r="D3" s="60" t="str">
        <x:v>Decision</x:v>
      </x:c>
      <x:c r="E3" s="60" t="str">
        <x:v>Count</x:v>
      </x:c>
    </x:row>
    <x:row r="4">
      <x:c r="A4" s="21" t="str">
        <x:v>Total copy rows</x:v>
      </x:c>
      <x:c r="B4" s="21" t="n">
        <x:f>COUNTA('Copy Inventory'!A2:A2078)</x:f>
        <x:v>2077</x:v>
      </x:c>
      <x:c r="C4" s="21"/>
      <x:c r="D4" s="21" t="str">
        <x:v>Keep current</x:v>
      </x:c>
      <x:c r="E4" s="21" t="n">
        <x:f>COUNTIF('Copy Inventory'!L2:L2078,"Keep current")</x:f>
        <x:v>2077</x:v>
      </x:c>
    </x:row>
    <x:row r="5">
      <x:c r="A5" s="21" t="str">
        <x:v>Reviewed</x:v>
      </x:c>
      <x:c r="B5" s="21" t="n">
        <x:f>COUNTIF('Copy Inventory'!M2:M2078,"Reviewed")</x:f>
        <x:v>0</x:v>
      </x:c>
      <x:c r="C5" s="21"/>
      <x:c r="D5" s="21" t="str">
        <x:v>Use suggestion</x:v>
      </x:c>
      <x:c r="E5" s="21" t="n">
        <x:f>COUNTIF('Copy Inventory'!L2:L2078,"Use suggestion")</x:f>
        <x:v>0</x:v>
      </x:c>
    </x:row>
    <x:row r="6">
      <x:c r="A6" s="21" t="str">
        <x:v>Pending review</x:v>
      </x:c>
      <x:c r="B6" s="21" t="n">
        <x:f>B4-B5</x:f>
        <x:v>2077</x:v>
      </x:c>
      <x:c r="C6" s="21"/>
      <x:c r="D6" s="21" t="str">
        <x:v>Custom</x:v>
      </x:c>
      <x:c r="E6" s="21" t="n">
        <x:f>COUNTIF('Copy Inventory'!L2:L2078,"Custom")</x:f>
        <x:v>0</x:v>
      </x:c>
    </x:row>
    <x:row r="7">
      <x:c r="A7" s="21" t="str">
        <x:v>Use suggestion</x:v>
      </x:c>
      <x:c r="B7" s="21" t="n">
        <x:f>COUNTIF('Copy Inventory'!L2:L2078,"Use suggestion")</x:f>
        <x:v>0</x:v>
      </x:c>
      <x:c r="C7" s="21"/>
      <x:c r="D7" s="21" t="str">
        <x:v>Pending review</x:v>
      </x:c>
      <x:c r="E7" s="21" t="n">
        <x:f>COUNTIF('Copy Inventory'!M2:M2078,"Pending review")</x:f>
        <x:v>2077</x:v>
      </x:c>
    </x:row>
    <x:row r="8">
      <x:c r="A8" s="21" t="str">
        <x:v>Keep current</x:v>
      </x:c>
      <x:c r="B8" s="21" t="n">
        <x:f>COUNTIF('Copy Inventory'!L2:L2078,"Keep current")</x:f>
        <x:v>2077</x:v>
      </x:c>
      <x:c r="C8" s="21"/>
      <x:c r="D8" s="21"/>
      <x:c r="E8" s="21"/>
    </x:row>
    <x:row r="9">
      <x:c r="A9" s="21" t="str">
        <x:v>Custom copy</x:v>
      </x:c>
      <x:c r="B9" s="21" t="n">
        <x:f>COUNTIF('Copy Inventory'!L2:L2078,"Custom")</x:f>
        <x:v>0</x:v>
      </x:c>
      <x:c r="C9" s="21"/>
      <x:c r="D9" s="21"/>
      <x:c r="E9" s="21"/>
    </x:row>
    <x:row r="10">
      <x:c r="A10" s="21" t="str">
        <x:v>Needs context</x:v>
      </x:c>
      <x:c r="B10" s="21" t="n">
        <x:v>589</x:v>
      </x:c>
      <x:c r="C10" s="21"/>
      <x:c r="D10" s="21"/>
      <x:c r="E10" s="21"/>
    </x:row>
    <x:row r="11">
      <x:c r="A11" s="21" t="str">
        <x:v>Applied or QA passed</x:v>
      </x:c>
      <x:c r="B11" s="21" t="n">
        <x:f>COUNTIF('Copy Inventory'!S2:S2078,"Applied or QA passed")</x:f>
        <x:v>0</x:v>
      </x:c>
      <x:c r="C11" s="21"/>
      <x:c r="D11" s="21"/>
      <x:c r="E11" s="21"/>
    </x:row>
    <x:row r="12">
      <x:c r="A12" s="21" t="str">
        <x:v>Review completion</x:v>
      </x:c>
      <x:c r="B12" s="61" t="n">
        <x:f>IF(B4=0,0,B5/B4)</x:f>
        <x:v>0</x:v>
      </x:c>
      <x:c r="C12" s="21"/>
      <x:c r="D12" s="21"/>
      <x:c r="E12" s="21"/>
    </x:row>
    <x:row r="14">
      <x:c r="A14" s="78" t="str">
        <x:v>Coverage</x:v>
      </x:c>
      <x:c r="B14" s="80" t="str">
        <x:v>26 of 26 scoped surfaces contain inventoried static production copy.</x:v>
      </x:c>
    </x:row>
    <x:row r="15">
      <x:c r="A15" s="79" t="str">
        <x:v>Omissions</x:v>
      </x:c>
      <x:c r="B15" s="81" t="str">
        <x:v>User-generated trip content, provider content, raw API errors, runtime-only data and third-party copy are excluded. Runtime QA is still needed for browser-only and provider states.</x:v>
      </x:c>
      <x:c r="C15" s="66"/>
      <x:c r="D15" s="66"/>
      <x:c r="E15" s="66"/>
      <x:c r="F15" s="66"/>
    </x:row>
    <x:row r="16">
      <x:c r="A16" s="66"/>
      <x:c r="B16" s="66"/>
      <x:c r="C16" s="66"/>
      <x:c r="D16" s="66"/>
      <x:c r="E16" s="66"/>
      <x:c r="F16" s="66"/>
    </x:row>
    <x:row r="17">
      <x:c r="A17" s="66"/>
      <x:c r="B17" s="66"/>
      <x:c r="C17" s="66"/>
      <x:c r="D17" s="66"/>
      <x:c r="E17" s="66"/>
      <x:c r="F17" s="66"/>
    </x:row>
    <x:row r="18">
      <x:c r="A18" s="66"/>
      <x:c r="B18" s="66"/>
      <x:c r="C18" s="66"/>
      <x:c r="D18" s="66"/>
      <x:c r="E18" s="66"/>
      <x:c r="F18" s="66"/>
    </x:row>
  </x:sheetData>
  <x:mergeCells>
    <x:mergeCell ref="A1:F1"/>
    <x:mergeCell ref="A15:F18"/>
  </x:mergeCells>
  <x:pageMargins left="0.7" right="0.7" top="0.75" bottom="0.75" header="0.3" footer="0.3"/>
  <x:drawing xmlns:r="http://schemas.openxmlformats.org/officeDocument/2006/relationships" r:id="Rd91306cf77b44278"/>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20" hidden="0" customWidth="1"/>
    <x:col min="4" max="4" width="36" hidden="0" customWidth="1"/>
    <x:col min="5" max="5" width="34" hidden="0" customWidth="1"/>
    <x:col min="6" max="6" width="36" hidden="0" customWidth="1"/>
    <x:col min="7" max="7" width="42" hidden="0" customWidth="1"/>
    <x:col min="8" max="8" width="48" hidden="0" customWidth="1"/>
    <x:col min="9" max="9" width="50" hidden="0" customWidth="1"/>
    <x:col min="10" max="10" width="38" hidden="0" customWidth="1"/>
    <x:col min="11" max="11" width="24" hidden="0" customWidth="1"/>
  </x:cols>
  <x:sheetData>
    <x:row r="1" ht="30" customHeight="1">
      <x:c r="A1" s="85" t="str">
        <x:v>Copy Review Queue</x:v>
      </x:c>
    </x:row>
    <x:row r="2" ht="34" customHeight="1">
      <x:c r="A2" s="89" t="str">
        <x:v>High-impact, unique decisions only. This queue never approves copy: copy any approved wording into Final Copy Override on every affected original row.</x:v>
      </x:c>
    </x:row>
    <x:row r="4">
      <x:c r="A4" s="98" t="str">
        <x:v>Inventory rows</x:v>
      </x:c>
      <x:c r="B4" s="99" t="n">
        <x:f>COUNTA('Copy Inventory'!$A$2:$A$2078)</x:f>
        <x:v>2077</x:v>
      </x:c>
      <x:c r="C4" s="99"/>
      <x:c r="D4" s="99" t="str">
        <x:v>Exact repeat groups</x:v>
      </x:c>
      <x:c r="E4" s="99" t="n">
        <x:v>207</x:v>
      </x:c>
      <x:c r="F4" s="99"/>
      <x:c r="G4" s="99" t="str">
        <x:v>Near UX groups</x:v>
      </x:c>
      <x:c r="H4" s="99" t="n">
        <x:v>47</x:v>
      </x:c>
      <x:c r="I4" s="99"/>
      <x:c r="J4" s="99" t="str">
        <x:v>High-impact queue</x:v>
      </x:c>
      <x:c r="K4" s="100" t="n">
        <x:v>60</x:v>
      </x:c>
    </x:row>
    <x:row r="5">
      <x:c r="A5" s="101" t="str">
        <x:v>Context items resolved</x:v>
      </x:c>
      <x:c r="B5" s="102" t="n">
        <x:v>0</x:v>
      </x:c>
      <x:c r="C5" s="102"/>
      <x:c r="D5" s="102" t="str">
        <x:v>Still ambiguous</x:v>
      </x:c>
      <x:c r="E5" s="102" t="n">
        <x:v>589</x:v>
      </x:c>
      <x:c r="F5" s="102"/>
      <x:c r="G5" s="102" t="str">
        <x:v>Final decisions copied</x:v>
      </x:c>
      <x:c r="H5" s="102" t="n">
        <x:v>0</x:v>
      </x:c>
      <x:c r="I5" s="102"/>
      <x:c r="J5" s="102" t="str">
        <x:v>Review status</x:v>
      </x:c>
      <x:c r="K5" s="103" t="str">
        <x:v>Decision-ready</x:v>
      </x:c>
    </x:row>
    <x:row r="7" ht="30" customHeight="1">
      <x:c r="A7" s="106" t="str">
        <x:v>Ranking: 1 Core journey, 2 Trust / high-stakes, 3 Error / recovery, 4 Onboarding / empty, 5 Navigation, 6 Long-tail / accessibility. Existing Suggested Replacement is shown for review only; it has not been accepted.</x:v>
      </x:c>
    </x:row>
    <x:row r="9" ht="34" customHeight="1">
      <x:c r="A9" s="118" t="str">
        <x:v>Queue rank</x:v>
      </x:c>
      <x:c r="B9" s="119" t="str">
        <x:v>Group ID</x:v>
      </x:c>
      <x:c r="C9" s="119" t="str">
        <x:v>Impact tier</x:v>
      </x:c>
      <x:c r="D9" s="119" t="str">
        <x:v>Decision to make</x:v>
      </x:c>
      <x:c r="E9" s="119" t="str">
        <x:v>Scope</x:v>
      </x:c>
      <x:c r="F9" s="119" t="str">
        <x:v>Current copy / UX pattern</x:v>
      </x:c>
      <x:c r="G9" s="119" t="str">
        <x:v>Existing suggested replacement(s)</x:v>
      </x:c>
      <x:c r="H9" s="119" t="str">
        <x:v>Affected Copy IDs</x:v>
      </x:c>
      <x:c r="I9" s="119" t="str">
        <x:v>Review direction</x:v>
      </x:c>
      <x:c r="J9" s="119" t="str">
        <x:v>Original-row approval step</x:v>
      </x:c>
      <x:c r="K9" s="120" t="str">
        <x:v>Reviewer notes</x:v>
      </x:c>
    </x:row>
    <x:row r="10" ht="52" customHeight="1">
      <x:c r="A10" s="130" t="n">
        <x:v>1</x:v>
      </x:c>
      <x:c r="B10" s="127" t="str">
        <x:v>UX-001</x:v>
      </x:c>
      <x:c r="C10" s="133" t="str">
        <x:v>1 · Core journey</x:v>
      </x:c>
      <x:c r="D10" s="127" t="str">
        <x:v>Set a consistent standard action / label pattern for “build trip” without erasing contextual detail.</x:v>
      </x:c>
      <x:c r="E10" s="127" t="str">
        <x:v>Dashboard · Discover / Routes index · New trip builder · Route detail · Trip mode
DashboardClient (Default) · DiscoveryBrowser (Default) · TripBuilderDocument (Default) · RouteDetailView (Default) +1 more</x:v>
      </x:c>
      <x:c r="F10" s="127" t="str">
        <x:v>standard action / label · build trip · action</x:v>
      </x:c>
      <x:c r="G10" s="127" t="str">
        <x:v>Start a trip | BUILD FROM ANY STARTING POINT | Check what we understood and fill any gaps. | Continue +28 more</x:v>
      </x:c>
      <x:c r="H10" s="127" t="str">
        <x:v>MRV-E3C5EB7894, MRV-53F4F92644, MRV-64D935A45C, MRV-1C09F54B15, MRV-088D4F0046, MRV-7570347076, MRV-A6D0D515B5, MRV-B6DA990239, MRV-38A414D35C, MRV-1E6A6E6437, MRV-4669117300, MRV-753996BB11, MRV-8F7519CD0D, MRV-97355C9EBF, MRV-B3BCCC51CA, MRV-2E39F5D628, MRV-A3B51FC8D3, MRV-A260C767BB, MRV-58AA011FC1, MRV-4622DFF227, MRV-443E2C6453, MRV-34EAF2EC59, MRV-84166DB1DD, MRV-2AEE1F8A7A, MRV-DB4E90A05F, MRV-50F460FCE7, MRV-8DE073C365, MRV-07BA78574B, MRV-3578352777, MRV-8157AC7622, MRV-2FC7F4EB99, MRV-FCB2266EDD, MRV-6ECF86CB1D, MRV-5207664943, MRV-DC15D5BCB5, MRV-E47BC3C874, MRV-15C719CDC1, MRV-0865D42D5E, MRV-0156E17650, MRV-CF3915F010, MRV-F7D40F0EE3, MRV-28C5F1E8F5</x:v>
      </x:c>
      <x:c r="I10" s="127" t="str">
        <x:v>Use “trip” for the saved plan and its workspace. Keep “journey” only for editorial, brand-level language.</x:v>
      </x:c>
      <x:c r="J10" s="136" t="str">
        <x:v>Do not approve here. Paste approved wording into Final Copy Override for each listed Copy ID.</x:v>
      </x:c>
      <x:c r="K10" s="127" t="str"/>
    </x:row>
    <x:row r="11" ht="52" customHeight="1">
      <x:c r="A11" s="131" t="n">
        <x:v>2</x:v>
      </x:c>
      <x:c r="B11" s="128" t="str">
        <x:v>UX-002</x:v>
      </x:c>
      <x:c r="C11" s="134" t="str">
        <x:v>1 · Core journey</x:v>
      </x:c>
      <x:c r="D11" s="128" t="str">
        <x:v>Set a consistent loading / in progress pattern for “open / load” without erasing contextual detail.</x:v>
      </x:c>
      <x:c r="E11" s="128" t="str">
        <x:v>Overview · New trip builder · Route detail · Trip mode · Prep +1 more
TripWorkspaceLoading (Route loading) · NewTripPage (Default) · TripBuilderDocument (Loading / in progress) · TripBuilderDocument (Default) +5 more</x:v>
      </x:c>
      <x:c r="F11" s="128" t="str">
        <x:v>loading / in progress · open / load · action</x:v>
      </x:c>
      <x:c r="G11" s="128" t="str">
        <x:v>Opening your route… | Opening your trip… | Checking… | Finding a photograph… +5 more</x:v>
      </x:c>
      <x:c r="H11" s="128" t="str">
        <x:v>MRV-068EE3BC5A, MRV-A60628B87C, MRV-AE4B742A33, MRV-6B94EB86B5, MRV-B19454A280, MRV-FDDA8E06BD, MRV-A14224F236, MRV-A16DA76B61, MRV-AE60132583, MRV-369A0CB730, MRV-3FB64476CF</x:v>
      </x:c>
      <x:c r="I11" s="128" t="str">
        <x:v>Use one short present-tense progress message. Explain preservation only when it reassures the traveller about their work.</x:v>
      </x:c>
      <x:c r="J11" s="137" t="str">
        <x:v>Do not approve here. Paste approved wording into Final Copy Override for each listed Copy ID.</x:v>
      </x:c>
      <x:c r="K11" s="128" t="str"/>
    </x:row>
    <x:row r="12" ht="52" customHeight="1">
      <x:c r="A12" s="131" t="n">
        <x:v>3</x:v>
      </x:c>
      <x:c r="B12" s="128" t="str">
        <x:v>EX-001</x:v>
      </x:c>
      <x:c r="C12" s="134" t="str">
        <x:v>1 · Core journey</x:v>
      </x:c>
      <x:c r="D12" s="128" t="str">
        <x:v>Should this shared wording stay identical across every listed surface?</x:v>
      </x:c>
      <x:c r="E12" s="128" t="str">
        <x:v>New trip builder · Stamps
TripBuilderDocument (Default) · StampedExperience (Default)</x:v>
      </x:c>
      <x:c r="F12" s="128" t="str">
        <x:v>Edit</x:v>
      </x:c>
      <x:c r="G12" s="128" t="str">
        <x:v>Edit</x:v>
      </x:c>
      <x:c r="H12" s="128" t="str">
        <x:v>MRV-7570347076, MRV-1E6A6E6437, MRV-07BA78574B, MRV-B2A8E1B473</x:v>
      </x:c>
      <x:c r="I12" s="128" t="str">
        <x:v>Confirm a shared wording only if the same user intent applies. Keep surface-specific detail where the action or consequence differs.</x:v>
      </x:c>
      <x:c r="J12" s="137" t="str">
        <x:v>Do not approve here. Paste approved wording into Final Copy Override for each listed Copy ID.</x:v>
      </x:c>
      <x:c r="K12" s="128" t="str"/>
    </x:row>
    <x:row r="13" ht="52" customHeight="1">
      <x:c r="A13" s="131" t="n">
        <x:v>4</x:v>
      </x:c>
      <x:c r="B13" s="128" t="str">
        <x:v>EX-002</x:v>
      </x:c>
      <x:c r="C13" s="134" t="str">
        <x:v>1 · Core journey</x:v>
      </x:c>
      <x:c r="D13" s="128" t="str">
        <x:v>Should this shared wording stay identical across every listed surface?</x:v>
      </x:c>
      <x:c r="E13" s="128" t="str">
        <x:v>New trip builder · Stamps
TripBuilderDocument (Default) · StampedExperience (Default)</x:v>
      </x:c>
      <x:c r="F13" s="128" t="str">
        <x:v>Editar</x:v>
      </x:c>
      <x:c r="G13" s="128" t="str">
        <x:v>Editar</x:v>
      </x:c>
      <x:c r="H13" s="128" t="str">
        <x:v>MRV-088D4F0046, MRV-38A414D35C, MRV-8DE073C365, MRV-F225335A8A</x:v>
      </x:c>
      <x:c r="I13" s="128" t="str">
        <x:v>Confirm a shared wording only if the same user intent applies. Keep surface-specific detail where the action or consequence differs.</x:v>
      </x:c>
      <x:c r="J13" s="137" t="str">
        <x:v>Do not approve here. Paste approved wording into Final Copy Override for each listed Copy ID.</x:v>
      </x:c>
      <x:c r="K13" s="128" t="str"/>
    </x:row>
    <x:row r="14" ht="52" customHeight="1">
      <x:c r="A14" s="131" t="n">
        <x:v>5</x:v>
      </x:c>
      <x:c r="B14" s="128" t="str">
        <x:v>EX-003</x:v>
      </x:c>
      <x:c r="C14" s="134" t="str">
        <x:v>1 · Core journey</x:v>
      </x:c>
      <x:c r="D14" s="128" t="str">
        <x:v>Should this shared wording stay identical across every listed surface?</x:v>
      </x:c>
      <x:c r="E14" s="128" t="str">
        <x:v>New trip builder
TripBuilderDocument (Default)</x:v>
      </x:c>
      <x:c r="F14" s="128" t="str">
        <x:v>Add</x:v>
      </x:c>
      <x:c r="G14" s="128" t="str">
        <x:v>Add</x:v>
      </x:c>
      <x:c r="H14" s="128" t="str">
        <x:v>MRV-443E2C6453, MRV-34EAF2EC59, MRV-84166DB1DD</x:v>
      </x:c>
      <x:c r="I14" s="128" t="str">
        <x:v>Confirm a shared wording only if the same user intent applies. Keep surface-specific detail where the action or consequence differs.</x:v>
      </x:c>
      <x:c r="J14" s="137" t="str">
        <x:v>Do not approve here. Paste approved wording into Final Copy Override for each listed Copy ID.</x:v>
      </x:c>
      <x:c r="K14" s="128" t="str"/>
    </x:row>
    <x:row r="15" ht="52" customHeight="1">
      <x:c r="A15" s="131" t="n">
        <x:v>6</x:v>
      </x:c>
      <x:c r="B15" s="128" t="str">
        <x:v>EX-004</x:v>
      </x:c>
      <x:c r="C15" s="134" t="str">
        <x:v>1 · Core journey</x:v>
      </x:c>
      <x:c r="D15" s="128" t="str">
        <x:v>Should this shared wording stay identical across every listed surface?</x:v>
      </x:c>
      <x:c r="E15" s="128" t="str">
        <x:v>New trip builder
TripBuilderDocument (Default)</x:v>
      </x:c>
      <x:c r="F15" s="128" t="str">
        <x:v>Done</x:v>
      </x:c>
      <x:c r="G15" s="128" t="str">
        <x:v>Done</x:v>
      </x:c>
      <x:c r="H15" s="128" t="str">
        <x:v>MRV-753996BB11, MRV-50F460FCE7, MRV-2FC7F4EB99</x:v>
      </x:c>
      <x:c r="I15" s="128" t="str">
        <x:v>Confirm a shared wording only if the same user intent applies. Keep surface-specific detail where the action or consequence differs.</x:v>
      </x:c>
      <x:c r="J15" s="137" t="str">
        <x:v>Do not approve here. Paste approved wording into Final Copy Override for each listed Copy ID.</x:v>
      </x:c>
      <x:c r="K15" s="128" t="str"/>
    </x:row>
    <x:row r="16" ht="52" customHeight="1">
      <x:c r="A16" s="131" t="n">
        <x:v>7</x:v>
      </x:c>
      <x:c r="B16" s="128" t="str">
        <x:v>EX-005</x:v>
      </x:c>
      <x:c r="C16" s="134" t="str">
        <x:v>1 · Core journey</x:v>
      </x:c>
      <x:c r="D16" s="128" t="str">
        <x:v>Should this shared wording stay identical across every listed surface?</x:v>
      </x:c>
      <x:c r="E16" s="128" t="str">
        <x:v>Trip mode · Overview · Prep
TripModeClient (Default) · overviewActionForTrip (Default) · JourneyTripPrepAccommodation (Default)</x:v>
      </x:c>
      <x:c r="F16" s="128" t="str">
        <x:v>Find a stay</x:v>
      </x:c>
      <x:c r="G16" s="128" t="str">
        <x:v>Find a stay</x:v>
      </x:c>
      <x:c r="H16" s="128" t="str">
        <x:v>MRV-6652BB854C, MRV-FEAC4484B8, MRV-C32AAB2B1D</x:v>
      </x:c>
      <x:c r="I16" s="128" t="str">
        <x:v>Confirm a shared wording only if the same user intent applies. Keep surface-specific detail where the action or consequence differs.</x:v>
      </x:c>
      <x:c r="J16" s="137" t="str">
        <x:v>Do not approve here. Paste approved wording into Final Copy Override for each listed Copy ID.</x:v>
      </x:c>
      <x:c r="K16" s="128" t="str"/>
    </x:row>
    <x:row r="17" ht="52" customHeight="1">
      <x:c r="A17" s="131" t="n">
        <x:v>8</x:v>
      </x:c>
      <x:c r="B17" s="128" t="str">
        <x:v>EX-006</x:v>
      </x:c>
      <x:c r="C17" s="134" t="str">
        <x:v>1 · Core journey</x:v>
      </x:c>
      <x:c r="D17" s="128" t="str">
        <x:v>Should this shared wording stay identical across every listed surface?</x:v>
      </x:c>
      <x:c r="E17" s="128" t="str">
        <x:v>New trip builder
TripBuilderDocument (Accessibility / input support) · TripBuilderDocument (Default)</x:v>
      </x:c>
      <x:c r="F17" s="128" t="str">
        <x:v>Remove</x:v>
      </x:c>
      <x:c r="G17" s="128" t="str">
        <x:v>Remove</x:v>
      </x:c>
      <x:c r="H17" s="128" t="str">
        <x:v>MRV-F6D14DBED1, MRV-231B3ABA75, MRV-DB4E90A05F</x:v>
      </x:c>
      <x:c r="I17" s="128" t="str">
        <x:v>Confirm a shared wording only if the same user intent applies. Keep surface-specific detail where the action or consequence differs.</x:v>
      </x:c>
      <x:c r="J17" s="137" t="str">
        <x:v>Do not approve here. Paste approved wording into Final Copy Override for each listed Copy ID.</x:v>
      </x:c>
      <x:c r="K17" s="128" t="str"/>
    </x:row>
    <x:row r="18" ht="52" customHeight="1">
      <x:c r="A18" s="131" t="n">
        <x:v>9</x:v>
      </x:c>
      <x:c r="B18" s="128" t="str">
        <x:v>EX-007</x:v>
      </x:c>
      <x:c r="C18" s="134" t="str">
        <x:v>1 · Core journey</x:v>
      </x:c>
      <x:c r="D18" s="128" t="str">
        <x:v>Should this shared wording stay identical across every listed surface?</x:v>
      </x:c>
      <x:c r="E18" s="128" t="str">
        <x:v>Dashboard · Overview
statusLabel (Default)</x:v>
      </x:c>
      <x:c r="F18" s="128" t="str">
        <x:v>Archived</x:v>
      </x:c>
      <x:c r="G18" s="128" t="str">
        <x:v>Archived</x:v>
      </x:c>
      <x:c r="H18" s="128" t="str">
        <x:v>MRV-6D78B63E0C, MRV-965163E6E7</x:v>
      </x:c>
      <x:c r="I18" s="128" t="str">
        <x:v>Confirm a shared wording only if the same user intent applies. Keep surface-specific detail where the action or consequence differs.</x:v>
      </x:c>
      <x:c r="J18" s="137" t="str">
        <x:v>Do not approve here. Paste approved wording into Final Copy Override for each listed Copy ID.</x:v>
      </x:c>
      <x:c r="K18" s="128" t="str"/>
    </x:row>
    <x:row r="19" ht="52" customHeight="1">
      <x:c r="A19" s="131" t="n">
        <x:v>10</x:v>
      </x:c>
      <x:c r="B19" s="128" t="str">
        <x:v>EX-008</x:v>
      </x:c>
      <x:c r="C19" s="134" t="str">
        <x:v>1 · Core journey</x:v>
      </x:c>
      <x:c r="D19" s="128" t="str">
        <x:v>Should this shared wording stay identical across every listed surface?</x:v>
      </x:c>
      <x:c r="E19" s="128" t="str">
        <x:v>Planner recommendations
JourneyMapPlannerWorkspace (Default)</x:v>
      </x:c>
      <x:c r="F19" s="128" t="str">
        <x:v>Back</x:v>
      </x:c>
      <x:c r="G19" s="128" t="str">
        <x:v>Back</x:v>
      </x:c>
      <x:c r="H19" s="128" t="str">
        <x:v>MRV-6D61F4BF64, MRV-D98A3A6F0A</x:v>
      </x:c>
      <x:c r="I19" s="128" t="str">
        <x:v>Confirm a shared wording only if the same user intent applies. Keep surface-specific detail where the action or consequence differs.</x:v>
      </x:c>
      <x:c r="J19" s="137" t="str">
        <x:v>Do not approve here. Paste approved wording into Final Copy Override for each listed Copy ID.</x:v>
      </x:c>
      <x:c r="K19" s="128" t="str"/>
    </x:row>
    <x:row r="20" ht="52" customHeight="1">
      <x:c r="A20" s="131" t="n">
        <x:v>11</x:v>
      </x:c>
      <x:c r="B20" s="128" t="str">
        <x:v>EX-009</x:v>
      </x:c>
      <x:c r="C20" s="134" t="str">
        <x:v>1 · Core journey</x:v>
      </x:c>
      <x:c r="D20" s="128" t="str">
        <x:v>Should this shared wording stay identical across every listed surface?</x:v>
      </x:c>
      <x:c r="E20" s="128" t="str">
        <x:v>Admin operations · New trip builder
UserSupport (Default) · TripBuilderDocument (Default)</x:v>
      </x:c>
      <x:c r="F20" s="128" t="str">
        <x:v>Cancel</x:v>
      </x:c>
      <x:c r="G20" s="128" t="str">
        <x:v>Cancel</x:v>
      </x:c>
      <x:c r="H20" s="128" t="str">
        <x:v>MRV-536DAEE3D3, MRV-2E39F5D628</x:v>
      </x:c>
      <x:c r="I20" s="128" t="str">
        <x:v>Confirm a shared wording only if the same user intent applies. Keep surface-specific detail where the action or consequence differs.</x:v>
      </x:c>
      <x:c r="J20" s="137" t="str">
        <x:v>Do not approve here. Paste approved wording into Final Copy Override for each listed Copy ID.</x:v>
      </x:c>
      <x:c r="K20" s="128" t="str"/>
    </x:row>
    <x:row r="21" ht="52" customHeight="1">
      <x:c r="A21" s="131" t="n">
        <x:v>12</x:v>
      </x:c>
      <x:c r="B21" s="128" t="str">
        <x:v>EX-010</x:v>
      </x:c>
      <x:c r="C21" s="134" t="str">
        <x:v>1 · Core journey</x:v>
      </x:c>
      <x:c r="D21" s="128" t="str">
        <x:v>Should this shared wording stay identical across every listed surface?</x:v>
      </x:c>
      <x:c r="E21" s="128" t="str">
        <x:v>Trip mode · Overview
TripModeClient (Default) · TripOverviewWorkspace (Default)</x:v>
      </x:c>
      <x:c r="F21" s="128" t="str">
        <x:v>Open map</x:v>
      </x:c>
      <x:c r="G21" s="128" t="str">
        <x:v>Open map</x:v>
      </x:c>
      <x:c r="H21" s="128" t="str">
        <x:v>MRV-1736E7073F, MRV-6120BA909A</x:v>
      </x:c>
      <x:c r="I21" s="128" t="str">
        <x:v>Confirm a shared wording only if the same user intent applies. Keep surface-specific detail where the action or consequence differs.</x:v>
      </x:c>
      <x:c r="J21" s="137" t="str">
        <x:v>Do not approve here. Paste approved wording into Final Copy Override for each listed Copy ID.</x:v>
      </x:c>
      <x:c r="K21" s="128" t="str"/>
    </x:row>
    <x:row r="22" ht="52" customHeight="1">
      <x:c r="A22" s="131" t="n">
        <x:v>13</x:v>
      </x:c>
      <x:c r="B22" s="128" t="str">
        <x:v>EX-011</x:v>
      </x:c>
      <x:c r="C22" s="134" t="str">
        <x:v>1 · Core journey</x:v>
      </x:c>
      <x:c r="D22" s="128" t="str">
        <x:v>Should this shared wording stay identical across every listed surface?</x:v>
      </x:c>
      <x:c r="E22" s="128" t="str">
        <x:v>Overview · New trip builder
TripWorkspaceLoading (Route loading) · TripBuilderDocument (Default)</x:v>
      </x:c>
      <x:c r="F22" s="128" t="str">
        <x:v>Opening your route…</x:v>
      </x:c>
      <x:c r="G22" s="128" t="str">
        <x:v>Opening your route…</x:v>
      </x:c>
      <x:c r="H22" s="128" t="str">
        <x:v>MRV-068EE3BC5A, MRV-6B94EB86B5</x:v>
      </x:c>
      <x:c r="I22" s="128" t="str">
        <x:v>Use one short present-tense progress message. Explain preservation only when it reassures the traveller about their work.</x:v>
      </x:c>
      <x:c r="J22" s="137" t="str">
        <x:v>Do not approve here. Paste approved wording into Final Copy Override for each listed Copy ID.</x:v>
      </x:c>
      <x:c r="K22" s="128" t="str"/>
    </x:row>
    <x:row r="23" ht="52" customHeight="1">
      <x:c r="A23" s="131" t="n">
        <x:v>14</x:v>
      </x:c>
      <x:c r="B23" s="128" t="str">
        <x:v>EX-012</x:v>
      </x:c>
      <x:c r="C23" s="134" t="str">
        <x:v>1 · Core journey</x:v>
      </x:c>
      <x:c r="D23" s="128" t="str">
        <x:v>Should this shared wording stay identical across every listed surface?</x:v>
      </x:c>
      <x:c r="E23" s="128" t="str">
        <x:v>New trip builder · Trip mode
NewTripPage (Default) · TripModeClient (Default)</x:v>
      </x:c>
      <x:c r="F23" s="128" t="str">
        <x:v>Opening your trip…</x:v>
      </x:c>
      <x:c r="G23" s="128" t="str">
        <x:v>Opening your trip…</x:v>
      </x:c>
      <x:c r="H23" s="128" t="str">
        <x:v>MRV-A60628B87C, MRV-FDDA8E06BD</x:v>
      </x:c>
      <x:c r="I23" s="128" t="str">
        <x:v>Use one short present-tense progress message. Explain preservation only when it reassures the traveller about their work.</x:v>
      </x:c>
      <x:c r="J23" s="137" t="str">
        <x:v>Do not approve here. Paste approved wording into Final Copy Override for each listed Copy ID.</x:v>
      </x:c>
      <x:c r="K23" s="128" t="str"/>
    </x:row>
    <x:row r="24" ht="52" customHeight="1">
      <x:c r="A24" s="131" t="n">
        <x:v>15</x:v>
      </x:c>
      <x:c r="B24" s="128" t="str">
        <x:v>EX-013</x:v>
      </x:c>
      <x:c r="C24" s="134" t="str">
        <x:v>1 · Core journey</x:v>
      </x:c>
      <x:c r="D24" s="128" t="str">
        <x:v>Should this shared wording stay identical across every listed surface?</x:v>
      </x:c>
      <x:c r="E24" s="128" t="str">
        <x:v>Plan next · Planner recommendations
MapPlanNext (Default) · JourneyMapPlannerWorkspace (Default)</x:v>
      </x:c>
      <x:c r="F24" s="128" t="str">
        <x:v>Plan</x:v>
      </x:c>
      <x:c r="G24" s="128" t="str">
        <x:v>Plan</x:v>
      </x:c>
      <x:c r="H24" s="128" t="str">
        <x:v>MRV-6CDE988866, MRV-75A0ADBC09</x:v>
      </x:c>
      <x:c r="I24" s="128" t="str">
        <x:v>Use “route” for sequence and connections; use “plan” for the wider trip, including dates, stays and tasks.</x:v>
      </x:c>
      <x:c r="J24" s="137" t="str">
        <x:v>Do not approve here. Paste approved wording into Final Copy Override for each listed Copy ID.</x:v>
      </x:c>
      <x:c r="K24" s="128" t="str"/>
    </x:row>
    <x:row r="25" ht="52" customHeight="1">
      <x:c r="A25" s="131" t="n">
        <x:v>16</x:v>
      </x:c>
      <x:c r="B25" s="128" t="str">
        <x:v>EX-014</x:v>
      </x:c>
      <x:c r="C25" s="134" t="str">
        <x:v>1 · Core journey</x:v>
      </x:c>
      <x:c r="D25" s="128" t="str">
        <x:v>Should this shared wording stay identical across every listed surface?</x:v>
      </x:c>
      <x:c r="E25" s="128" t="str">
        <x:v>Dashboard · Overview
statusLabel (Default)</x:v>
      </x:c>
      <x:c r="F25" s="128" t="str">
        <x:v>Planned</x:v>
      </x:c>
      <x:c r="G25" s="128" t="str">
        <x:v>Planned</x:v>
      </x:c>
      <x:c r="H25" s="128" t="str">
        <x:v>MRV-89B5F43394, MRV-774387A5FF</x:v>
      </x:c>
      <x:c r="I25" s="128" t="str">
        <x:v>Use “route” for sequence and connections; use “plan” for the wider trip, including dates, stays and tasks.</x:v>
      </x:c>
      <x:c r="J25" s="137" t="str">
        <x:v>Do not approve here. Paste approved wording into Final Copy Override for each listed Copy ID.</x:v>
      </x:c>
      <x:c r="K25" s="128" t="str"/>
    </x:row>
    <x:row r="26" ht="52" customHeight="1">
      <x:c r="A26" s="131" t="n">
        <x:v>17</x:v>
      </x:c>
      <x:c r="B26" s="128" t="str">
        <x:v>EX-015</x:v>
      </x:c>
      <x:c r="C26" s="134" t="str">
        <x:v>1 · Core journey</x:v>
      </x:c>
      <x:c r="D26" s="128" t="str">
        <x:v>Should this shared wording stay identical across every listed surface?</x:v>
      </x:c>
      <x:c r="E26" s="128" t="str">
        <x:v>Prep
deriveTripPrepTasks (Default)</x:v>
      </x:c>
      <x:c r="F26" s="128" t="str">
        <x:v>Review dates</x:v>
      </x:c>
      <x:c r="G26" s="128" t="str">
        <x:v>Review dates</x:v>
      </x:c>
      <x:c r="H26" s="128" t="str">
        <x:v>MRV-570539A046, MRV-F2D09FF4B3</x:v>
      </x:c>
      <x:c r="I26" s="128" t="str">
        <x:v>Confirm a shared wording only if the same user intent applies. Keep surface-specific detail where the action or consequence differs.</x:v>
      </x:c>
      <x:c r="J26" s="137" t="str">
        <x:v>Do not approve here. Paste approved wording into Final Copy Override for each listed Copy ID.</x:v>
      </x:c>
      <x:c r="K26" s="128" t="str"/>
    </x:row>
    <x:row r="27" ht="52" customHeight="1">
      <x:c r="A27" s="131" t="n">
        <x:v>18</x:v>
      </x:c>
      <x:c r="B27" s="128" t="str">
        <x:v>EX-016</x:v>
      </x:c>
      <x:c r="C27" s="134" t="str">
        <x:v>1 · Core journey</x:v>
      </x:c>
      <x:c r="D27" s="128" t="str">
        <x:v>Should this shared wording stay identical across every listed surface?</x:v>
      </x:c>
      <x:c r="E27" s="128" t="str">
        <x:v>Prep
deriveTripPrepTasks (Default)</x:v>
      </x:c>
      <x:c r="F27" s="128" t="str">
        <x:v>Review guidance</x:v>
      </x:c>
      <x:c r="G27" s="128" t="str">
        <x:v>Review guidance</x:v>
      </x:c>
      <x:c r="H27" s="128" t="str">
        <x:v>MRV-B9D44D351F, MRV-04ED587DC2</x:v>
      </x:c>
      <x:c r="I27" s="128" t="str">
        <x:v>Confirm a shared wording only if the same user intent applies. Keep surface-specific detail where the action or consequence differs.</x:v>
      </x:c>
      <x:c r="J27" s="137" t="str">
        <x:v>Do not approve here. Paste approved wording into Final Copy Override for each listed Copy ID.</x:v>
      </x:c>
      <x:c r="K27" s="128" t="str"/>
    </x:row>
    <x:row r="28" ht="52" customHeight="1">
      <x:c r="A28" s="131" t="n">
        <x:v>19</x:v>
      </x:c>
      <x:c r="B28" s="128" t="str">
        <x:v>EX-017</x:v>
      </x:c>
      <x:c r="C28" s="134" t="str">
        <x:v>1 · Core journey</x:v>
      </x:c>
      <x:c r="D28" s="128" t="str">
        <x:v>Should this shared wording stay identical across every listed surface?</x:v>
      </x:c>
      <x:c r="E28" s="128" t="str">
        <x:v>Overview
overviewActionForTrip (Default) · TripOverviewWorkspace (Default)</x:v>
      </x:c>
      <x:c r="F28" s="128" t="str">
        <x:v>Review prep</x:v>
      </x:c>
      <x:c r="G28" s="128" t="str">
        <x:v>Review prep</x:v>
      </x:c>
      <x:c r="H28" s="128" t="str">
        <x:v>MRV-57B3F02664, MRV-D72C7DD7D3</x:v>
      </x:c>
      <x:c r="I28" s="128" t="str">
        <x:v>Confirm a shared wording only if the same user intent applies. Keep surface-specific detail where the action or consequence differs.</x:v>
      </x:c>
      <x:c r="J28" s="137" t="str">
        <x:v>Do not approve here. Paste approved wording into Final Copy Override for each listed Copy ID.</x:v>
      </x:c>
      <x:c r="K28" s="128" t="str"/>
    </x:row>
    <x:row r="29" ht="52" customHeight="1">
      <x:c r="A29" s="131" t="n">
        <x:v>20</x:v>
      </x:c>
      <x:c r="B29" s="128" t="str">
        <x:v>EX-018</x:v>
      </x:c>
      <x:c r="C29" s="134" t="str">
        <x:v>1 · Core journey</x:v>
      </x:c>
      <x:c r="D29" s="128" t="str">
        <x:v>Should this shared wording stay identical across every listed surface?</x:v>
      </x:c>
      <x:c r="E29" s="128" t="str">
        <x:v>Overview
overviewActionForTrip (Default)</x:v>
      </x:c>
      <x:c r="F29" s="128" t="str">
        <x:v>Review route</x:v>
      </x:c>
      <x:c r="G29" s="128" t="str">
        <x:v>Review route</x:v>
      </x:c>
      <x:c r="H29" s="128" t="str">
        <x:v>MRV-901C93455D, MRV-176805446B</x:v>
      </x:c>
      <x:c r="I29" s="128" t="str">
        <x:v>Use “route” for sequence and connections; use “plan” for the wider trip, including dates, stays and tasks.</x:v>
      </x:c>
      <x:c r="J29" s="137" t="str">
        <x:v>Do not approve here. Paste approved wording into Final Copy Override for each listed Copy ID.</x:v>
      </x:c>
      <x:c r="K29" s="128" t="str"/>
    </x:row>
    <x:row r="30" ht="52" customHeight="1">
      <x:c r="A30" s="131" t="n">
        <x:v>21</x:v>
      </x:c>
      <x:c r="B30" s="128" t="str">
        <x:v>UX-009</x:v>
      </x:c>
      <x:c r="C30" s="134" t="str">
        <x:v>2 · Trust / high-stakes</x:v>
      </x:c>
      <x:c r="D30" s="128" t="str">
        <x:v>Set a consistent error / recovery pattern for “CTA / button” without erasing contextual detail.</x:v>
      </x:c>
      <x:c r="E30" s="128" t="str">
        <x:v>Shared recovery / system · Sign in / recovery · Overview
JourneyError (System recovery) · LoginForm (Default) · JourneyNotFound (System recovery) · ResetPasswordForm (Default) +7 more</x:v>
      </x:c>
      <x:c r="F30" s="128" t="str">
        <x:v>error / recovery · CTA / button · action</x:v>
      </x:c>
      <x:c r="G30" s="128" t="str">
        <x:v>Go home | Start travelling. | Explore Morrovia | Use at least 8 characters. +13 more</x:v>
      </x:c>
      <x:c r="H30" s="128" t="str">
        <x:v>MRV-82FB1BC8ED, MRV-BA9FF4F1A4, MRV-76B9E70DA7, MRV-0C528C96DD, MRV-14DC233AC6, MRV-A6CDF20B3F, MRV-ED00046D4C, MRV-48C2E96C0E, MRV-985D955DAF, MRV-A59A7F147C, MRV-EEE33AB497, MRV-F699E97023, MRV-07B733DD4A, MRV-3983DBFF82, MRV-E78A9E1EDD, MRV-3DB4AFFEAF, MRV-96FBAD9841</x:v>
      </x:c>
      <x:c r="I30" s="128" t="str">
        <x:v>Name what failed, say whether work is safe, then offer one clear recovery action. Keep the cause only when it helps the traveller act.</x:v>
      </x:c>
      <x:c r="J30" s="137" t="str">
        <x:v>Do not approve here. Paste approved wording into Final Copy Override for each listed Copy ID.</x:v>
      </x:c>
      <x:c r="K30" s="128" t="str"/>
    </x:row>
    <x:row r="31" ht="52" customHeight="1">
      <x:c r="A31" s="131" t="n">
        <x:v>22</x:v>
      </x:c>
      <x:c r="B31" s="128" t="str">
        <x:v>UX-010</x:v>
      </x:c>
      <x:c r="C31" s="134" t="str">
        <x:v>2 · Trust / high-stakes</x:v>
      </x:c>
      <x:c r="D31" s="128" t="str">
        <x:v>Set a consistent standard action / label pattern for “review / verify” without erasing contextual detail.</x:v>
      </x:c>
      <x:c r="E31" s="128" t="str">
        <x:v>Route detail · Trip mode · Overview · Prep · Planner recommendations
RouteDetailView (Default) · defaultChecklist (Default) · overviewActionForTrip (Default) · TripOverviewWorkspace (Default) +7 more</x:v>
      </x:c>
      <x:c r="F31" s="128" t="str">
        <x:v>standard action / label · review / verify · action</x:v>
      </x:c>
      <x:c r="G31" s="128" t="str">
        <x:v>Reviewed | Editorial route reviewed | Check passport and entry requirements | Review route +13 more</x:v>
      </x:c>
      <x:c r="H31" s="128" t="str">
        <x:v>MRV-A10EBE5DD6, MRV-87C8CE3300, MRV-66D4C853A7, MRV-901C93455D, MRV-176805446B, MRV-57B3F02664, MRV-F8578F7D1C, MRV-D72C7DD7D3, MRV-995878B9E0, MRV-B12D1AB337, MRV-2F6F13AD86, MRV-447F53D288, MRV-D048CBB349, MRV-32087F2694, MRV-BBCB5F0071, MRV-62D0465825, MRV-570539A046, MRV-D7A4F16D7F, MRV-F2D09FF4B3, MRV-B9D44D351F, MRV-04ED587DC2</x:v>
      </x:c>
      <x:c r="I31" s="128" t="str">
        <x:v>Use “trip” for the saved plan and its workspace. Keep “journey” only for editorial, brand-level language.</x:v>
      </x:c>
      <x:c r="J31" s="137" t="str">
        <x:v>Do not approve here. Paste approved wording into Final Copy Override for each listed Copy ID.</x:v>
      </x:c>
      <x:c r="K31" s="128" t="str"/>
    </x:row>
    <x:row r="32" ht="52" customHeight="1">
      <x:c r="A32" s="131" t="n">
        <x:v>23</x:v>
      </x:c>
      <x:c r="B32" s="128" t="str">
        <x:v>EX-105</x:v>
      </x:c>
      <x:c r="C32" s="134" t="str">
        <x:v>2 · Trust / high-stakes</x:v>
      </x:c>
      <x:c r="D32" s="128" t="str">
        <x:v>Should this shared wording stay identical across every listed surface?</x:v>
      </x:c>
      <x:c r="E32" s="128" t="str">
        <x:v>Dashboard · New trip builder · Profile · Trip mode · Overview +1 more
DashboardClient (Session expired) · TripBuilderDocument (Session expired) · ProfileForm (Session expired) · TripModeClient (Session expired) +2 more</x:v>
      </x:c>
      <x:c r="F32" s="128" t="str">
        <x:v>Sign in again</x:v>
      </x:c>
      <x:c r="G32" s="128" t="str">
        <x:v>Sign in again</x:v>
      </x:c>
      <x:c r="H32" s="128" t="str">
        <x:v>MRV-5EF1CD8265, MRV-AE321B93DE, MRV-55E40675CF, MRV-80179377FE, MRV-5A41D8C73F, MRV-CFC51C571B, MRV-2E2E4B9FB6, MRV-8C9CF4BC20</x:v>
      </x:c>
      <x:c r="I32" s="128" t="str">
        <x:v>State the access issue plainly, preserve the return path where possible, and make the next sign-in action explicit.</x:v>
      </x:c>
      <x:c r="J32" s="137" t="str">
        <x:v>Do not approve here. Paste approved wording into Final Copy Override for each listed Copy ID.</x:v>
      </x:c>
      <x:c r="K32" s="128" t="str"/>
    </x:row>
    <x:row r="33" ht="52" customHeight="1">
      <x:c r="A33" s="131" t="n">
        <x:v>24</x:v>
      </x:c>
      <x:c r="B33" s="128" t="str">
        <x:v>UX-012</x:v>
      </x:c>
      <x:c r="C33" s="134" t="str">
        <x:v>2 · Trust / high-stakes</x:v>
      </x:c>
      <x:c r="D33" s="128" t="str">
        <x:v>Set a consistent error / recovery pattern for “retry” without erasing contextual detail.</x:v>
      </x:c>
      <x:c r="E33" s="128" t="str">
        <x:v>Dashboard · Shared recovery / system · Sign in / recovery · New trip builder · Planner recommendations
sendGift (Offline / network failure) · DashboardClient (Failure / recovery) · JourneyError (Failure / recovery) · continueWithGoogle (Failure / recovery) +2 more</x:v>
      </x:c>
      <x:c r="F33" s="128" t="str">
        <x:v>error / recovery · retry · action</x:v>
      </x:c>
      <x:c r="G33" s="128" t="str">
        <x:v>Check your connection and try again. | Try again | Google sign-in could not start. Try again.</x:v>
      </x:c>
      <x:c r="H33" s="128" t="str">
        <x:v>MRV-97AD9F4756, MRV-26F373A2FB, MRV-B5D3E7C994, MRV-4090755A3A, MRV-BBD525FB87, MRV-3087C069A4, MRV-0CE2A4BAF3, MRV-48FA4634B3</x:v>
      </x:c>
      <x:c r="I33" s="128" t="str">
        <x:v>Name what failed, say whether work is safe, then offer one clear recovery action. Keep the cause only when it helps the traveller act.</x:v>
      </x:c>
      <x:c r="J33" s="137" t="str">
        <x:v>Do not approve here. Paste approved wording into Final Copy Override for each listed Copy ID.</x:v>
      </x:c>
      <x:c r="K33" s="128" t="str"/>
    </x:row>
    <x:row r="34" ht="52" customHeight="1">
      <x:c r="A34" s="131" t="n">
        <x:v>25</x:v>
      </x:c>
      <x:c r="B34" s="128" t="str">
        <x:v>EX-106</x:v>
      </x:c>
      <x:c r="C34" s="134" t="str">
        <x:v>2 · Trust / high-stakes</x:v>
      </x:c>
      <x:c r="D34" s="128" t="str">
        <x:v>Should this shared wording stay identical across every listed surface?</x:v>
      </x:c>
      <x:c r="E34" s="128" t="str">
        <x:v>Dashboard · Shared recovery / system · New trip builder · Trip mode · Overview +1 more
DashboardClient (Failure / recovery) · JourneyError (Failure / recovery) · TripBuilderDocument (Failure / recovery) · TripModeClient (Session expired) +2 more</x:v>
      </x:c>
      <x:c r="F34" s="128" t="str">
        <x:v>Try again</x:v>
      </x:c>
      <x:c r="G34" s="128" t="str">
        <x:v>Try again</x:v>
      </x:c>
      <x:c r="H34" s="128" t="str">
        <x:v>MRV-26F373A2FB, MRV-B5D3E7C994, MRV-4090755A3A, MRV-0CE2A4BAF3, MRV-38298656DA, MRV-A16DA76B61, MRV-48FA4634B3</x:v>
      </x:c>
      <x:c r="I34" s="128" t="str">
        <x:v>Confirm a shared wording only if the same user intent applies. Keep surface-specific detail where the action or consequence differs.</x:v>
      </x:c>
      <x:c r="J34" s="137" t="str">
        <x:v>Do not approve here. Paste approved wording into Final Copy Override for each listed Copy ID.</x:v>
      </x:c>
      <x:c r="K34" s="128" t="str"/>
    </x:row>
    <x:row r="35" ht="52" customHeight="1">
      <x:c r="A35" s="131" t="n">
        <x:v>26</x:v>
      </x:c>
      <x:c r="B35" s="128" t="str">
        <x:v>UX-013</x:v>
      </x:c>
      <x:c r="C35" s="134" t="str">
        <x:v>2 · Trust / high-stakes</x:v>
      </x:c>
      <x:c r="D35" s="128" t="str">
        <x:v>Set a consistent standard action / label pattern for “lifecycle action” without erasing contextual detail.</x:v>
      </x:c>
      <x:c r="E35" s="128" t="str">
        <x:v>Admin operations · Dashboard · Overview · Planner recommendations
UserSupport (Default) · statusLabel (Default) · recommendationImpact (Default)</x:v>
      </x:c>
      <x:c r="F35" s="128" t="str">
        <x:v>standard action / label · lifecycle action · action</x:v>
      </x:c>
      <x:c r="G35" s="128" t="str">
        <x:v>Delete account | Delete this account? | Delete permanently | Archived +1 more</x:v>
      </x:c>
      <x:c r="H35" s="128" t="str">
        <x:v>MRV-59DE0F444E, MRV-978638629F, MRV-BE87089670, MRV-6D78B63E0C, MRV-965163E6E7, MRV-7C601BD104</x:v>
      </x:c>
      <x:c r="I35" s="128" t="str">
        <x:v>Use “stop” for a selected itinerary item; “destination” for a city or region choice; “place” for a generic search result.</x:v>
      </x:c>
      <x:c r="J35" s="137" t="str">
        <x:v>Do not approve here. Paste approved wording into Final Copy Override for each listed Copy ID.</x:v>
      </x:c>
      <x:c r="K35" s="128" t="str"/>
    </x:row>
    <x:row r="36" ht="52" customHeight="1">
      <x:c r="A36" s="131" t="n">
        <x:v>27</x:v>
      </x:c>
      <x:c r="B36" s="128" t="str">
        <x:v>UX-014</x:v>
      </x:c>
      <x:c r="C36" s="134" t="str">
        <x:v>2 · Trust / high-stakes</x:v>
      </x:c>
      <x:c r="D36" s="128" t="str">
        <x:v>Set a consistent error / recovery pattern for “passport” without erasing contextual detail.</x:v>
      </x:c>
      <x:c r="E36" s="128" t="str">
        <x:v>Shared recovery / system
entrySourcesByCountry (Default)</x:v>
      </x:c>
      <x:c r="F36" s="128" t="str">
        <x:v>error / recovery · passport · action</x:v>
      </x:c>
      <x:c r="G36" s="128" t="str">
        <x:v>Government of India e-Visa | Government of The Bahamas – Visa information | Government of Dominica – Visa services | Government of Guyana – Visa information +1 more</x:v>
      </x:c>
      <x:c r="H36" s="128" t="str">
        <x:v>MRV-7F1754A0C8, MRV-48C4B7BE65, MRV-1489DBF0C7, MRV-7B59F62A2A, MRV-66B8EB9352</x:v>
      </x:c>
      <x:c r="I36" s="128" t="str">
        <x:v>Name what failed, say whether work is safe, then offer one clear recovery action. Keep the cause only when it helps the traveller act.</x:v>
      </x:c>
      <x:c r="J36" s="137" t="str">
        <x:v>Do not approve here. Paste approved wording into Final Copy Override for each listed Copy ID.</x:v>
      </x:c>
      <x:c r="K36" s="128" t="str"/>
    </x:row>
    <x:row r="37" ht="52" customHeight="1">
      <x:c r="A37" s="131" t="n">
        <x:v>28</x:v>
      </x:c>
      <x:c r="B37" s="128" t="str">
        <x:v>EX-107</x:v>
      </x:c>
      <x:c r="C37" s="134" t="str">
        <x:v>2 · Trust / high-stakes</x:v>
      </x:c>
      <x:c r="D37" s="128" t="str">
        <x:v>Should this shared wording stay identical across every listed surface?</x:v>
      </x:c>
      <x:c r="E37" s="128" t="str">
        <x:v>New trip builder · Trip mode · Overview · Planner recommendations
TripBuilderDocument (Default) · TripModeClient (Session expired) · TripShellResolver (Default) · JourneyMapPlannerWorkspace (Default)</x:v>
      </x:c>
      <x:c r="F37" s="128" t="str">
        <x:v>Open device copy</x:v>
      </x:c>
      <x:c r="G37" s="128" t="str">
        <x:v>Open device copy</x:v>
      </x:c>
      <x:c r="H37" s="128" t="str">
        <x:v>MRV-39FD6DA931, MRV-39E5EB68AA, MRV-EA31150D69, MRV-11D46C01F6</x:v>
      </x:c>
      <x:c r="I37" s="128" t="str">
        <x:v>Confirm a shared wording only if the same user intent applies. Keep surface-specific detail where the action or consequence differs.</x:v>
      </x:c>
      <x:c r="J37" s="137" t="str">
        <x:v>Do not approve here. Paste approved wording into Final Copy Override for each listed Copy ID.</x:v>
      </x:c>
      <x:c r="K37" s="128" t="str"/>
    </x:row>
    <x:row r="38" ht="52" customHeight="1">
      <x:c r="A38" s="131" t="n">
        <x:v>29</x:v>
      </x:c>
      <x:c r="B38" s="128" t="str">
        <x:v>EX-108</x:v>
      </x:c>
      <x:c r="C38" s="134" t="str">
        <x:v>2 · Trust / high-stakes</x:v>
      </x:c>
      <x:c r="D38" s="128" t="str">
        <x:v>Should this shared wording stay identical across every listed surface?</x:v>
      </x:c>
      <x:c r="E38" s="128" t="str">
        <x:v>Sign in / recovery
continueWithGoogle (Failure / recovery)</x:v>
      </x:c>
      <x:c r="F38" s="128" t="str">
        <x:v>Google sign-in could not start. Please try again.</x:v>
      </x:c>
      <x:c r="G38" s="128" t="str">
        <x:v>Google sign-in could not start. Try again.</x:v>
      </x:c>
      <x:c r="H38" s="128" t="str">
        <x:v>MRV-BBD525FB87, MRV-3087C069A4</x:v>
      </x:c>
      <x:c r="I38" s="128" t="str">
        <x:v>Name what failed, say whether work is safe, then offer one clear recovery action. Keep the cause only when it helps the traveller act.</x:v>
      </x:c>
      <x:c r="J38" s="137" t="str">
        <x:v>Do not approve here. Paste approved wording into Final Copy Override for each listed Copy ID.</x:v>
      </x:c>
      <x:c r="K38" s="128" t="str"/>
    </x:row>
    <x:row r="39" ht="52" customHeight="1">
      <x:c r="A39" s="131" t="n">
        <x:v>30</x:v>
      </x:c>
      <x:c r="B39" s="128" t="str">
        <x:v>UX-015</x:v>
      </x:c>
      <x:c r="C39" s="134" t="str">
        <x:v>2 · Trust / high-stakes</x:v>
      </x:c>
      <x:c r="D39" s="128" t="str">
        <x:v>Set a consistent error / recovery pattern for “Body copy” without erasing contextual detail.</x:v>
      </x:c>
      <x:c r="E39" s="128" t="str">
        <x:v>Admin operations · Dashboard · Sign in / recovery · Gift claim · Homepage +5 more
sendReset (Failure / recovery) · sendGift (Failure / recovery) · submit (Failure / recovery) · ForgotPasswordPage (Default) +24 more</x:v>
      </x:c>
      <x:c r="F39" s="128" t="str">
        <x:v>error / recovery · Body copy · support</x:v>
      </x:c>
      <x:c r="G39" s="128" t="str">
        <x:v>We couldn't send the reset email. | No pudimos crear la invitación. | Couldn't create invitation. | We couldn't send that email. +62 more</x:v>
      </x:c>
      <x:c r="H39" s="128" t="str">
        <x:v>MRV-CEF0870571, MRV-F818CE89D1, MRV-A05395E847, MRV-B607D9CF46, MRV-46D60347F9, MRV-E9392819E5, MRV-A6C280CA7B, MRV-62BA8F5317, MRV-DC0F11A372, MRV-65D5D42BFA, MRV-B53CCC6DB4, MRV-427C67E3CF, MRV-F7F34BBB5B, MRV-05492C749E, MRV-6D39B86D42, MRV-1720D79948, MRV-73F9B06885, MRV-768092EDAD, MRV-0F3C69ED61, MRV-773E746F54, MRV-B117B67912, MRV-37FF687DBB, MRV-4AB96E045B, MRV-6E53FCD274, MRV-A16C8D2A13, MRV-4FDA2380A3, MRV-B364FA83E7, MRV-7ABACE34D8, MRV-A638ECDDD0, MRV-C78398B884, MRV-FA5824CFC4, MRV-3F37898D54, MRV-B4F6B27DFA, MRV-68F8B0A662, MRV-C1E190C76E, MRV-62239CFB4D, MRV-26074D98C0, MRV-72FE6F4A01, MRV-B573C0EEF2, MRV-DED92DF262, MRV-80BA3F53D6, MRV-67E9E22C0B, MRV-6ACE7F7810, MRV-5ED99EB6B9, MRV-61BFAB3D41, MRV-CE8C139869, MRV-D609FAA9E7, MRV-86860A8A8A, MRV-DB1B76EE1B, MRV-85A633324B, MRV-4239C03FE9, MRV-71F3CAED62, MRV-D6CB4B66A2, MRV-EF429FB2F8, MRV-D73EC8AB5A, MRV-A5C326E2FF, MRV-396EDA0072, MRV-6FADA593B2, MRV-CB9E0BBA78, MRV-BF53C98D14, MRV-67B058629F, MRV-045D9DC2A2, MRV-E364A88DDF, MRV-05653B7DB0, MRV-E860BA25C6, MRV-C44E226084, MRV-2C0CCA9518, MRV-2CF99ECAA2</x:v>
      </x:c>
      <x:c r="I39" s="128" t="str">
        <x:v>Name what failed, say whether work is safe, then offer one clear recovery action. Keep the cause only when it helps the traveller act.</x:v>
      </x:c>
      <x:c r="J39" s="137" t="str">
        <x:v>Do not approve here. Paste approved wording into Final Copy Override for each listed Copy ID.</x:v>
      </x:c>
      <x:c r="K39" s="128" t="str"/>
    </x:row>
    <x:row r="40" ht="52" customHeight="1">
      <x:c r="A40" s="131" t="n">
        <x:v>31</x:v>
      </x:c>
      <x:c r="B40" s="128" t="str">
        <x:v>UX-016</x:v>
      </x:c>
      <x:c r="C40" s="134" t="str">
        <x:v>2 · Trust / high-stakes</x:v>
      </x:c>
      <x:c r="D40" s="128" t="str">
        <x:v>Set a consistent error / recovery pattern for “open / load” without erasing contextual detail.</x:v>
      </x:c>
      <x:c r="E40" s="128" t="str">
        <x:v>Shared recovery / system · New trip builder · Sign in / recovery · Stamps · Prep +1 more
JourneyLoading (Loading / in progress) · persistGeneratedTrip (Failure / recovery) · persistGeneratedTrip (Offline / network failure) · ResetPasswordForm (Loading / in progress) +14 more</x:v>
      </x:c>
      <x:c r="F40" s="128" t="str">
        <x:v>error / recovery · open / load · support</x:v>
      </x:c>
      <x:c r="G40" s="128" t="str">
        <x:v>Loading Journey | Loading your journey… | The active account changed before this trip could sync. Reopen the trip from the current account; the device copy remains preserved. | A newer device edit was preserved while this version finished syncing. Open the device copy before continuing. +27 more</x:v>
      </x:c>
      <x:c r="H40" s="128" t="str">
        <x:v>MRV-FFD17F2516, MRV-8B41D8E336, MRV-0987316DF0, MRV-51E0354C57, MRV-FCD0EFA4DA, MRV-2886EEAE55, MRV-67580B63F1, MRV-3848E69A94, MRV-F80044EA05, MRV-9FC68AE6DB, MRV-93EF5C61A1, MRV-54321CAB77, MRV-6F383DFE20, MRV-76313EF625, MRV-760F42CA9F, MRV-620A7657F8, MRV-6BA0253C18, MRV-85A544CD4A, MRV-F76A6495D2, MRV-3BBEA6D355, MRV-4C0CCCA0D6, MRV-A51C3097B4, MRV-D8DBF0D148, MRV-98228C9568, MRV-C25BA8F4F8, MRV-D591326260, MRV-A05DE57326, MRV-CD2A0B3743, MRV-413C2666ED, MRV-96D56AAC2B, MRV-148EA86944, MRV-E3EC91B1CB</x:v>
      </x:c>
      <x:c r="I40" s="128" t="str">
        <x:v>Name what failed, say whether work is safe, then offer one clear recovery action. Keep the cause only when it helps the traveller act.</x:v>
      </x:c>
      <x:c r="J40" s="137" t="str">
        <x:v>Do not approve here. Paste approved wording into Final Copy Override for each listed Copy ID.</x:v>
      </x:c>
      <x:c r="K40" s="128" t="str"/>
    </x:row>
    <x:row r="41" ht="52" customHeight="1">
      <x:c r="A41" s="131" t="n">
        <x:v>32</x:v>
      </x:c>
      <x:c r="B41" s="128" t="str">
        <x:v>UX-017</x:v>
      </x:c>
      <x:c r="C41" s="134" t="str">
        <x:v>2 · Trust / high-stakes</x:v>
      </x:c>
      <x:c r="D41" s="128" t="str">
        <x:v>Set a consistent error / recovery pattern for “passport” without erasing contextual detail.</x:v>
      </x:c>
      <x:c r="E41" s="128" t="str">
        <x:v>Dashboard · Shared recovery / system
sendGift (Offline / network failure) · JourneyTripQuality (Default) · entrySourcesByCountry (Default) · entrySourcesFor (Default) +1 more</x:v>
      </x:c>
      <x:c r="F41" s="128" t="str">
        <x:v>error / recovery · passport · support</x:v>
      </x:c>
      <x:c r="G41" s="128" t="str">
        <x:v>Revisa tu conexión e inténtalo de nuevo. | Revisar | Chinese Visa Application Service Center | Egypt e-Visa portal +19 more</x:v>
      </x:c>
      <x:c r="H41" s="128" t="str">
        <x:v>MRV-C41449C7F5, MRV-4C0B47A932, MRV-4BE010C7F4, MRV-F9CB7BB46B, MRV-1839593D90, MRV-C3332B1CAC, MRV-51978018B1, MRV-28FEF86DD8, MRV-C8A764610F, MRV-8FC6DB4792, MRV-2A75D06F7C, MRV-ECEE9A8233, MRV-1FFBFBE1FD, MRV-F8AA94649C, MRV-53D4E9BEF6, MRV-85325F0EDF, MRV-E94B95F957, MRV-C27F65CBA3, MRV-2BCF798451, MRV-068DCF388A, MRV-672AFE2C44, MRV-D026D50157, MRV-C6420ED935</x:v>
      </x:c>
      <x:c r="I41" s="128" t="str">
        <x:v>Name what failed, say whether work is safe, then offer one clear recovery action. Keep the cause only when it helps the traveller act.</x:v>
      </x:c>
      <x:c r="J41" s="137" t="str">
        <x:v>Do not approve here. Paste approved wording into Final Copy Override for each listed Copy ID.</x:v>
      </x:c>
      <x:c r="K41" s="128" t="str"/>
    </x:row>
    <x:row r="42" ht="52" customHeight="1">
      <x:c r="A42" s="131" t="n">
        <x:v>33</x:v>
      </x:c>
      <x:c r="B42" s="128" t="str">
        <x:v>EX-138</x:v>
      </x:c>
      <x:c r="C42" s="134" t="str">
        <x:v>3 · Error / recovery</x:v>
      </x:c>
      <x:c r="D42" s="128" t="str">
        <x:v>Should this shared wording stay identical across every listed surface?</x:v>
      </x:c>
      <x:c r="E42" s="128" t="str">
        <x:v>Dashboard · Shared recovery / system · Trip mode
DashboardClient (Default) · JourneyNotFound (System recovery) · TripModeClient (Default)</x:v>
      </x:c>
      <x:c r="F42" s="128" t="str">
        <x:v>Start a trip</x:v>
      </x:c>
      <x:c r="G42" s="128" t="str">
        <x:v>Start a trip</x:v>
      </x:c>
      <x:c r="H42" s="128" t="str">
        <x:v>MRV-E3C5EB7894, MRV-41FC3CAE56, MRV-28C5F1E8F5</x:v>
      </x:c>
      <x:c r="I42" s="128" t="str">
        <x:v>Use “trip” for the saved plan and its workspace. Keep “journey” only for editorial, brand-level language.</x:v>
      </x:c>
      <x:c r="J42" s="137" t="str">
        <x:v>Do not approve here. Paste approved wording into Final Copy Override for each listed Copy ID.</x:v>
      </x:c>
      <x:c r="K42" s="128" t="str"/>
    </x:row>
    <x:row r="43" ht="52" customHeight="1">
      <x:c r="A43" s="131" t="n">
        <x:v>34</x:v>
      </x:c>
      <x:c r="B43" s="128" t="str">
        <x:v>UX-039</x:v>
      </x:c>
      <x:c r="C43" s="134" t="str">
        <x:v>3 · Error / recovery</x:v>
      </x:c>
      <x:c r="D43" s="128" t="str">
        <x:v>Set a consistent error / recovery pattern for “route” without erasing contextual detail.</x:v>
      </x:c>
      <x:c r="E43" s="128" t="str">
        <x:v>Shared recovery / system · New trip builder · Route detail · Planner recommendations
JourneyError (System recovery) · addStop (Failure / recovery) · JourneyNotFound (System recovery) · RouteHeroImage (Failure / recovery) +11 more</x:v>
      </x:c>
      <x:c r="F43" s="128" t="str">
        <x:v>error / recovery · route · support</x:v>
      </x:c>
      <x:c r="G43" s="128" t="str">
        <x:v>Something went off route. | {value} is already in your route. | That route has moved. | Try one of the routes on the homepage, or start shaping a trip from scratch. +13 more</x:v>
      </x:c>
      <x:c r="H43" s="128" t="str">
        <x:v>MRV-36943DAFF1, MRV-60426B0E38, MRV-EF57263745, MRV-A4A23E9C68, MRV-C34804026F, MRV-62B1E48603, MRV-313659E736, MRV-06409C5163, MRV-75107314E7, MRV-A85A633742, MRV-2B83245292, MRV-38B556FFB8, MRV-1AA8481343, MRV-4EA364A256, MRV-934AA98296, MRV-40717AB74F, MRV-653BF99FC9, MRV-585C15EE49, MRV-97464C36DE</x:v>
      </x:c>
      <x:c r="I43" s="128" t="str">
        <x:v>Name what failed, say whether work is safe, then offer one clear recovery action. Keep the cause only when it helps the traveller act.</x:v>
      </x:c>
      <x:c r="J43" s="137" t="str">
        <x:v>Do not approve here. Paste approved wording into Final Copy Override for each listed Copy ID.</x:v>
      </x:c>
      <x:c r="K43" s="128" t="str"/>
    </x:row>
    <x:row r="44" ht="52" customHeight="1">
      <x:c r="A44" s="131" t="n">
        <x:v>35</x:v>
      </x:c>
      <x:c r="B44" s="128" t="str">
        <x:v>EX-139</x:v>
      </x:c>
      <x:c r="C44" s="134" t="str">
        <x:v>3 · Error / recovery</x:v>
      </x:c>
      <x:c r="D44" s="128" t="str">
        <x:v>Should this shared wording stay identical across every listed surface?</x:v>
      </x:c>
      <x:c r="E44" s="128" t="str">
        <x:v>Planner recommendations
exportPlan (Failure / recovery) · JourneyMapPlannerWorkspace (Failure / recovery)</x:v>
      </x:c>
      <x:c r="F44" s="128" t="str">
        <x:v>The PDF could not be prepared.</x:v>
      </x:c>
      <x:c r="G44" s="128" t="str">
        <x:v>The PDF could not be prepared.</x:v>
      </x:c>
      <x:c r="H44" s="128" t="str">
        <x:v>MRV-72FE6F4A01, MRV-B573C0EEF2, MRV-80BA3F53D6</x:v>
      </x:c>
      <x:c r="I44" s="128" t="str">
        <x:v>Name what failed, say whether work is safe, then offer one clear recovery action. Keep the cause only when it helps the traveller act.</x:v>
      </x:c>
      <x:c r="J44" s="137" t="str">
        <x:v>Do not approve here. Paste approved wording into Final Copy Override for each listed Copy ID.</x:v>
      </x:c>
      <x:c r="K44" s="128" t="str"/>
    </x:row>
    <x:row r="45" ht="52" customHeight="1">
      <x:c r="A45" s="131" t="n">
        <x:v>36</x:v>
      </x:c>
      <x:c r="B45" s="128" t="str">
        <x:v>EX-140</x:v>
      </x:c>
      <x:c r="C45" s="134" t="str">
        <x:v>3 · Error / recovery</x:v>
      </x:c>
      <x:c r="D45" s="128" t="str">
        <x:v>Should this shared wording stay identical across every listed surface?</x:v>
      </x:c>
      <x:c r="E45" s="128" t="str">
        <x:v>New trip builder · Planner recommendations
persistGeneratedTrip (Offline / network failure) · cacheSavedTrip (Failure / recovery)</x:v>
      </x:c>
      <x:c r="F45" s="128" t="str">
        <x:v>A newer device edit was preserved while this version finished syncing. Open the device copy before continuing.</x:v>
      </x:c>
      <x:c r="G45" s="128" t="str">
        <x:v>A newer device edit was preserved while this version finished syncing. Open the device copy before continuing.</x:v>
      </x:c>
      <x:c r="H45" s="128" t="str">
        <x:v>MRV-51E0354C57, MRV-68CCD0BFCA</x:v>
      </x:c>
      <x:c r="I45" s="128" t="str">
        <x:v>Name what failed, say whether work is safe, then offer one clear recovery action. Keep the cause only when it helps the traveller act.</x:v>
      </x:c>
      <x:c r="J45" s="137" t="str">
        <x:v>Do not approve here. Paste approved wording into Final Copy Override for each listed Copy ID.</x:v>
      </x:c>
      <x:c r="K45" s="128" t="str"/>
    </x:row>
    <x:row r="46" ht="52" customHeight="1">
      <x:c r="A46" s="131" t="n">
        <x:v>37</x:v>
      </x:c>
      <x:c r="B46" s="128" t="str">
        <x:v>EX-141</x:v>
      </x:c>
      <x:c r="C46" s="134" t="str">
        <x:v>3 · Error / recovery</x:v>
      </x:c>
      <x:c r="D46" s="128" t="str">
        <x:v>Should this shared wording stay identical across every listed surface?</x:v>
      </x:c>
      <x:c r="E46" s="128" t="str">
        <x:v>Shared recovery / system
JourneyLocalFinder (Default) · JourneyRestaurantFinder (Default)</x:v>
      </x:c>
      <x:c r="F46" s="128" t="str">
        <x:v>Open in Maps</x:v>
      </x:c>
      <x:c r="G46" s="128" t="str">
        <x:v>Open in Maps</x:v>
      </x:c>
      <x:c r="H46" s="128" t="str">
        <x:v>MRV-E7360A3868, MRV-DFFD00A9C6</x:v>
      </x:c>
      <x:c r="I46" s="128" t="str">
        <x:v>Name what failed, say whether work is safe, then offer one clear recovery action. Keep the cause only when it helps the traveller act.</x:v>
      </x:c>
      <x:c r="J46" s="137" t="str">
        <x:v>Do not approve here. Paste approved wording into Final Copy Override for each listed Copy ID.</x:v>
      </x:c>
      <x:c r="K46" s="128" t="str"/>
    </x:row>
    <x:row r="47" ht="52" customHeight="1">
      <x:c r="A47" s="131" t="n">
        <x:v>38</x:v>
      </x:c>
      <x:c r="B47" s="128" t="str">
        <x:v>EX-142</x:v>
      </x:c>
      <x:c r="C47" s="134" t="str">
        <x:v>3 · Error / recovery</x:v>
      </x:c>
      <x:c r="D47" s="128" t="str">
        <x:v>Should this shared wording stay identical across every listed surface?</x:v>
      </x:c>
      <x:c r="E47" s="128" t="str">
        <x:v>Shared recovery / system
JourneyLocalFinder (Default) · JourneyRestaurantFinder (Default)</x:v>
      </x:c>
      <x:c r="F47" s="128" t="str">
        <x:v>Saved to itinerary</x:v>
      </x:c>
      <x:c r="G47" s="128" t="str">
        <x:v>Saved to itinerary</x:v>
      </x:c>
      <x:c r="H47" s="128" t="str">
        <x:v>MRV-08B3A9BAC5, MRV-8EBBE0E0F5</x:v>
      </x:c>
      <x:c r="I47" s="128" t="str">
        <x:v>Name what failed, say whether work is safe, then offer one clear recovery action. Keep the cause only when it helps the traveller act.</x:v>
      </x:c>
      <x:c r="J47" s="137" t="str">
        <x:v>Do not approve here. Paste approved wording into Final Copy Override for each listed Copy ID.</x:v>
      </x:c>
      <x:c r="K47" s="128" t="str"/>
    </x:row>
    <x:row r="48" ht="52" customHeight="1">
      <x:c r="A48" s="131" t="n">
        <x:v>39</x:v>
      </x:c>
      <x:c r="B48" s="128" t="str">
        <x:v>EX-143</x:v>
      </x:c>
      <x:c r="C48" s="134" t="str">
        <x:v>3 · Error / recovery</x:v>
      </x:c>
      <x:c r="D48" s="128" t="str">
        <x:v>Should this shared wording stay identical across every listed surface?</x:v>
      </x:c>
      <x:c r="E48" s="128" t="str">
        <x:v>Planner recommendations
reloadCloudCopy (Failure / recovery) · hydratePlan (Failure / recovery)</x:v>
      </x:c>
      <x:c r="F48" s="128" t="str">
        <x:v>The cloud copy is open. Your separate device edits remain preserved until you open or explicitly discard them.</x:v>
      </x:c>
      <x:c r="G48" s="128" t="str">
        <x:v>The cloud copy is open. Your separate device edits remain preserved until you open or explicitly discard them.</x:v>
      </x:c>
      <x:c r="H48" s="128" t="str">
        <x:v>MRV-CD2A0B3743, MRV-413C2666ED</x:v>
      </x:c>
      <x:c r="I48" s="128" t="str">
        <x:v>Name what failed, say whether work is safe, then offer one clear recovery action. Keep the cause only when it helps the traveller act.</x:v>
      </x:c>
      <x:c r="J48" s="137" t="str">
        <x:v>Do not approve here. Paste approved wording into Final Copy Override for each listed Copy ID.</x:v>
      </x:c>
      <x:c r="K48" s="128" t="str"/>
    </x:row>
    <x:row r="49" ht="52" customHeight="1">
      <x:c r="A49" s="131" t="n">
        <x:v>40</x:v>
      </x:c>
      <x:c r="B49" s="128" t="str">
        <x:v>EX-144</x:v>
      </x:c>
      <x:c r="C49" s="134" t="str">
        <x:v>3 · Error / recovery</x:v>
      </x:c>
      <x:c r="D49" s="128" t="str">
        <x:v>Should this shared wording stay identical across every listed surface?</x:v>
      </x:c>
      <x:c r="E49" s="128" t="str">
        <x:v>Dashboard
runAction (Offline / network failure)</x:v>
      </x:c>
      <x:c r="F49" s="128" t="str">
        <x:v>This trip could not be updated. Check your connection and try again.</x:v>
      </x:c>
      <x:c r="G49" s="128" t="str">
        <x:v>This trip could not be updated. Check your connection and try again.</x:v>
      </x:c>
      <x:c r="H49" s="128" t="str">
        <x:v>MRV-1369DF7788, MRV-E3A31FDAC7</x:v>
      </x:c>
      <x:c r="I49" s="128" t="str">
        <x:v>Name what failed, say whether work is safe, then offer one clear recovery action. Keep the cause only when it helps the traveller act.</x:v>
      </x:c>
      <x:c r="J49" s="137" t="str">
        <x:v>Do not approve here. Paste approved wording into Final Copy Override for each listed Copy ID.</x:v>
      </x:c>
      <x:c r="K49" s="128" t="str"/>
    </x:row>
    <x:row r="50" ht="52" customHeight="1">
      <x:c r="A50" s="131" t="n">
        <x:v>41</x:v>
      </x:c>
      <x:c r="B50" s="128" t="str">
        <x:v>UX-040</x:v>
      </x:c>
      <x:c r="C50" s="134" t="str">
        <x:v>3 · Error / recovery</x:v>
      </x:c>
      <x:c r="D50" s="128" t="str">
        <x:v>Set a consistent error / recovery pattern for “review / verify” without erasing contextual detail.</x:v>
      </x:c>
      <x:c r="E50" s="128" t="str">
        <x:v>Shared recovery / system
JourneyLocalFinder (Default) · JourneyTripQuality (Default)</x:v>
      </x:c>
      <x:c r="F50" s="128" t="str">
        <x:v>error / recovery · review / verify · action</x:v>
      </x:c>
      <x:c r="G50" s="128" t="str">
        <x:v>Check availability | Review</x:v>
      </x:c>
      <x:c r="H50" s="128" t="str">
        <x:v>MRV-5B92762C43, MRV-C61402CD2F</x:v>
      </x:c>
      <x:c r="I50" s="128" t="str">
        <x:v>Name what failed, say whether work is safe, then offer one clear recovery action. Keep the cause only when it helps the traveller act.</x:v>
      </x:c>
      <x:c r="J50" s="137" t="str">
        <x:v>Do not approve here. Paste approved wording into Final Copy Override for each listed Copy ID.</x:v>
      </x:c>
      <x:c r="K50" s="128" t="str"/>
    </x:row>
    <x:row r="51" ht="52" customHeight="1">
      <x:c r="A51" s="131" t="n">
        <x:v>42</x:v>
      </x:c>
      <x:c r="B51" s="128" t="str">
        <x:v>EX-145</x:v>
      </x:c>
      <x:c r="C51" s="134" t="str">
        <x:v>3 · Error / recovery</x:v>
      </x:c>
      <x:c r="D51" s="128" t="str">
        <x:v>Should this shared wording stay identical across every listed surface?</x:v>
      </x:c>
      <x:c r="E51" s="128" t="str">
        <x:v>Dashboard · New trip builder · Planner recommendations
DashboardClient (Failure / recovery) · TripBuilderDocument (Failure / recovery) · JourneyMapPlannerWorkspace (Failure / recovery)</x:v>
      </x:c>
      <x:c r="F51" s="128" t="str">
        <x:v>Reintentar</x:v>
      </x:c>
      <x:c r="G51" s="128" t="str">
        <x:v>Reintentar</x:v>
      </x:c>
      <x:c r="H51" s="128" t="str">
        <x:v>MRV-BD4A8B3031, MRV-6D37B21E06, MRV-02BDE48061, MRV-9137E4C896</x:v>
      </x:c>
      <x:c r="I51" s="128" t="str">
        <x:v>Name what failed, say whether work is safe, then offer one clear recovery action. Keep the cause only when it helps the traveller act.</x:v>
      </x:c>
      <x:c r="J51" s="137" t="str">
        <x:v>Do not approve here. Paste approved wording into Final Copy Override for each listed Copy ID.</x:v>
      </x:c>
      <x:c r="K51" s="128" t="str"/>
    </x:row>
    <x:row r="52" ht="52" customHeight="1">
      <x:c r="A52" s="131" t="n">
        <x:v>43</x:v>
      </x:c>
      <x:c r="B52" s="128" t="str">
        <x:v>EX-146</x:v>
      </x:c>
      <x:c r="C52" s="134" t="str">
        <x:v>3 · Error / recovery</x:v>
      </x:c>
      <x:c r="D52" s="128" t="str">
        <x:v>Should this shared wording stay identical across every listed surface?</x:v>
      </x:c>
      <x:c r="E52" s="128" t="str">
        <x:v>Shared recovery / system
JourneyError (System recovery) · JourneyNotFound (System recovery)</x:v>
      </x:c>
      <x:c r="F52" s="128" t="str">
        <x:v>Morrovia</x:v>
      </x:c>
      <x:c r="G52" s="128" t="str">
        <x:v>Morrovia</x:v>
      </x:c>
      <x:c r="H52" s="128" t="str">
        <x:v>MRV-F3F04A2230, MRV-E3B347B88D</x:v>
      </x:c>
      <x:c r="I52" s="128" t="str">
        <x:v>Name what failed, say whether work is safe, then offer one clear recovery action. Keep the cause only when it helps the traveller act.</x:v>
      </x:c>
      <x:c r="J52" s="137" t="str">
        <x:v>Do not approve here. Paste approved wording into Final Copy Override for each listed Copy ID.</x:v>
      </x:c>
      <x:c r="K52" s="128" t="str"/>
    </x:row>
    <x:row r="53" ht="52" customHeight="1">
      <x:c r="A53" s="131" t="n">
        <x:v>44</x:v>
      </x:c>
      <x:c r="B53" s="128" t="str">
        <x:v>UX-041</x:v>
      </x:c>
      <x:c r="C53" s="134" t="str">
        <x:v>3 · Error / recovery</x:v>
      </x:c>
      <x:c r="D53" s="128" t="str">
        <x:v>Set a consistent error / recovery pattern for “continue” without erasing contextual detail.</x:v>
      </x:c>
      <x:c r="E53" s="128" t="str">
        <x:v>Shared recovery / system
appendVoiceTranscript (Default) · JourneyCarousel (Accessibility / input support) · writeView (Default)</x:v>
      </x:c>
      <x:c r="F53" s="128" t="str">
        <x:v>error / recovery · continue · support</x:v>
      </x:c>
      <x:c r="G53" s="128" t="str">
        <x:v>{existing}{/\s$/.test(current) ? "" : " "}{next} | Next image | translate({next.x} {next.y}) scale({next.scale}) | {Math.round(next.scale * 10) / 10}×</x:v>
      </x:c>
      <x:c r="H53" s="128" t="str">
        <x:v>MRV-2E20489326, MRV-DB2CBFBA1B, MRV-DFE8833389, MRV-E1D74C4A23</x:v>
      </x:c>
      <x:c r="I53" s="128" t="str">
        <x:v>Name what failed, say whether work is safe, then offer one clear recovery action. Keep the cause only when it helps the traveller act.</x:v>
      </x:c>
      <x:c r="J53" s="137" t="str">
        <x:v>Do not approve here. Paste approved wording into Final Copy Override for each listed Copy ID.</x:v>
      </x:c>
      <x:c r="K53" s="128" t="str"/>
    </x:row>
    <x:row r="54" ht="52" customHeight="1">
      <x:c r="A54" s="131" t="n">
        <x:v>45</x:v>
      </x:c>
      <x:c r="B54" s="128" t="str">
        <x:v>EX-175</x:v>
      </x:c>
      <x:c r="C54" s="134" t="str">
        <x:v>4 · Onboarding / empty</x:v>
      </x:c>
      <x:c r="D54" s="128" t="str">
        <x:v>Should this shared wording stay identical across every listed surface?</x:v>
      </x:c>
      <x:c r="E54" s="128" t="str">
        <x:v>Homepage
copy (Default) · HomeProof (Default)</x:v>
      </x:c>
      <x:c r="F54" s="128" t="str">
        <x:v>See the decision before the detail.</x:v>
      </x:c>
      <x:c r="G54" s="128" t="str">
        <x:v>See the decision before the detail. | SEE THE DECISION BEFORE THE DETAIL</x:v>
      </x:c>
      <x:c r="H54" s="128" t="str">
        <x:v>MRV-2E3A4F7913, MRV-7D105D90CB</x:v>
      </x:c>
      <x:c r="I54" s="128" t="str">
        <x:v>Confirm a shared wording only if the same user intent applies. Keep surface-specific detail where the action or consequence differs.</x:v>
      </x:c>
      <x:c r="J54" s="137" t="str">
        <x:v>Do not approve here. Paste approved wording into Final Copy Override for each listed Copy ID.</x:v>
      </x:c>
      <x:c r="K54" s="128" t="str"/>
    </x:row>
    <x:row r="55" ht="52" customHeight="1">
      <x:c r="A55" s="131" t="n">
        <x:v>46</x:v>
      </x:c>
      <x:c r="B55" s="128" t="str">
        <x:v>EX-176</x:v>
      </x:c>
      <x:c r="C55" s="134" t="str">
        <x:v>4 · Onboarding / empty</x:v>
      </x:c>
      <x:c r="D55" s="128" t="str">
        <x:v>Should this shared wording stay identical across every listed surface?</x:v>
      </x:c>
      <x:c r="E55" s="128" t="str">
        <x:v>Homepage
copy (Default) · HomeProof (Default)</x:v>
      </x:c>
      <x:c r="F55" s="128" t="str">
        <x:v>Ve la decisión antes que el detalle.</x:v>
      </x:c>
      <x:c r="G55" s="128" t="str">
        <x:v>Ve la decisión antes que el detalle. | VE LA DECISIÓN ANTES QUE EL DETALLE</x:v>
      </x:c>
      <x:c r="H55" s="128" t="str">
        <x:v>MRV-FB0E99B617, MRV-CF98A619E0</x:v>
      </x:c>
      <x:c r="I55" s="128" t="str">
        <x:v>Confirm a shared wording only if the same user intent applies. Keep surface-specific detail where the action or consequence differs.</x:v>
      </x:c>
      <x:c r="J55" s="137" t="str">
        <x:v>Do not approve here. Paste approved wording into Final Copy Override for each listed Copy ID.</x:v>
      </x:c>
      <x:c r="K55" s="128" t="str"/>
    </x:row>
    <x:row r="56" ht="52" customHeight="1">
      <x:c r="A56" s="131" t="n">
        <x:v>47</x:v>
      </x:c>
      <x:c r="B56" s="128" t="str">
        <x:v>UX-047</x:v>
      </x:c>
      <x:c r="C56" s="134" t="str">
        <x:v>4 · Onboarding / empty</x:v>
      </x:c>
      <x:c r="D56" s="128" t="str">
        <x:v>Set a consistent onboarding / empty pattern for “Label” without erasing contextual detail.</x:v>
      </x:c>
      <x:c r="E56" s="128" t="str">
        <x:v>Admin operations · Dashboard
EasyTAdminFeedbackPage (Default) · DashboardClient (Empty state)</x:v>
      </x:c>
      <x:c r="F56" s="128" t="str">
        <x:v>onboarding / empty · Label · support</x:v>
      </x:c>
      <x:c r="G56" s="128" t="str">
        <x:v>No rating yet | Tu primer viaje | Your first trip</x:v>
      </x:c>
      <x:c r="H56" s="128" t="str">
        <x:v>MRV-A083CB22F6, MRV-86A131187B, MRV-627996A6A9</x:v>
      </x:c>
      <x:c r="I56" s="128" t="str">
        <x:v>Lead with the next useful action. Keep supporting explanation short and specific to this empty state.</x:v>
      </x:c>
      <x:c r="J56" s="137" t="str">
        <x:v>Do not approve here. Paste approved wording into Final Copy Override for each listed Copy ID.</x:v>
      </x:c>
      <x:c r="K56" s="128" t="str"/>
    </x:row>
    <x:row r="57" ht="52" customHeight="1">
      <x:c r="A57" s="131" t="n">
        <x:v>48</x:v>
      </x:c>
      <x:c r="B57" s="128" t="str">
        <x:v>EX-177</x:v>
      </x:c>
      <x:c r="C57" s="134" t="str">
        <x:v>4 · Onboarding / empty</x:v>
      </x:c>
      <x:c r="D57" s="128" t="str">
        <x:v>Should this shared wording stay identical across every listed surface?</x:v>
      </x:c>
      <x:c r="E57" s="128" t="str">
        <x:v>Primary navigation
EasyTNavigation (Default)</x:v>
      </x:c>
      <x:c r="F57" s="128" t="str">
        <x:v>How it works</x:v>
      </x:c>
      <x:c r="G57" s="128" t="str">
        <x:v>How it works</x:v>
      </x:c>
      <x:c r="H57" s="128" t="str">
        <x:v>MRV-1FE685A06C, MRV-020C0E8448</x:v>
      </x:c>
      <x:c r="I57" s="128" t="str">
        <x:v>Confirm a shared wording only if the same user intent applies. Keep surface-specific detail where the action or consequence differs.</x:v>
      </x:c>
      <x:c r="J57" s="137" t="str">
        <x:v>Do not approve here. Paste approved wording into Final Copy Override for each listed Copy ID.</x:v>
      </x:c>
      <x:c r="K57" s="128" t="str"/>
    </x:row>
    <x:row r="58" ht="52" customHeight="1">
      <x:c r="A58" s="131" t="n">
        <x:v>49</x:v>
      </x:c>
      <x:c r="B58" s="128" t="str">
        <x:v>EX-178</x:v>
      </x:c>
      <x:c r="C58" s="134" t="str">
        <x:v>5 · Navigation</x:v>
      </x:c>
      <x:c r="D58" s="128" t="str">
        <x:v>Should this shared wording stay identical across every listed surface?</x:v>
      </x:c>
      <x:c r="E58" s="128" t="str">
        <x:v>Primary navigation · Stamps
EasyTNavigation (Default) · StampedExperience (Default)</x:v>
      </x:c>
      <x:c r="F58" s="128" t="str">
        <x:v>Iniciar sesión</x:v>
      </x:c>
      <x:c r="G58" s="128" t="str">
        <x:v>Iniciar sesión</x:v>
      </x:c>
      <x:c r="H58" s="128" t="str">
        <x:v>MRV-0F9AA93184, MRV-B16FACBA59, MRV-472CD5B9F7</x:v>
      </x:c>
      <x:c r="I58" s="128" t="str">
        <x:v>Confirm a shared wording only if the same user intent applies. Keep surface-specific detail where the action or consequence differs.</x:v>
      </x:c>
      <x:c r="J58" s="137" t="str">
        <x:v>Do not approve here. Paste approved wording into Final Copy Override for each listed Copy ID.</x:v>
      </x:c>
      <x:c r="K58" s="128" t="str"/>
    </x:row>
    <x:row r="59" ht="52" customHeight="1">
      <x:c r="A59" s="131" t="n">
        <x:v>50</x:v>
      </x:c>
      <x:c r="B59" s="128" t="str">
        <x:v>EX-179</x:v>
      </x:c>
      <x:c r="C59" s="134" t="str">
        <x:v>5 · Navigation</x:v>
      </x:c>
      <x:c r="D59" s="128" t="str">
        <x:v>Should this shared wording stay identical across every listed surface?</x:v>
      </x:c>
      <x:c r="E59" s="128" t="str">
        <x:v>Primary navigation
EasyTNavigation (Default)</x:v>
      </x:c>
      <x:c r="F59" s="128" t="str">
        <x:v>Cómo funciona</x:v>
      </x:c>
      <x:c r="G59" s="128" t="str">
        <x:v>Cómo funciona</x:v>
      </x:c>
      <x:c r="H59" s="128" t="str">
        <x:v>MRV-C4CD7EA67E, MRV-3C6E74B7B0</x:v>
      </x:c>
      <x:c r="I59" s="128" t="str">
        <x:v>Confirm a shared wording only if the same user intent applies. Keep surface-specific detail where the action or consequence differs.</x:v>
      </x:c>
      <x:c r="J59" s="137" t="str">
        <x:v>Do not approve here. Paste approved wording into Final Copy Override for each listed Copy ID.</x:v>
      </x:c>
      <x:c r="K59" s="128" t="str"/>
    </x:row>
    <x:row r="60" ht="52" customHeight="1">
      <x:c r="A60" s="131" t="n">
        <x:v>51</x:v>
      </x:c>
      <x:c r="B60" s="128" t="str">
        <x:v>EX-180</x:v>
      </x:c>
      <x:c r="C60" s="134" t="str">
        <x:v>5 · Navigation</x:v>
      </x:c>
      <x:c r="D60" s="128" t="str">
        <x:v>Should this shared wording stay identical across every listed surface?</x:v>
      </x:c>
      <x:c r="E60" s="128" t="str">
        <x:v>Primary navigation
EasyTNavigation (Default)</x:v>
      </x:c>
      <x:c r="F60" s="128" t="str">
        <x:v>Información de pasaporte</x:v>
      </x:c>
      <x:c r="G60" s="128" t="str">
        <x:v>Información de pasaporte</x:v>
      </x:c>
      <x:c r="H60" s="128" t="str">
        <x:v>MRV-29B91F3E02, MRV-274AF0FBBE</x:v>
      </x:c>
      <x:c r="I60" s="128" t="str">
        <x:v>Confirm a shared wording only if the same user intent applies. Keep surface-specific detail where the action or consequence differs.</x:v>
      </x:c>
      <x:c r="J60" s="137" t="str">
        <x:v>Do not approve here. Paste approved wording into Final Copy Override for each listed Copy ID.</x:v>
      </x:c>
      <x:c r="K60" s="128" t="str"/>
    </x:row>
    <x:row r="61" ht="52" customHeight="1">
      <x:c r="A61" s="131" t="n">
        <x:v>52</x:v>
      </x:c>
      <x:c r="B61" s="128" t="str">
        <x:v>EX-181</x:v>
      </x:c>
      <x:c r="C61" s="134" t="str">
        <x:v>5 · Navigation</x:v>
      </x:c>
      <x:c r="D61" s="128" t="str">
        <x:v>Should this shared wording stay identical across every listed surface?</x:v>
      </x:c>
      <x:c r="E61" s="128" t="str">
        <x:v>Primary navigation
EasyTNavigation (Default)</x:v>
      </x:c>
      <x:c r="F61" s="128" t="str">
        <x:v>Routes</x:v>
      </x:c>
      <x:c r="G61" s="128" t="str">
        <x:v>Routes</x:v>
      </x:c>
      <x:c r="H61" s="128" t="str">
        <x:v>MRV-0803E42A2E, MRV-EAE286E0B1</x:v>
      </x:c>
      <x:c r="I61" s="128" t="str">
        <x:v>Use “route” for sequence and connections; use “plan” for the wider trip, including dates, stays and tasks.</x:v>
      </x:c>
      <x:c r="J61" s="137" t="str">
        <x:v>Do not approve here. Paste approved wording into Final Copy Override for each listed Copy ID.</x:v>
      </x:c>
      <x:c r="K61" s="128" t="str"/>
    </x:row>
    <x:row r="62" ht="52" customHeight="1">
      <x:c r="A62" s="131" t="n">
        <x:v>53</x:v>
      </x:c>
      <x:c r="B62" s="128" t="str">
        <x:v>EX-182</x:v>
      </x:c>
      <x:c r="C62" s="134" t="str">
        <x:v>5 · Navigation</x:v>
      </x:c>
      <x:c r="D62" s="128" t="str">
        <x:v>Should this shared wording stay identical across every listed surface?</x:v>
      </x:c>
      <x:c r="E62" s="128" t="str">
        <x:v>Primary navigation
EasyTNavigation (Default)</x:v>
      </x:c>
      <x:c r="F62" s="128" t="str">
        <x:v>Rutas</x:v>
      </x:c>
      <x:c r="G62" s="128" t="str">
        <x:v>Rutas</x:v>
      </x:c>
      <x:c r="H62" s="128" t="str">
        <x:v>MRV-1B2E491747, MRV-92F9B7EC9D</x:v>
      </x:c>
      <x:c r="I62" s="128" t="str">
        <x:v>Confirm a shared wording only if the same user intent applies. Keep surface-specific detail where the action or consequence differs.</x:v>
      </x:c>
      <x:c r="J62" s="137" t="str">
        <x:v>Do not approve here. Paste approved wording into Final Copy Override for each listed Copy ID.</x:v>
      </x:c>
      <x:c r="K62" s="128" t="str"/>
    </x:row>
    <x:row r="63" ht="52" customHeight="1">
      <x:c r="A63" s="131" t="n">
        <x:v>54</x:v>
      </x:c>
      <x:c r="B63" s="128" t="str">
        <x:v>EX-183</x:v>
      </x:c>
      <x:c r="C63" s="134" t="str">
        <x:v>6 · Long-tail</x:v>
      </x:c>
      <x:c r="D63" s="128" t="str">
        <x:v>Should this shared wording stay identical across every listed surface?</x:v>
      </x:c>
      <x:c r="E63" s="128" t="str">
        <x:v>Stamps
StampedExperience (Default)</x:v>
      </x:c>
      <x:c r="F63" s="128" t="str">
        <x:v>Dismiss</x:v>
      </x:c>
      <x:c r="G63" s="128" t="str">
        <x:v>Dismiss</x:v>
      </x:c>
      <x:c r="H63" s="128" t="str">
        <x:v>MRV-5DC34DED5B, MRV-15A00DAA49</x:v>
      </x:c>
      <x:c r="I63" s="128" t="str">
        <x:v>Confirm a shared wording only if the same user intent applies. Keep surface-specific detail where the action or consequence differs.</x:v>
      </x:c>
      <x:c r="J63" s="137" t="str">
        <x:v>Do not approve here. Paste approved wording into Final Copy Override for each listed Copy ID.</x:v>
      </x:c>
      <x:c r="K63" s="128" t="str"/>
    </x:row>
    <x:row r="64" ht="52" customHeight="1">
      <x:c r="A64" s="131" t="n">
        <x:v>55</x:v>
      </x:c>
      <x:c r="B64" s="128" t="str">
        <x:v>EX-184</x:v>
      </x:c>
      <x:c r="C64" s="134" t="str">
        <x:v>6 · Long-tail / accessibility</x:v>
      </x:c>
      <x:c r="D64" s="128" t="str">
        <x:v>Should this shared wording stay identical across every listed surface?</x:v>
      </x:c>
      <x:c r="E64" s="128" t="str">
        <x:v>Admin operations
areas (Default) · EasyTUsersAdminPage (Default)</x:v>
      </x:c>
      <x:c r="F64" s="128" t="str">
        <x:v>Users &amp; support</x:v>
      </x:c>
      <x:c r="G64" s="128" t="str">
        <x:v>Users &amp; support | Users &amp; support.</x:v>
      </x:c>
      <x:c r="H64" s="128" t="str">
        <x:v>MRV-ECF9D91C3A, MRV-7DE8BE3D81</x:v>
      </x:c>
      <x:c r="I64" s="128" t="str">
        <x:v>Confirm a shared wording only if the same user intent applies. Keep surface-specific detail where the action or consequence differs.</x:v>
      </x:c>
      <x:c r="J64" s="137" t="str">
        <x:v>Do not approve here. Paste approved wording into Final Copy Override for each listed Copy ID.</x:v>
      </x:c>
      <x:c r="K64" s="128" t="str"/>
    </x:row>
    <x:row r="65" ht="52" customHeight="1">
      <x:c r="A65" s="131" t="n">
        <x:v>56</x:v>
      </x:c>
      <x:c r="B65" s="128" t="str">
        <x:v>EX-185</x:v>
      </x:c>
      <x:c r="C65" s="134" t="str">
        <x:v>6 · Long-tail</x:v>
      </x:c>
      <x:c r="D65" s="128" t="str">
        <x:v>Should this shared wording stay identical across every listed surface?</x:v>
      </x:c>
      <x:c r="E65" s="128" t="str">
        <x:v>Dashboard
DashboardClient (Default) · DashboardClient (Accessibility / input support)</x:v>
      </x:c>
      <x:c r="F65" s="128" t="str">
        <x:v>Buscar viajes</x:v>
      </x:c>
      <x:c r="G65" s="128" t="str">
        <x:v>Buscar viajes</x:v>
      </x:c>
      <x:c r="H65" s="128" t="str">
        <x:v>MRV-E75FC5A2E7, MRV-F467ABF404</x:v>
      </x:c>
      <x:c r="I65" s="128" t="str">
        <x:v>Confirm a shared wording only if the same user intent applies. Keep surface-specific detail where the action or consequence differs.</x:v>
      </x:c>
      <x:c r="J65" s="137" t="str">
        <x:v>Do not approve here. Paste approved wording into Final Copy Override for each listed Copy ID.</x:v>
      </x:c>
      <x:c r="K65" s="128" t="str"/>
    </x:row>
    <x:row r="66" ht="52" customHeight="1">
      <x:c r="A66" s="131" t="n">
        <x:v>57</x:v>
      </x:c>
      <x:c r="B66" s="128" t="str">
        <x:v>EX-019</x:v>
      </x:c>
      <x:c r="C66" s="134" t="str">
        <x:v>1 · Core journey</x:v>
      </x:c>
      <x:c r="D66" s="128" t="str">
        <x:v>Should this shared wording stay identical across every listed surface?</x:v>
      </x:c>
      <x:c r="E66" s="128" t="str">
        <x:v>New trip builder
TripBuilderDocument (Default)</x:v>
      </x:c>
      <x:c r="F66" s="128" t="str">
        <x:v>Starting point</x:v>
      </x:c>
      <x:c r="G66" s="128" t="str">
        <x:v>Starting point</x:v>
      </x:c>
      <x:c r="H66" s="128" t="str">
        <x:v>MRV-DC15D5BCB5, MRV-0865D42D5E</x:v>
      </x:c>
      <x:c r="I66" s="128" t="str">
        <x:v>Confirm a shared wording only if the same user intent applies. Keep surface-specific detail where the action or consequence differs.</x:v>
      </x:c>
      <x:c r="J66" s="137" t="str">
        <x:v>Do not approve here. Paste approved wording into Final Copy Override for each listed Copy ID.</x:v>
      </x:c>
      <x:c r="K66" s="128" t="str"/>
    </x:row>
    <x:row r="67" ht="52" customHeight="1">
      <x:c r="A67" s="131" t="n">
        <x:v>58</x:v>
      </x:c>
      <x:c r="B67" s="128" t="str">
        <x:v>EX-020</x:v>
      </x:c>
      <x:c r="C67" s="134" t="str">
        <x:v>1 · Core journey</x:v>
      </x:c>
      <x:c r="D67" s="128" t="str">
        <x:v>Should this shared wording stay identical across every listed surface?</x:v>
      </x:c>
      <x:c r="E67" s="128" t="str">
        <x:v>Planner recommendations
renderReviewItem (Default) · JourneyMapPlannerWorkspace (Default)</x:v>
      </x:c>
      <x:c r="F67" s="128" t="str">
        <x:v>View details</x:v>
      </x:c>
      <x:c r="G67" s="128" t="str">
        <x:v>View details</x:v>
      </x:c>
      <x:c r="H67" s="128" t="str">
        <x:v>MRV-B12D1AB337, MRV-7A9431DE4D</x:v>
      </x:c>
      <x:c r="I67" s="128" t="str">
        <x:v>Confirm a shared wording only if the same user intent applies. Keep surface-specific detail where the action or consequence differs.</x:v>
      </x:c>
      <x:c r="J67" s="137" t="str">
        <x:v>Do not approve here. Paste approved wording into Final Copy Override for each listed Copy ID.</x:v>
      </x:c>
      <x:c r="K67" s="128" t="str"/>
    </x:row>
    <x:row r="68" ht="52" customHeight="1">
      <x:c r="A68" s="131" t="n">
        <x:v>59</x:v>
      </x:c>
      <x:c r="B68" s="128" t="str">
        <x:v>EX-021</x:v>
      </x:c>
      <x:c r="C68" s="134" t="str">
        <x:v>1 · Core journey</x:v>
      </x:c>
      <x:c r="D68" s="128" t="str">
        <x:v>Should this shared wording stay identical across every listed surface?</x:v>
      </x:c>
      <x:c r="E68" s="128" t="str">
        <x:v>Overview
overviewActionForTrip (Default) · TripOverviewWorkspace (Default)</x:v>
      </x:c>
      <x:c r="F68" s="128" t="str">
        <x:v>View itinerary</x:v>
      </x:c>
      <x:c r="G68" s="128" t="str">
        <x:v>View itinerary</x:v>
      </x:c>
      <x:c r="H68" s="128" t="str">
        <x:v>MRV-B0E7E56F3D, MRV-AACB24B24E</x:v>
      </x:c>
      <x:c r="I68" s="128" t="str">
        <x:v>Confirm a shared wording only if the same user intent applies. Keep surface-specific detail where the action or consequence differs.</x:v>
      </x:c>
      <x:c r="J68" s="137" t="str">
        <x:v>Do not approve here. Paste approved wording into Final Copy Override for each listed Copy ID.</x:v>
      </x:c>
      <x:c r="K68" s="128" t="str"/>
    </x:row>
    <x:row r="69" ht="52" customHeight="1">
      <x:c r="A69" s="132" t="n">
        <x:v>60</x:v>
      </x:c>
      <x:c r="B69" s="129" t="str">
        <x:v>UX-003</x:v>
      </x:c>
      <x:c r="C69" s="135" t="str">
        <x:v>1 · Core journey</x:v>
      </x:c>
      <x:c r="D69" s="129" t="str">
        <x:v>Set a consistent loading / in progress pattern for “open / load” without erasing contextual detail.</x:v>
      </x:c>
      <x:c r="E69" s="129" t="str">
        <x:v>Overview · Admin operations · Dashboard · New trip builder · Route detail +2 more
TripWorkspaceLoading (Route loading) · RouteControls (Loading / in progress) · DashboardClient (Loading / in progress) · TripBuilderDocument (Loading / in progress) +5 more</x:v>
      </x:c>
      <x:c r="F69" s="129" t="str">
        <x:v>loading / in progress · open / load · support</x:v>
      </x:c>
      <x:c r="G69" s="129" t="str">
        <x:v>Keeping your trip details and planning choices intact while this view opens. | Visible to travellers | Feature first | Comprobando un viaje guardado en este dispositivo… +8 more</x:v>
      </x:c>
      <x:c r="H69" s="129" t="str">
        <x:v>MRV-15DDF9323E, MRV-A0C70BD7B6, MRV-C58FD5E8D0, MRV-0375FA42E4, MRV-8A24CEA7AE, MRV-F8CD059CC7, MRV-505A624784, MRV-6FF650EDC2, MRV-A33189D7C0, MRV-704CE050F7, MRV-F538A7B4F5, MRV-34936A7ACC</x:v>
      </x:c>
      <x:c r="I69" s="129" t="str">
        <x:v>Use one short present-tense progress message. Explain preservation only when it reassures the traveller about their work.</x:v>
      </x:c>
      <x:c r="J69" s="138" t="str">
        <x:v>Do not approve here. Paste approved wording into Final Copy Override for each listed Copy ID.</x:v>
      </x:c>
      <x:c r="K69" s="129" t="str"/>
    </x:row>
  </x:sheetData>
  <x:mergeCells>
    <x:mergeCell ref="A1:K1"/>
    <x:mergeCell ref="A2:K2"/>
    <x:mergeCell ref="A7:K7"/>
  </x:mergeCells>
  <x:pageMargins left="0.7" right="0.7" top="0.75" bottom="0.75" header="0.3" footer="0.3"/>
  <x:tableParts count="1">
    <x:tablePart xmlns:r="http://schemas.openxmlformats.org/officeDocument/2006/relationships" r:id="Rad76e61a5c1f4b4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7" hidden="0" customWidth="1"/>
    <x:col min="3" max="3" width="22" hidden="0" customWidth="1"/>
    <x:col min="4" max="4" width="10" hidden="0" customWidth="1"/>
    <x:col min="5" max="5" width="24" hidden="0" customWidth="1"/>
    <x:col min="6" max="6" width="34" hidden="0" customWidth="1"/>
    <x:col min="7" max="7" width="12" hidden="0" customWidth="1"/>
    <x:col min="8" max="8" width="48" hidden="0" customWidth="1"/>
    <x:col min="9" max="9" width="28" hidden="0" customWidth="1"/>
    <x:col min="10" max="10" width="35" hidden="0" customWidth="1"/>
    <x:col min="11" max="11" width="38" hidden="0" customWidth="1"/>
    <x:col min="12" max="12" width="36" hidden="0" customWidth="1"/>
    <x:col min="13" max="13" width="45" hidden="0" customWidth="1"/>
    <x:col min="14" max="14" width="32" hidden="0" customWidth="1"/>
  </x:cols>
  <x:sheetData>
    <x:row r="1" ht="30" customHeight="1">
      <x:c r="A1" s="85" t="str">
        <x:v>Copy Review Groups</x:v>
      </x:c>
    </x:row>
    <x:row r="2" ht="34" customHeight="1">
      <x:c r="A2" s="89" t="str">
        <x:v>Exact repeats and near-duplicate UX patterns. Original inventory rows remain unchanged. A group is a review aid, not an approved replacement.</x:v>
      </x:c>
    </x:row>
    <x:row r="4" ht="28" customHeight="1">
      <x:c r="A4" s="141" t="str">
        <x:v>Coverage: 207 exact-repeat groups and 47 near-pattern groups. Every group lists all affected Copy IDs; unique rows stay in Copy Inventory and retain their existing workflow.</x:v>
      </x:c>
    </x:row>
    <x:row r="6" ht="34" customHeight="1">
      <x:c r="A6" s="118" t="str">
        <x:v>Group ID</x:v>
      </x:c>
      <x:c r="B6" s="119" t="str">
        <x:v>Group type</x:v>
      </x:c>
      <x:c r="C6" s="119" t="str">
        <x:v>Impact tier</x:v>
      </x:c>
      <x:c r="D6" s="119" t="str">
        <x:v>Score</x:v>
      </x:c>
      <x:c r="E6" s="119" t="str">
        <x:v>State / pattern</x:v>
      </x:c>
      <x:c r="F6" s="119" t="str">
        <x:v>Exact copy / pattern</x:v>
      </x:c>
      <x:c r="G6" s="119" t="str">
        <x:v>Affected rows</x:v>
      </x:c>
      <x:c r="H6" s="119" t="str">
        <x:v>Affected Copy IDs</x:v>
      </x:c>
      <x:c r="I6" s="119" t="str">
        <x:v>Surfaces</x:v>
      </x:c>
      <x:c r="J6" s="119" t="str">
        <x:v>Component / state context</x:v>
      </x:c>
      <x:c r="K6" s="119" t="str">
        <x:v>Existing suggested replacement(s)</x:v>
      </x:c>
      <x:c r="L6" s="119" t="str">
        <x:v>Decision question</x:v>
      </x:c>
      <x:c r="M6" s="119" t="str">
        <x:v>Review direction</x:v>
      </x:c>
      <x:c r="N6" s="120" t="str">
        <x:v>Approval status</x:v>
      </x:c>
    </x:row>
    <x:row r="7" ht="42" customHeight="1">
      <x:c r="A7" s="127" t="str">
        <x:v>UX-001</x:v>
      </x:c>
      <x:c r="B7" s="133" t="str">
        <x:v>Near UX pattern</x:v>
      </x:c>
      <x:c r="C7" s="142" t="str">
        <x:v>1 · Core journey</x:v>
      </x:c>
      <x:c r="D7" s="127" t="n">
        <x:v>658</x:v>
      </x:c>
      <x:c r="E7" s="127" t="str">
        <x:v>standard action / label</x:v>
      </x:c>
      <x:c r="F7" s="127" t="str">
        <x:v>standard action / label · build trip · action</x:v>
      </x:c>
      <x:c r="G7" s="127" t="n">
        <x:v>42</x:v>
      </x:c>
      <x:c r="H7" s="127" t="str">
        <x:v>MRV-E3C5EB7894, MRV-53F4F92644, MRV-64D935A45C, MRV-1C09F54B15, MRV-088D4F0046, MRV-7570347076, MRV-A6D0D515B5, MRV-B6DA990239, MRV-38A414D35C, MRV-1E6A6E6437, MRV-4669117300, MRV-753996BB11, MRV-8F7519CD0D, MRV-97355C9EBF, MRV-B3BCCC51CA, MRV-2E39F5D628, MRV-A3B51FC8D3, MRV-A260C767BB, MRV-58AA011FC1, MRV-4622DFF227, MRV-443E2C6453, MRV-34EAF2EC59, MRV-84166DB1DD, MRV-2AEE1F8A7A, MRV-DB4E90A05F, MRV-50F460FCE7, MRV-8DE073C365, MRV-07BA78574B, MRV-3578352777, MRV-8157AC7622, MRV-2FC7F4EB99, MRV-FCB2266EDD, MRV-6ECF86CB1D, MRV-5207664943, MRV-DC15D5BCB5, MRV-E47BC3C874, MRV-15C719CDC1, MRV-0865D42D5E, MRV-0156E17650, MRV-CF3915F010, MRV-F7D40F0EE3, MRV-28C5F1E8F5</x:v>
      </x:c>
      <x:c r="I7" s="127" t="str">
        <x:v>Dashboard · Discover / Routes index · New trip builder · Route detail · Trip mode</x:v>
      </x:c>
      <x:c r="J7" s="127" t="str">
        <x:v>DashboardClient (Default) · DiscoveryBrowser (Default) · TripBuilderDocument (Default) · RouteDetailView (Default) +1 more</x:v>
      </x:c>
      <x:c r="K7" s="127" t="str">
        <x:v>Start a trip | BUILD FROM ANY STARTING POINT | Check what we understood and fill any gaps. | Continue +28 more</x:v>
      </x:c>
      <x:c r="L7" s="127" t="str">
        <x:v>Set a consistent standard action / label pattern for “build trip” without erasing contextual detail.</x:v>
      </x:c>
      <x:c r="M7" s="127" t="str">
        <x:v>Use “trip” for the saved plan and its workspace. Keep “journey” only for editorial, brand-level language.</x:v>
      </x:c>
      <x:c r="N7" s="136" t="str">
        <x:v>Not set — use original Final Copy Override cells</x:v>
      </x:c>
    </x:row>
    <x:row r="8" ht="42" customHeight="1">
      <x:c r="A8" s="128" t="str">
        <x:v>UX-002</x:v>
      </x:c>
      <x:c r="B8" s="134" t="str">
        <x:v>Near UX pattern</x:v>
      </x:c>
      <x:c r="C8" s="143" t="str">
        <x:v>1 · Core journey</x:v>
      </x:c>
      <x:c r="D8" s="128" t="n">
        <x:v>657</x:v>
      </x:c>
      <x:c r="E8" s="128" t="str">
        <x:v>loading / in progress</x:v>
      </x:c>
      <x:c r="F8" s="128" t="str">
        <x:v>loading / in progress · open / load · action</x:v>
      </x:c>
      <x:c r="G8" s="128" t="n">
        <x:v>11</x:v>
      </x:c>
      <x:c r="H8" s="128" t="str">
        <x:v>MRV-068EE3BC5A, MRV-A60628B87C, MRV-AE4B742A33, MRV-6B94EB86B5, MRV-B19454A280, MRV-FDDA8E06BD, MRV-A14224F236, MRV-A16DA76B61, MRV-AE60132583, MRV-369A0CB730, MRV-3FB64476CF</x:v>
      </x:c>
      <x:c r="I8" s="128" t="str">
        <x:v>Overview · New trip builder · Route detail · Trip mode · Prep +1 more</x:v>
      </x:c>
      <x:c r="J8" s="128" t="str">
        <x:v>TripWorkspaceLoading (Route loading) · NewTripPage (Default) · TripBuilderDocument (Loading / in progress) · TripBuilderDocument (Default) +5 more</x:v>
      </x:c>
      <x:c r="K8" s="128" t="str">
        <x:v>Opening your route… | Opening your trip… | Checking… | Finding a photograph… +5 more</x:v>
      </x:c>
      <x:c r="L8" s="128" t="str">
        <x:v>Set a consistent loading / in progress pattern for “open / load” without erasing contextual detail.</x:v>
      </x:c>
      <x:c r="M8" s="128" t="str">
        <x:v>Use one short present-tense progress message. Explain preservation only when it reassures the traveller about their work.</x:v>
      </x:c>
      <x:c r="N8" s="137" t="str">
        <x:v>Not set — use original Final Copy Override cells</x:v>
      </x:c>
    </x:row>
    <x:row r="9" ht="42" customHeight="1">
      <x:c r="A9" s="128" t="str">
        <x:v>EX-001</x:v>
      </x:c>
      <x:c r="B9" s="134" t="str">
        <x:v>Exact phrase</x:v>
      </x:c>
      <x:c r="C9" s="143" t="str">
        <x:v>1 · Core journey</x:v>
      </x:c>
      <x:c r="D9" s="128" t="n">
        <x:v>650</x:v>
      </x:c>
      <x:c r="E9" s="128" t="str">
        <x:v>standard action / label</x:v>
      </x:c>
      <x:c r="F9" s="128" t="str">
        <x:v>Edit</x:v>
      </x:c>
      <x:c r="G9" s="128" t="n">
        <x:v>4</x:v>
      </x:c>
      <x:c r="H9" s="128" t="str">
        <x:v>MRV-7570347076, MRV-1E6A6E6437, MRV-07BA78574B, MRV-B2A8E1B473</x:v>
      </x:c>
      <x:c r="I9" s="128" t="str">
        <x:v>New trip builder · Stamps</x:v>
      </x:c>
      <x:c r="J9" s="128" t="str">
        <x:v>TripBuilderDocument (Default) · StampedExperience (Default)</x:v>
      </x:c>
      <x:c r="K9" s="128" t="str">
        <x:v>Edit</x:v>
      </x:c>
      <x:c r="L9" s="128" t="str">
        <x:v>Should this shared wording stay identical across every listed surface?</x:v>
      </x:c>
      <x:c r="M9" s="128" t="str">
        <x:v>Confirm a shared wording only if the same user intent applies. Keep surface-specific detail where the action or consequence differs.</x:v>
      </x:c>
      <x:c r="N9" s="137" t="str">
        <x:v>Not set — use original Final Copy Override cells</x:v>
      </x:c>
    </x:row>
    <x:row r="10" ht="42" customHeight="1">
      <x:c r="A10" s="128" t="str">
        <x:v>EX-002</x:v>
      </x:c>
      <x:c r="B10" s="134" t="str">
        <x:v>Exact phrase</x:v>
      </x:c>
      <x:c r="C10" s="143" t="str">
        <x:v>1 · Core journey</x:v>
      </x:c>
      <x:c r="D10" s="128" t="n">
        <x:v>650</x:v>
      </x:c>
      <x:c r="E10" s="128" t="str">
        <x:v>standard action / label</x:v>
      </x:c>
      <x:c r="F10" s="128" t="str">
        <x:v>Editar</x:v>
      </x:c>
      <x:c r="G10" s="128" t="n">
        <x:v>4</x:v>
      </x:c>
      <x:c r="H10" s="128" t="str">
        <x:v>MRV-088D4F0046, MRV-38A414D35C, MRV-8DE073C365, MRV-F225335A8A</x:v>
      </x:c>
      <x:c r="I10" s="128" t="str">
        <x:v>New trip builder · Stamps</x:v>
      </x:c>
      <x:c r="J10" s="128" t="str">
        <x:v>TripBuilderDocument (Default) · StampedExperience (Default)</x:v>
      </x:c>
      <x:c r="K10" s="128" t="str">
        <x:v>Editar</x:v>
      </x:c>
      <x:c r="L10" s="128" t="str">
        <x:v>Should this shared wording stay identical across every listed surface?</x:v>
      </x:c>
      <x:c r="M10" s="128" t="str">
        <x:v>Confirm a shared wording only if the same user intent applies. Keep surface-specific detail where the action or consequence differs.</x:v>
      </x:c>
      <x:c r="N10" s="137" t="str">
        <x:v>Not set — use original Final Copy Override cells</x:v>
      </x:c>
    </x:row>
    <x:row r="11" ht="42" customHeight="1">
      <x:c r="A11" s="128" t="str">
        <x:v>EX-003</x:v>
      </x:c>
      <x:c r="B11" s="134" t="str">
        <x:v>Exact phrase</x:v>
      </x:c>
      <x:c r="C11" s="143" t="str">
        <x:v>1 · Core journey</x:v>
      </x:c>
      <x:c r="D11" s="128" t="n">
        <x:v>649</x:v>
      </x:c>
      <x:c r="E11" s="128" t="str">
        <x:v>standard action / label</x:v>
      </x:c>
      <x:c r="F11" s="128" t="str">
        <x:v>Add</x:v>
      </x:c>
      <x:c r="G11" s="128" t="n">
        <x:v>3</x:v>
      </x:c>
      <x:c r="H11" s="128" t="str">
        <x:v>MRV-443E2C6453, MRV-34EAF2EC59, MRV-84166DB1DD</x:v>
      </x:c>
      <x:c r="I11" s="128" t="str">
        <x:v>New trip builder</x:v>
      </x:c>
      <x:c r="J11" s="128" t="str">
        <x:v>TripBuilderDocument (Default)</x:v>
      </x:c>
      <x:c r="K11" s="128" t="str">
        <x:v>Add</x:v>
      </x:c>
      <x:c r="L11" s="128" t="str">
        <x:v>Should this shared wording stay identical across every listed surface?</x:v>
      </x:c>
      <x:c r="M11" s="128" t="str">
        <x:v>Confirm a shared wording only if the same user intent applies. Keep surface-specific detail where the action or consequence differs.</x:v>
      </x:c>
      <x:c r="N11" s="137" t="str">
        <x:v>Not set — use original Final Copy Override cells</x:v>
      </x:c>
    </x:row>
    <x:row r="12" ht="42" customHeight="1">
      <x:c r="A12" s="128" t="str">
        <x:v>EX-004</x:v>
      </x:c>
      <x:c r="B12" s="134" t="str">
        <x:v>Exact phrase</x:v>
      </x:c>
      <x:c r="C12" s="143" t="str">
        <x:v>1 · Core journey</x:v>
      </x:c>
      <x:c r="D12" s="128" t="n">
        <x:v>649</x:v>
      </x:c>
      <x:c r="E12" s="128" t="str">
        <x:v>standard action / label</x:v>
      </x:c>
      <x:c r="F12" s="128" t="str">
        <x:v>Done</x:v>
      </x:c>
      <x:c r="G12" s="128" t="n">
        <x:v>3</x:v>
      </x:c>
      <x:c r="H12" s="128" t="str">
        <x:v>MRV-753996BB11, MRV-50F460FCE7, MRV-2FC7F4EB99</x:v>
      </x:c>
      <x:c r="I12" s="128" t="str">
        <x:v>New trip builder</x:v>
      </x:c>
      <x:c r="J12" s="128" t="str">
        <x:v>TripBuilderDocument (Default)</x:v>
      </x:c>
      <x:c r="K12" s="128" t="str">
        <x:v>Done</x:v>
      </x:c>
      <x:c r="L12" s="128" t="str">
        <x:v>Should this shared wording stay identical across every listed surface?</x:v>
      </x:c>
      <x:c r="M12" s="128" t="str">
        <x:v>Confirm a shared wording only if the same user intent applies. Keep surface-specific detail where the action or consequence differs.</x:v>
      </x:c>
      <x:c r="N12" s="137" t="str">
        <x:v>Not set — use original Final Copy Override cells</x:v>
      </x:c>
    </x:row>
    <x:row r="13" ht="42" customHeight="1">
      <x:c r="A13" s="128" t="str">
        <x:v>EX-005</x:v>
      </x:c>
      <x:c r="B13" s="134" t="str">
        <x:v>Exact phrase</x:v>
      </x:c>
      <x:c r="C13" s="143" t="str">
        <x:v>1 · Core journey</x:v>
      </x:c>
      <x:c r="D13" s="128" t="n">
        <x:v>649</x:v>
      </x:c>
      <x:c r="E13" s="128" t="str">
        <x:v>standard action / label</x:v>
      </x:c>
      <x:c r="F13" s="128" t="str">
        <x:v>Find a stay</x:v>
      </x:c>
      <x:c r="G13" s="128" t="n">
        <x:v>3</x:v>
      </x:c>
      <x:c r="H13" s="128" t="str">
        <x:v>MRV-6652BB854C, MRV-FEAC4484B8, MRV-C32AAB2B1D</x:v>
      </x:c>
      <x:c r="I13" s="128" t="str">
        <x:v>Trip mode · Overview · Prep</x:v>
      </x:c>
      <x:c r="J13" s="128" t="str">
        <x:v>TripModeClient (Default) · overviewActionForTrip (Default) · JourneyTripPrepAccommodation (Default)</x:v>
      </x:c>
      <x:c r="K13" s="128" t="str">
        <x:v>Find a stay</x:v>
      </x:c>
      <x:c r="L13" s="128" t="str">
        <x:v>Should this shared wording stay identical across every listed surface?</x:v>
      </x:c>
      <x:c r="M13" s="128" t="str">
        <x:v>Confirm a shared wording only if the same user intent applies. Keep surface-specific detail where the action or consequence differs.</x:v>
      </x:c>
      <x:c r="N13" s="137" t="str">
        <x:v>Not set — use original Final Copy Override cells</x:v>
      </x:c>
    </x:row>
    <x:row r="14" ht="42" customHeight="1">
      <x:c r="A14" s="128" t="str">
        <x:v>EX-006</x:v>
      </x:c>
      <x:c r="B14" s="134" t="str">
        <x:v>Exact phrase</x:v>
      </x:c>
      <x:c r="C14" s="143" t="str">
        <x:v>1 · Core journey</x:v>
      </x:c>
      <x:c r="D14" s="128" t="n">
        <x:v>649</x:v>
      </x:c>
      <x:c r="E14" s="128" t="str">
        <x:v>contextual UX · standard action / label</x:v>
      </x:c>
      <x:c r="F14" s="128" t="str">
        <x:v>Remove</x:v>
      </x:c>
      <x:c r="G14" s="128" t="n">
        <x:v>3</x:v>
      </x:c>
      <x:c r="H14" s="128" t="str">
        <x:v>MRV-F6D14DBED1, MRV-231B3ABA75, MRV-DB4E90A05F</x:v>
      </x:c>
      <x:c r="I14" s="128" t="str">
        <x:v>New trip builder</x:v>
      </x:c>
      <x:c r="J14" s="128" t="str">
        <x:v>TripBuilderDocument (Accessibility / input support) · TripBuilderDocument (Default)</x:v>
      </x:c>
      <x:c r="K14" s="128" t="str">
        <x:v>Remove</x:v>
      </x:c>
      <x:c r="L14" s="128" t="str">
        <x:v>Should this shared wording stay identical across every listed surface?</x:v>
      </x:c>
      <x:c r="M14" s="128" t="str">
        <x:v>Confirm a shared wording only if the same user intent applies. Keep surface-specific detail where the action or consequence differs.</x:v>
      </x:c>
      <x:c r="N14" s="137" t="str">
        <x:v>Not set — use original Final Copy Override cells</x:v>
      </x:c>
    </x:row>
    <x:row r="15" ht="42" customHeight="1">
      <x:c r="A15" s="128" t="str">
        <x:v>EX-007</x:v>
      </x:c>
      <x:c r="B15" s="134" t="str">
        <x:v>Exact phrase</x:v>
      </x:c>
      <x:c r="C15" s="143" t="str">
        <x:v>1 · Core journey</x:v>
      </x:c>
      <x:c r="D15" s="128" t="n">
        <x:v>648</x:v>
      </x:c>
      <x:c r="E15" s="128" t="str">
        <x:v>standard action / label</x:v>
      </x:c>
      <x:c r="F15" s="128" t="str">
        <x:v>Archived</x:v>
      </x:c>
      <x:c r="G15" s="128" t="n">
        <x:v>2</x:v>
      </x:c>
      <x:c r="H15" s="128" t="str">
        <x:v>MRV-6D78B63E0C, MRV-965163E6E7</x:v>
      </x:c>
      <x:c r="I15" s="128" t="str">
        <x:v>Dashboard · Overview</x:v>
      </x:c>
      <x:c r="J15" s="128" t="str">
        <x:v>statusLabel (Default)</x:v>
      </x:c>
      <x:c r="K15" s="128" t="str">
        <x:v>Archived</x:v>
      </x:c>
      <x:c r="L15" s="128" t="str">
        <x:v>Should this shared wording stay identical across every listed surface?</x:v>
      </x:c>
      <x:c r="M15" s="128" t="str">
        <x:v>Confirm a shared wording only if the same user intent applies. Keep surface-specific detail where the action or consequence differs.</x:v>
      </x:c>
      <x:c r="N15" s="137" t="str">
        <x:v>Not set — use original Final Copy Override cells</x:v>
      </x:c>
    </x:row>
    <x:row r="16" ht="42" customHeight="1">
      <x:c r="A16" s="128" t="str">
        <x:v>EX-008</x:v>
      </x:c>
      <x:c r="B16" s="134" t="str">
        <x:v>Exact phrase</x:v>
      </x:c>
      <x:c r="C16" s="143" t="str">
        <x:v>1 · Core journey</x:v>
      </x:c>
      <x:c r="D16" s="128" t="n">
        <x:v>648</x:v>
      </x:c>
      <x:c r="E16" s="128" t="str">
        <x:v>standard action / label</x:v>
      </x:c>
      <x:c r="F16" s="128" t="str">
        <x:v>Back</x:v>
      </x:c>
      <x:c r="G16" s="128" t="n">
        <x:v>2</x:v>
      </x:c>
      <x:c r="H16" s="128" t="str">
        <x:v>MRV-6D61F4BF64, MRV-D98A3A6F0A</x:v>
      </x:c>
      <x:c r="I16" s="128" t="str">
        <x:v>Planner recommendations</x:v>
      </x:c>
      <x:c r="J16" s="128" t="str">
        <x:v>JourneyMapPlannerWorkspace (Default)</x:v>
      </x:c>
      <x:c r="K16" s="128" t="str">
        <x:v>Back</x:v>
      </x:c>
      <x:c r="L16" s="128" t="str">
        <x:v>Should this shared wording stay identical across every listed surface?</x:v>
      </x:c>
      <x:c r="M16" s="128" t="str">
        <x:v>Confirm a shared wording only if the same user intent applies. Keep surface-specific detail where the action or consequence differs.</x:v>
      </x:c>
      <x:c r="N16" s="137" t="str">
        <x:v>Not set — use original Final Copy Override cells</x:v>
      </x:c>
    </x:row>
    <x:row r="17" ht="42" customHeight="1">
      <x:c r="A17" s="128" t="str">
        <x:v>EX-009</x:v>
      </x:c>
      <x:c r="B17" s="134" t="str">
        <x:v>Exact phrase</x:v>
      </x:c>
      <x:c r="C17" s="143" t="str">
        <x:v>1 · Core journey</x:v>
      </x:c>
      <x:c r="D17" s="128" t="n">
        <x:v>648</x:v>
      </x:c>
      <x:c r="E17" s="128" t="str">
        <x:v>standard action / label</x:v>
      </x:c>
      <x:c r="F17" s="128" t="str">
        <x:v>Cancel</x:v>
      </x:c>
      <x:c r="G17" s="128" t="n">
        <x:v>2</x:v>
      </x:c>
      <x:c r="H17" s="128" t="str">
        <x:v>MRV-536DAEE3D3, MRV-2E39F5D628</x:v>
      </x:c>
      <x:c r="I17" s="128" t="str">
        <x:v>Admin operations · New trip builder</x:v>
      </x:c>
      <x:c r="J17" s="128" t="str">
        <x:v>UserSupport (Default) · TripBuilderDocument (Default)</x:v>
      </x:c>
      <x:c r="K17" s="128" t="str">
        <x:v>Cancel</x:v>
      </x:c>
      <x:c r="L17" s="128" t="str">
        <x:v>Should this shared wording stay identical across every listed surface?</x:v>
      </x:c>
      <x:c r="M17" s="128" t="str">
        <x:v>Confirm a shared wording only if the same user intent applies. Keep surface-specific detail where the action or consequence differs.</x:v>
      </x:c>
      <x:c r="N17" s="137" t="str">
        <x:v>Not set — use original Final Copy Override cells</x:v>
      </x:c>
    </x:row>
    <x:row r="18" ht="42" customHeight="1">
      <x:c r="A18" s="128" t="str">
        <x:v>EX-010</x:v>
      </x:c>
      <x:c r="B18" s="134" t="str">
        <x:v>Exact phrase</x:v>
      </x:c>
      <x:c r="C18" s="143" t="str">
        <x:v>1 · Core journey</x:v>
      </x:c>
      <x:c r="D18" s="128" t="n">
        <x:v>648</x:v>
      </x:c>
      <x:c r="E18" s="128" t="str">
        <x:v>standard action / label</x:v>
      </x:c>
      <x:c r="F18" s="128" t="str">
        <x:v>Open map</x:v>
      </x:c>
      <x:c r="G18" s="128" t="n">
        <x:v>2</x:v>
      </x:c>
      <x:c r="H18" s="128" t="str">
        <x:v>MRV-1736E7073F, MRV-6120BA909A</x:v>
      </x:c>
      <x:c r="I18" s="128" t="str">
        <x:v>Trip mode · Overview</x:v>
      </x:c>
      <x:c r="J18" s="128" t="str">
        <x:v>TripModeClient (Default) · TripOverviewWorkspace (Default)</x:v>
      </x:c>
      <x:c r="K18" s="128" t="str">
        <x:v>Open map</x:v>
      </x:c>
      <x:c r="L18" s="128" t="str">
        <x:v>Should this shared wording stay identical across every listed surface?</x:v>
      </x:c>
      <x:c r="M18" s="128" t="str">
        <x:v>Confirm a shared wording only if the same user intent applies. Keep surface-specific detail where the action or consequence differs.</x:v>
      </x:c>
      <x:c r="N18" s="137" t="str">
        <x:v>Not set — use original Final Copy Override cells</x:v>
      </x:c>
    </x:row>
    <x:row r="19" ht="42" customHeight="1">
      <x:c r="A19" s="128" t="str">
        <x:v>EX-011</x:v>
      </x:c>
      <x:c r="B19" s="134" t="str">
        <x:v>Exact phrase</x:v>
      </x:c>
      <x:c r="C19" s="143" t="str">
        <x:v>1 · Core journey</x:v>
      </x:c>
      <x:c r="D19" s="128" t="n">
        <x:v>648</x:v>
      </x:c>
      <x:c r="E19" s="128" t="str">
        <x:v>loading / in progress</x:v>
      </x:c>
      <x:c r="F19" s="128" t="str">
        <x:v>Opening your route…</x:v>
      </x:c>
      <x:c r="G19" s="128" t="n">
        <x:v>2</x:v>
      </x:c>
      <x:c r="H19" s="128" t="str">
        <x:v>MRV-068EE3BC5A, MRV-6B94EB86B5</x:v>
      </x:c>
      <x:c r="I19" s="128" t="str">
        <x:v>Overview · New trip builder</x:v>
      </x:c>
      <x:c r="J19" s="128" t="str">
        <x:v>TripWorkspaceLoading (Route loading) · TripBuilderDocument (Default)</x:v>
      </x:c>
      <x:c r="K19" s="128" t="str">
        <x:v>Opening your route…</x:v>
      </x:c>
      <x:c r="L19" s="128" t="str">
        <x:v>Should this shared wording stay identical across every listed surface?</x:v>
      </x:c>
      <x:c r="M19" s="128" t="str">
        <x:v>Use one short present-tense progress message. Explain preservation only when it reassures the traveller about their work.</x:v>
      </x:c>
      <x:c r="N19" s="137" t="str">
        <x:v>Not set — use original Final Copy Override cells</x:v>
      </x:c>
    </x:row>
    <x:row r="20" ht="42" customHeight="1">
      <x:c r="A20" s="128" t="str">
        <x:v>EX-012</x:v>
      </x:c>
      <x:c r="B20" s="134" t="str">
        <x:v>Exact phrase</x:v>
      </x:c>
      <x:c r="C20" s="143" t="str">
        <x:v>1 · Core journey</x:v>
      </x:c>
      <x:c r="D20" s="128" t="n">
        <x:v>648</x:v>
      </x:c>
      <x:c r="E20" s="128" t="str">
        <x:v>loading / in progress</x:v>
      </x:c>
      <x:c r="F20" s="128" t="str">
        <x:v>Opening your trip…</x:v>
      </x:c>
      <x:c r="G20" s="128" t="n">
        <x:v>2</x:v>
      </x:c>
      <x:c r="H20" s="128" t="str">
        <x:v>MRV-A60628B87C, MRV-FDDA8E06BD</x:v>
      </x:c>
      <x:c r="I20" s="128" t="str">
        <x:v>New trip builder · Trip mode</x:v>
      </x:c>
      <x:c r="J20" s="128" t="str">
        <x:v>NewTripPage (Default) · TripModeClient (Default)</x:v>
      </x:c>
      <x:c r="K20" s="128" t="str">
        <x:v>Opening your trip…</x:v>
      </x:c>
      <x:c r="L20" s="128" t="str">
        <x:v>Should this shared wording stay identical across every listed surface?</x:v>
      </x:c>
      <x:c r="M20" s="128" t="str">
        <x:v>Use one short present-tense progress message. Explain preservation only when it reassures the traveller about their work.</x:v>
      </x:c>
      <x:c r="N20" s="137" t="str">
        <x:v>Not set — use original Final Copy Override cells</x:v>
      </x:c>
    </x:row>
    <x:row r="21" ht="42" customHeight="1">
      <x:c r="A21" s="128" t="str">
        <x:v>EX-013</x:v>
      </x:c>
      <x:c r="B21" s="134" t="str">
        <x:v>Exact phrase</x:v>
      </x:c>
      <x:c r="C21" s="143" t="str">
        <x:v>1 · Core journey</x:v>
      </x:c>
      <x:c r="D21" s="128" t="n">
        <x:v>648</x:v>
      </x:c>
      <x:c r="E21" s="128" t="str">
        <x:v>standard action / label</x:v>
      </x:c>
      <x:c r="F21" s="128" t="str">
        <x:v>Plan</x:v>
      </x:c>
      <x:c r="G21" s="128" t="n">
        <x:v>2</x:v>
      </x:c>
      <x:c r="H21" s="128" t="str">
        <x:v>MRV-6CDE988866, MRV-75A0ADBC09</x:v>
      </x:c>
      <x:c r="I21" s="128" t="str">
        <x:v>Plan next · Planner recommendations</x:v>
      </x:c>
      <x:c r="J21" s="128" t="str">
        <x:v>MapPlanNext (Default) · JourneyMapPlannerWorkspace (Default)</x:v>
      </x:c>
      <x:c r="K21" s="128" t="str">
        <x:v>Plan</x:v>
      </x:c>
      <x:c r="L21" s="128" t="str">
        <x:v>Should this shared wording stay identical across every listed surface?</x:v>
      </x:c>
      <x:c r="M21" s="128" t="str">
        <x:v>Use “route” for sequence and connections; use “plan” for the wider trip, including dates, stays and tasks.</x:v>
      </x:c>
      <x:c r="N21" s="137" t="str">
        <x:v>Not set — use original Final Copy Override cells</x:v>
      </x:c>
    </x:row>
    <x:row r="22" ht="42" customHeight="1">
      <x:c r="A22" s="128" t="str">
        <x:v>EX-014</x:v>
      </x:c>
      <x:c r="B22" s="134" t="str">
        <x:v>Exact phrase</x:v>
      </x:c>
      <x:c r="C22" s="143" t="str">
        <x:v>1 · Core journey</x:v>
      </x:c>
      <x:c r="D22" s="128" t="n">
        <x:v>648</x:v>
      </x:c>
      <x:c r="E22" s="128" t="str">
        <x:v>standard action / label</x:v>
      </x:c>
      <x:c r="F22" s="128" t="str">
        <x:v>Planned</x:v>
      </x:c>
      <x:c r="G22" s="128" t="n">
        <x:v>2</x:v>
      </x:c>
      <x:c r="H22" s="128" t="str">
        <x:v>MRV-89B5F43394, MRV-774387A5FF</x:v>
      </x:c>
      <x:c r="I22" s="128" t="str">
        <x:v>Dashboard · Overview</x:v>
      </x:c>
      <x:c r="J22" s="128" t="str">
        <x:v>statusLabel (Default)</x:v>
      </x:c>
      <x:c r="K22" s="128" t="str">
        <x:v>Planned</x:v>
      </x:c>
      <x:c r="L22" s="128" t="str">
        <x:v>Should this shared wording stay identical across every listed surface?</x:v>
      </x:c>
      <x:c r="M22" s="128" t="str">
        <x:v>Use “route” for sequence and connections; use “plan” for the wider trip, including dates, stays and tasks.</x:v>
      </x:c>
      <x:c r="N22" s="137" t="str">
        <x:v>Not set — use original Final Copy Override cells</x:v>
      </x:c>
    </x:row>
    <x:row r="23" ht="42" customHeight="1">
      <x:c r="A23" s="128" t="str">
        <x:v>EX-015</x:v>
      </x:c>
      <x:c r="B23" s="134" t="str">
        <x:v>Exact phrase</x:v>
      </x:c>
      <x:c r="C23" s="143" t="str">
        <x:v>1 · Core journey</x:v>
      </x:c>
      <x:c r="D23" s="128" t="n">
        <x:v>648</x:v>
      </x:c>
      <x:c r="E23" s="128" t="str">
        <x:v>standard action / label</x:v>
      </x:c>
      <x:c r="F23" s="128" t="str">
        <x:v>Review dates</x:v>
      </x:c>
      <x:c r="G23" s="128" t="n">
        <x:v>2</x:v>
      </x:c>
      <x:c r="H23" s="128" t="str">
        <x:v>MRV-570539A046, MRV-F2D09FF4B3</x:v>
      </x:c>
      <x:c r="I23" s="128" t="str">
        <x:v>Prep</x:v>
      </x:c>
      <x:c r="J23" s="128" t="str">
        <x:v>deriveTripPrepTasks (Default)</x:v>
      </x:c>
      <x:c r="K23" s="128" t="str">
        <x:v>Review dates</x:v>
      </x:c>
      <x:c r="L23" s="128" t="str">
        <x:v>Should this shared wording stay identical across every listed surface?</x:v>
      </x:c>
      <x:c r="M23" s="128" t="str">
        <x:v>Confirm a shared wording only if the same user intent applies. Keep surface-specific detail where the action or consequence differs.</x:v>
      </x:c>
      <x:c r="N23" s="137" t="str">
        <x:v>Not set — use original Final Copy Override cells</x:v>
      </x:c>
    </x:row>
    <x:row r="24" ht="42" customHeight="1">
      <x:c r="A24" s="128" t="str">
        <x:v>EX-016</x:v>
      </x:c>
      <x:c r="B24" s="134" t="str">
        <x:v>Exact phrase</x:v>
      </x:c>
      <x:c r="C24" s="143" t="str">
        <x:v>1 · Core journey</x:v>
      </x:c>
      <x:c r="D24" s="128" t="n">
        <x:v>648</x:v>
      </x:c>
      <x:c r="E24" s="128" t="str">
        <x:v>standard action / label</x:v>
      </x:c>
      <x:c r="F24" s="128" t="str">
        <x:v>Review guidance</x:v>
      </x:c>
      <x:c r="G24" s="128" t="n">
        <x:v>2</x:v>
      </x:c>
      <x:c r="H24" s="128" t="str">
        <x:v>MRV-B9D44D351F, MRV-04ED587DC2</x:v>
      </x:c>
      <x:c r="I24" s="128" t="str">
        <x:v>Prep</x:v>
      </x:c>
      <x:c r="J24" s="128" t="str">
        <x:v>deriveTripPrepTasks (Default)</x:v>
      </x:c>
      <x:c r="K24" s="128" t="str">
        <x:v>Review guidance</x:v>
      </x:c>
      <x:c r="L24" s="128" t="str">
        <x:v>Should this shared wording stay identical across every listed surface?</x:v>
      </x:c>
      <x:c r="M24" s="128" t="str">
        <x:v>Confirm a shared wording only if the same user intent applies. Keep surface-specific detail where the action or consequence differs.</x:v>
      </x:c>
      <x:c r="N24" s="137" t="str">
        <x:v>Not set — use original Final Copy Override cells</x:v>
      </x:c>
    </x:row>
    <x:row r="25" ht="42" customHeight="1">
      <x:c r="A25" s="128" t="str">
        <x:v>EX-017</x:v>
      </x:c>
      <x:c r="B25" s="134" t="str">
        <x:v>Exact phrase</x:v>
      </x:c>
      <x:c r="C25" s="143" t="str">
        <x:v>1 · Core journey</x:v>
      </x:c>
      <x:c r="D25" s="128" t="n">
        <x:v>648</x:v>
      </x:c>
      <x:c r="E25" s="128" t="str">
        <x:v>standard action / label</x:v>
      </x:c>
      <x:c r="F25" s="128" t="str">
        <x:v>Review prep</x:v>
      </x:c>
      <x:c r="G25" s="128" t="n">
        <x:v>2</x:v>
      </x:c>
      <x:c r="H25" s="128" t="str">
        <x:v>MRV-57B3F02664, MRV-D72C7DD7D3</x:v>
      </x:c>
      <x:c r="I25" s="128" t="str">
        <x:v>Overview</x:v>
      </x:c>
      <x:c r="J25" s="128" t="str">
        <x:v>overviewActionForTrip (Default) · TripOverviewWorkspace (Default)</x:v>
      </x:c>
      <x:c r="K25" s="128" t="str">
        <x:v>Review prep</x:v>
      </x:c>
      <x:c r="L25" s="128" t="str">
        <x:v>Should this shared wording stay identical across every listed surface?</x:v>
      </x:c>
      <x:c r="M25" s="128" t="str">
        <x:v>Confirm a shared wording only if the same user intent applies. Keep surface-specific detail where the action or consequence differs.</x:v>
      </x:c>
      <x:c r="N25" s="137" t="str">
        <x:v>Not set — use original Final Copy Override cells</x:v>
      </x:c>
    </x:row>
    <x:row r="26" ht="42" customHeight="1">
      <x:c r="A26" s="128" t="str">
        <x:v>EX-018</x:v>
      </x:c>
      <x:c r="B26" s="134" t="str">
        <x:v>Exact phrase</x:v>
      </x:c>
      <x:c r="C26" s="143" t="str">
        <x:v>1 · Core journey</x:v>
      </x:c>
      <x:c r="D26" s="128" t="n">
        <x:v>648</x:v>
      </x:c>
      <x:c r="E26" s="128" t="str">
        <x:v>standard action / label</x:v>
      </x:c>
      <x:c r="F26" s="128" t="str">
        <x:v>Review route</x:v>
      </x:c>
      <x:c r="G26" s="128" t="n">
        <x:v>2</x:v>
      </x:c>
      <x:c r="H26" s="128" t="str">
        <x:v>MRV-901C93455D, MRV-176805446B</x:v>
      </x:c>
      <x:c r="I26" s="128" t="str">
        <x:v>Overview</x:v>
      </x:c>
      <x:c r="J26" s="128" t="str">
        <x:v>overviewActionForTrip (Default)</x:v>
      </x:c>
      <x:c r="K26" s="128" t="str">
        <x:v>Review route</x:v>
      </x:c>
      <x:c r="L26" s="128" t="str">
        <x:v>Should this shared wording stay identical across every listed surface?</x:v>
      </x:c>
      <x:c r="M26" s="128" t="str">
        <x:v>Use “route” for sequence and connections; use “plan” for the wider trip, including dates, stays and tasks.</x:v>
      </x:c>
      <x:c r="N26" s="137" t="str">
        <x:v>Not set — use original Final Copy Override cells</x:v>
      </x:c>
    </x:row>
    <x:row r="27" ht="42" customHeight="1">
      <x:c r="A27" s="128" t="str">
        <x:v>EX-019</x:v>
      </x:c>
      <x:c r="B27" s="134" t="str">
        <x:v>Exact phrase</x:v>
      </x:c>
      <x:c r="C27" s="143" t="str">
        <x:v>1 · Core journey</x:v>
      </x:c>
      <x:c r="D27" s="128" t="n">
        <x:v>648</x:v>
      </x:c>
      <x:c r="E27" s="128" t="str">
        <x:v>standard action / label</x:v>
      </x:c>
      <x:c r="F27" s="128" t="str">
        <x:v>Starting point</x:v>
      </x:c>
      <x:c r="G27" s="128" t="n">
        <x:v>2</x:v>
      </x:c>
      <x:c r="H27" s="128" t="str">
        <x:v>MRV-DC15D5BCB5, MRV-0865D42D5E</x:v>
      </x:c>
      <x:c r="I27" s="128" t="str">
        <x:v>New trip builder</x:v>
      </x:c>
      <x:c r="J27" s="128" t="str">
        <x:v>TripBuilderDocument (Default)</x:v>
      </x:c>
      <x:c r="K27" s="128" t="str">
        <x:v>Starting point</x:v>
      </x:c>
      <x:c r="L27" s="128" t="str">
        <x:v>Should this shared wording stay identical across every listed surface?</x:v>
      </x:c>
      <x:c r="M27" s="128" t="str">
        <x:v>Confirm a shared wording only if the same user intent applies. Keep surface-specific detail where the action or consequence differs.</x:v>
      </x:c>
      <x:c r="N27" s="137" t="str">
        <x:v>Not set — use original Final Copy Override cells</x:v>
      </x:c>
    </x:row>
    <x:row r="28" ht="42" customHeight="1">
      <x:c r="A28" s="128" t="str">
        <x:v>EX-020</x:v>
      </x:c>
      <x:c r="B28" s="134" t="str">
        <x:v>Exact phrase</x:v>
      </x:c>
      <x:c r="C28" s="143" t="str">
        <x:v>1 · Core journey</x:v>
      </x:c>
      <x:c r="D28" s="128" t="n">
        <x:v>648</x:v>
      </x:c>
      <x:c r="E28" s="128" t="str">
        <x:v>standard action / label</x:v>
      </x:c>
      <x:c r="F28" s="128" t="str">
        <x:v>View details</x:v>
      </x:c>
      <x:c r="G28" s="128" t="n">
        <x:v>2</x:v>
      </x:c>
      <x:c r="H28" s="128" t="str">
        <x:v>MRV-B12D1AB337, MRV-7A9431DE4D</x:v>
      </x:c>
      <x:c r="I28" s="128" t="str">
        <x:v>Planner recommendations</x:v>
      </x:c>
      <x:c r="J28" s="128" t="str">
        <x:v>renderReviewItem (Default) · JourneyMapPlannerWorkspace (Default)</x:v>
      </x:c>
      <x:c r="K28" s="128" t="str">
        <x:v>View details</x:v>
      </x:c>
      <x:c r="L28" s="128" t="str">
        <x:v>Should this shared wording stay identical across every listed surface?</x:v>
      </x:c>
      <x:c r="M28" s="128" t="str">
        <x:v>Confirm a shared wording only if the same user intent applies. Keep surface-specific detail where the action or consequence differs.</x:v>
      </x:c>
      <x:c r="N28" s="137" t="str">
        <x:v>Not set — use original Final Copy Override cells</x:v>
      </x:c>
    </x:row>
    <x:row r="29" ht="42" customHeight="1">
      <x:c r="A29" s="128" t="str">
        <x:v>EX-021</x:v>
      </x:c>
      <x:c r="B29" s="134" t="str">
        <x:v>Exact phrase</x:v>
      </x:c>
      <x:c r="C29" s="143" t="str">
        <x:v>1 · Core journey</x:v>
      </x:c>
      <x:c r="D29" s="128" t="n">
        <x:v>648</x:v>
      </x:c>
      <x:c r="E29" s="128" t="str">
        <x:v>standard action / label</x:v>
      </x:c>
      <x:c r="F29" s="128" t="str">
        <x:v>View itinerary</x:v>
      </x:c>
      <x:c r="G29" s="128" t="n">
        <x:v>2</x:v>
      </x:c>
      <x:c r="H29" s="128" t="str">
        <x:v>MRV-B0E7E56F3D, MRV-AACB24B24E</x:v>
      </x:c>
      <x:c r="I29" s="128" t="str">
        <x:v>Overview</x:v>
      </x:c>
      <x:c r="J29" s="128" t="str">
        <x:v>overviewActionForTrip (Default) · TripOverviewWorkspace (Default)</x:v>
      </x:c>
      <x:c r="K29" s="128" t="str">
        <x:v>View itinerary</x:v>
      </x:c>
      <x:c r="L29" s="128" t="str">
        <x:v>Should this shared wording stay identical across every listed surface?</x:v>
      </x:c>
      <x:c r="M29" s="128" t="str">
        <x:v>Confirm a shared wording only if the same user intent applies. Keep surface-specific detail where the action or consequence differs.</x:v>
      </x:c>
      <x:c r="N29" s="137" t="str">
        <x:v>Not set — use original Final Copy Override cells</x:v>
      </x:c>
    </x:row>
    <x:row r="30" ht="42" customHeight="1">
      <x:c r="A30" s="128" t="str">
        <x:v>UX-003</x:v>
      </x:c>
      <x:c r="B30" s="134" t="str">
        <x:v>Near UX pattern</x:v>
      </x:c>
      <x:c r="C30" s="143" t="str">
        <x:v>1 · Core journey</x:v>
      </x:c>
      <x:c r="D30" s="128" t="n">
        <x:v>636</x:v>
      </x:c>
      <x:c r="E30" s="128" t="str">
        <x:v>loading / in progress</x:v>
      </x:c>
      <x:c r="F30" s="128" t="str">
        <x:v>loading / in progress · open / load · support</x:v>
      </x:c>
      <x:c r="G30" s="128" t="n">
        <x:v>12</x:v>
      </x:c>
      <x:c r="H30" s="128" t="str">
        <x:v>MRV-15DDF9323E, MRV-A0C70BD7B6, MRV-C58FD5E8D0, MRV-0375FA42E4, MRV-8A24CEA7AE, MRV-F8CD059CC7, MRV-505A624784, MRV-6FF650EDC2, MRV-A33189D7C0, MRV-704CE050F7, MRV-F538A7B4F5, MRV-34936A7ACC</x:v>
      </x:c>
      <x:c r="I30" s="128" t="str">
        <x:v>Overview · Admin operations · Dashboard · New trip builder · Route detail +2 more</x:v>
      </x:c>
      <x:c r="J30" s="128" t="str">
        <x:v>TripWorkspaceLoading (Route loading) · RouteControls (Loading / in progress) · DashboardClient (Loading / in progress) · TripBuilderDocument (Loading / in progress) +5 more</x:v>
      </x:c>
      <x:c r="K30" s="128" t="str">
        <x:v>Keeping your trip details and planning choices intact while this view opens. | Visible to travellers | Feature first | Comprobando un viaje guardado en este dispositivo… +8 more</x:v>
      </x:c>
      <x:c r="L30" s="128" t="str">
        <x:v>Set a consistent loading / in progress pattern for “open / load” without erasing contextual detail.</x:v>
      </x:c>
      <x:c r="M30" s="128" t="str">
        <x:v>Use one short present-tense progress message. Explain preservation only when it reassures the traveller about their work.</x:v>
      </x:c>
      <x:c r="N30" s="137" t="str">
        <x:v>Not set — use original Final Copy Override cells</x:v>
      </x:c>
    </x:row>
    <x:row r="31" ht="42" customHeight="1">
      <x:c r="A31" s="128" t="str">
        <x:v>EX-022</x:v>
      </x:c>
      <x:c r="B31" s="134" t="str">
        <x:v>Exact phrase</x:v>
      </x:c>
      <x:c r="C31" s="143" t="str">
        <x:v>1 · Core journey</x:v>
      </x:c>
      <x:c r="D31" s="128" t="n">
        <x:v>634</x:v>
      </x:c>
      <x:c r="E31" s="128" t="str">
        <x:v>contextual UX · standard action / label</x:v>
      </x:c>
      <x:c r="F31" s="128" t="str">
        <x:v>Quitar</x:v>
      </x:c>
      <x:c r="G31" s="128" t="n">
        <x:v>3</x:v>
      </x:c>
      <x:c r="H31" s="128" t="str">
        <x:v>MRV-AF55B36C5D, MRV-138651ECA8, MRV-D0BD46EBBA</x:v>
      </x:c>
      <x:c r="I31" s="128" t="str">
        <x:v>New trip builder</x:v>
      </x:c>
      <x:c r="J31" s="128" t="str">
        <x:v>TripBuilderDocument (Accessibility / input support) · TripBuilderDocument (Default)</x:v>
      </x:c>
      <x:c r="K31" s="128" t="str">
        <x:v>Quitar</x:v>
      </x:c>
      <x:c r="L31" s="128" t="str">
        <x:v>Should this shared wording stay identical across every listed surface?</x:v>
      </x:c>
      <x:c r="M31" s="128" t="str">
        <x:v>Confirm a shared wording only if the same user intent applies. Keep surface-specific detail where the action or consequence differs.</x:v>
      </x:c>
      <x:c r="N31" s="137" t="str">
        <x:v>Not set — use original Final Copy Override cells</x:v>
      </x:c>
    </x:row>
    <x:row r="32" ht="42" customHeight="1">
      <x:c r="A32" s="128" t="str">
        <x:v>EX-023</x:v>
      </x:c>
      <x:c r="B32" s="134" t="str">
        <x:v>Exact phrase</x:v>
      </x:c>
      <x:c r="C32" s="143" t="str">
        <x:v>1 · Core journey</x:v>
      </x:c>
      <x:c r="D32" s="128" t="n">
        <x:v>633</x:v>
      </x:c>
      <x:c r="E32" s="128" t="str">
        <x:v>standard action / label · warning / uncertainty</x:v>
      </x:c>
      <x:c r="F32" s="128" t="str">
        <x:v>{from.name} → {to.name}</x:v>
      </x:c>
      <x:c r="G32" s="128" t="n">
        <x:v>9</x:v>
      </x:c>
      <x:c r="H32" s="128" t="str">
        <x:v>MRV-CBF0E47A59, MRV-7BA3FD5684, MRV-27C3A86BC4, MRV-2EB228A04D, MRV-F1B30BDBBC, MRV-61EB682FD7, MRV-A46DAAE739, MRV-A77D48C5B1, MRV-D93D852E3A</x:v>
      </x:c>
      <x:c r="I32" s="128" t="str">
        <x:v>Planner recommendations</x:v>
      </x:c>
      <x:c r="J32" s="128" t="str">
        <x:v>estimateLeg (Default) · unknownTransportLeg (Default) · persistedLegEstimator (Default)</x:v>
      </x:c>
      <x:c r="K32" s="128" t="str">
        <x:v>{from.name} → {to.name}</x:v>
      </x:c>
      <x:c r="L32" s="128" t="str">
        <x:v>Should this shared wording stay identical across every listed surface?</x:v>
      </x:c>
      <x:c r="M32" s="128" t="str">
        <x:v>Confirm a shared wording only if the same user intent applies. Keep surface-specific detail where the action or consequence differs.</x:v>
      </x:c>
      <x:c r="N32" s="137" t="str">
        <x:v>Not set — use original Final Copy Override cells</x:v>
      </x:c>
    </x:row>
    <x:row r="33" ht="42" customHeight="1">
      <x:c r="A33" s="128" t="str">
        <x:v>EX-024</x:v>
      </x:c>
      <x:c r="B33" s="134" t="str">
        <x:v>Exact phrase</x:v>
      </x:c>
      <x:c r="C33" s="143" t="str">
        <x:v>1 · Core journey</x:v>
      </x:c>
      <x:c r="D33" s="128" t="n">
        <x:v>633</x:v>
      </x:c>
      <x:c r="E33" s="128" t="str">
        <x:v>contextual UX · standard action / label</x:v>
      </x:c>
      <x:c r="F33" s="128" t="str">
        <x:v>Budget</x:v>
      </x:c>
      <x:c r="G33" s="128" t="n">
        <x:v>2</x:v>
      </x:c>
      <x:c r="H33" s="128" t="str">
        <x:v>MRV-B3693C15A1, MRV-A919307E2C</x:v>
      </x:c>
      <x:c r="I33" s="128" t="str">
        <x:v>New trip builder · Planner recommendations</x:v>
      </x:c>
      <x:c r="J33" s="128" t="str">
        <x:v>TripBuilderDocument (Accessibility / input support) · JourneyMapPlannerWorkspace (Default)</x:v>
      </x:c>
      <x:c r="K33" s="128" t="str">
        <x:v>Budget</x:v>
      </x:c>
      <x:c r="L33" s="128" t="str">
        <x:v>Should this shared wording stay identical across every listed surface?</x:v>
      </x:c>
      <x:c r="M33" s="128" t="str">
        <x:v>Confirm a shared wording only if the same user intent applies. Keep surface-specific detail where the action or consequence differs.</x:v>
      </x:c>
      <x:c r="N33" s="137" t="str">
        <x:v>Not set — use original Final Copy Override cells</x:v>
      </x:c>
    </x:row>
    <x:row r="34" ht="42" customHeight="1">
      <x:c r="A34" s="128" t="str">
        <x:v>EX-025</x:v>
      </x:c>
      <x:c r="B34" s="134" t="str">
        <x:v>Exact phrase</x:v>
      </x:c>
      <x:c r="C34" s="143" t="str">
        <x:v>1 · Core journey</x:v>
      </x:c>
      <x:c r="D34" s="128" t="n">
        <x:v>633</x:v>
      </x:c>
      <x:c r="E34" s="128" t="str">
        <x:v>contextual UX · standard action / label</x:v>
      </x:c>
      <x:c r="F34" s="128" t="str">
        <x:v>Flight</x:v>
      </x:c>
      <x:c r="G34" s="128" t="n">
        <x:v>2</x:v>
      </x:c>
      <x:c r="H34" s="128" t="str">
        <x:v>MRV-5FBEB7292D, MRV-D58D3E13DB</x:v>
      </x:c>
      <x:c r="I34" s="128" t="str">
        <x:v>New trip builder · Plan next</x:v>
      </x:c>
      <x:c r="J34" s="128" t="str">
        <x:v>TripBuilderDocument (Accessibility / input support) · transferLabel (Default)</x:v>
      </x:c>
      <x:c r="K34" s="128" t="str">
        <x:v>Flight</x:v>
      </x:c>
      <x:c r="L34" s="128" t="str">
        <x:v>Should this shared wording stay identical across every listed surface?</x:v>
      </x:c>
      <x:c r="M34" s="128" t="str">
        <x:v>Confirm a shared wording only if the same user intent applies. Keep surface-specific detail where the action or consequence differs.</x:v>
      </x:c>
      <x:c r="N34" s="137" t="str">
        <x:v>Not set — use original Final Copy Override cells</x:v>
      </x:c>
    </x:row>
    <x:row r="35" ht="42" customHeight="1">
      <x:c r="A35" s="128" t="str">
        <x:v>EX-026</x:v>
      </x:c>
      <x:c r="B35" s="134" t="str">
        <x:v>Exact phrase</x:v>
      </x:c>
      <x:c r="C35" s="143" t="str">
        <x:v>1 · Core journey</x:v>
      </x:c>
      <x:c r="D35" s="128" t="n">
        <x:v>633</x:v>
      </x:c>
      <x:c r="E35" s="128" t="str">
        <x:v>contextual UX · standard action / label</x:v>
      </x:c>
      <x:c r="F35" s="128" t="str">
        <x:v>Geografía entendida</x:v>
      </x:c>
      <x:c r="G35" s="128" t="n">
        <x:v>2</x:v>
      </x:c>
      <x:c r="H35" s="128" t="str">
        <x:v>MRV-AD6251CE04, MRV-066129A65F</x:v>
      </x:c>
      <x:c r="I35" s="128" t="str">
        <x:v>New trip builder</x:v>
      </x:c>
      <x:c r="J35" s="128" t="str">
        <x:v>TripBuilderDocument (Accessibility / input support) · TripBuilderDocument (Default)</x:v>
      </x:c>
      <x:c r="K35" s="128" t="str">
        <x:v>Geografía entendida | GEOGRAFÍA ENTENDIDA</x:v>
      </x:c>
      <x:c r="L35" s="128" t="str">
        <x:v>Should this shared wording stay identical across every listed surface?</x:v>
      </x:c>
      <x:c r="M35" s="128" t="str">
        <x:v>Confirm a shared wording only if the same user intent applies. Keep surface-specific detail where the action or consequence differs.</x:v>
      </x:c>
      <x:c r="N35" s="137" t="str">
        <x:v>Not set — use original Final Copy Override cells</x:v>
      </x:c>
    </x:row>
    <x:row r="36" ht="42" customHeight="1">
      <x:c r="A36" s="128" t="str">
        <x:v>EX-027</x:v>
      </x:c>
      <x:c r="B36" s="134" t="str">
        <x:v>Exact phrase</x:v>
      </x:c>
      <x:c r="C36" s="143" t="str">
        <x:v>1 · Core journey</x:v>
      </x:c>
      <x:c r="D36" s="128" t="n">
        <x:v>633</x:v>
      </x:c>
      <x:c r="E36" s="128" t="str">
        <x:v>contextual UX · standard action / label</x:v>
      </x:c>
      <x:c r="F36" s="128" t="str">
        <x:v>Preferencias recogidas</x:v>
      </x:c>
      <x:c r="G36" s="128" t="n">
        <x:v>2</x:v>
      </x:c>
      <x:c r="H36" s="128" t="str">
        <x:v>MRV-CA2FBF4EE4, MRV-05A551114C</x:v>
      </x:c>
      <x:c r="I36" s="128" t="str">
        <x:v>New trip builder</x:v>
      </x:c>
      <x:c r="J36" s="128" t="str">
        <x:v>TripBuilderDocument (Accessibility / input support) · TripBuilderDocument (Default)</x:v>
      </x:c>
      <x:c r="K36" s="128" t="str">
        <x:v>Preferencias recogidas | PREFERENCIAS RECOGIDAS</x:v>
      </x:c>
      <x:c r="L36" s="128" t="str">
        <x:v>Should this shared wording stay identical across every listed surface?</x:v>
      </x:c>
      <x:c r="M36" s="128" t="str">
        <x:v>Confirm a shared wording only if the same user intent applies. Keep surface-specific detail where the action or consequence differs.</x:v>
      </x:c>
      <x:c r="N36" s="137" t="str">
        <x:v>Not set — use original Final Copy Override cells</x:v>
      </x:c>
    </x:row>
    <x:row r="37" ht="42" customHeight="1">
      <x:c r="A37" s="128" t="str">
        <x:v>EX-028</x:v>
      </x:c>
      <x:c r="B37" s="134" t="str">
        <x:v>Exact phrase</x:v>
      </x:c>
      <x:c r="C37" s="143" t="str">
        <x:v>1 · Core journey</x:v>
      </x:c>
      <x:c r="D37" s="128" t="n">
        <x:v>633</x:v>
      </x:c>
      <x:c r="E37" s="128" t="str">
        <x:v>contextual UX · standard action / label</x:v>
      </x:c>
      <x:c r="F37" s="128" t="str">
        <x:v>Train</x:v>
      </x:c>
      <x:c r="G37" s="128" t="n">
        <x:v>2</x:v>
      </x:c>
      <x:c r="H37" s="128" t="str">
        <x:v>MRV-A821D55FFB, MRV-13FA62D473</x:v>
      </x:c>
      <x:c r="I37" s="128" t="str">
        <x:v>New trip builder · Plan next</x:v>
      </x:c>
      <x:c r="J37" s="128" t="str">
        <x:v>TripBuilderDocument (Accessibility / input support) · transferLabel (Default)</x:v>
      </x:c>
      <x:c r="K37" s="128" t="str">
        <x:v>Train</x:v>
      </x:c>
      <x:c r="L37" s="128" t="str">
        <x:v>Should this shared wording stay identical across every listed surface?</x:v>
      </x:c>
      <x:c r="M37" s="128" t="str">
        <x:v>Confirm a shared wording only if the same user intent applies. Keep surface-specific detail where the action or consequence differs.</x:v>
      </x:c>
      <x:c r="N37" s="137" t="str">
        <x:v>Not set — use original Final Copy Override cells</x:v>
      </x:c>
    </x:row>
    <x:row r="38" ht="42" customHeight="1">
      <x:c r="A38" s="128" t="str">
        <x:v>EX-029</x:v>
      </x:c>
      <x:c r="B38" s="134" t="str">
        <x:v>Exact phrase</x:v>
      </x:c>
      <x:c r="C38" s="143" t="str">
        <x:v>1 · Core journey</x:v>
      </x:c>
      <x:c r="D38" s="128" t="n">
        <x:v>633</x:v>
      </x:c>
      <x:c r="E38" s="128" t="str">
        <x:v>contextual UX · standard action / label</x:v>
      </x:c>
      <x:c r="F38" s="128" t="str">
        <x:v>Trip understood</x:v>
      </x:c>
      <x:c r="G38" s="128" t="n">
        <x:v>2</x:v>
      </x:c>
      <x:c r="H38" s="128" t="str">
        <x:v>MRV-BE0DAFB3C7, MRV-6D8FF5D59F</x:v>
      </x:c>
      <x:c r="I38" s="128" t="str">
        <x:v>New trip builder</x:v>
      </x:c>
      <x:c r="J38" s="128" t="str">
        <x:v>TripBuilderDocument (Accessibility / input support) · TripBuilderDocument (Default)</x:v>
      </x:c>
      <x:c r="K38" s="128" t="str">
        <x:v>Trip understood | TRIP UNDERSTOOD</x:v>
      </x:c>
      <x:c r="L38" s="128" t="str">
        <x:v>Should this shared wording stay identical across every listed surface?</x:v>
      </x:c>
      <x:c r="M38" s="128" t="str">
        <x:v>Use “trip” for the saved plan and its workspace. Keep “journey” only for editorial, brand-level language.</x:v>
      </x:c>
      <x:c r="N38" s="137" t="str">
        <x:v>Not set — use original Final Copy Override cells</x:v>
      </x:c>
    </x:row>
    <x:row r="39" ht="42" customHeight="1">
      <x:c r="A39" s="128" t="str">
        <x:v>EX-030</x:v>
      </x:c>
      <x:c r="B39" s="134" t="str">
        <x:v>Exact phrase</x:v>
      </x:c>
      <x:c r="C39" s="143" t="str">
        <x:v>1 · Core journey</x:v>
      </x:c>
      <x:c r="D39" s="128" t="n">
        <x:v>633</x:v>
      </x:c>
      <x:c r="E39" s="128" t="str">
        <x:v>contextual UX · standard action / label</x:v>
      </x:c>
      <x:c r="F39" s="128" t="str">
        <x:v>Tu estilo de viaje</x:v>
      </x:c>
      <x:c r="G39" s="128" t="n">
        <x:v>2</x:v>
      </x:c>
      <x:c r="H39" s="128" t="str">
        <x:v>MRV-8FBC5A149A, MRV-FFED2666F3</x:v>
      </x:c>
      <x:c r="I39" s="128" t="str">
        <x:v>New trip builder</x:v>
      </x:c>
      <x:c r="J39" s="128" t="str">
        <x:v>TripBuilderDocument (Accessibility / input support) · TripBuilderDocument (Default)</x:v>
      </x:c>
      <x:c r="K39" s="128" t="str">
        <x:v>Tu estilo de viaje | TU ESTILO DE VIAJE</x:v>
      </x:c>
      <x:c r="L39" s="128" t="str">
        <x:v>Should this shared wording stay identical across every listed surface?</x:v>
      </x:c>
      <x:c r="M39" s="128" t="str">
        <x:v>Confirm a shared wording only if the same user intent applies. Keep surface-specific detail where the action or consequence differs.</x:v>
      </x:c>
      <x:c r="N39" s="137" t="str">
        <x:v>Not set — use original Final Copy Override cells</x:v>
      </x:c>
    </x:row>
    <x:row r="40" ht="42" customHeight="1">
      <x:c r="A40" s="128" t="str">
        <x:v>EX-031</x:v>
      </x:c>
      <x:c r="B40" s="134" t="str">
        <x:v>Exact phrase</x:v>
      </x:c>
      <x:c r="C40" s="143" t="str">
        <x:v>1 · Core journey</x:v>
      </x:c>
      <x:c r="D40" s="128" t="n">
        <x:v>633</x:v>
      </x:c>
      <x:c r="E40" s="128" t="str">
        <x:v>contextual UX · standard action / label</x:v>
      </x:c>
      <x:c r="F40" s="128" t="str">
        <x:v>Viaje entendido</x:v>
      </x:c>
      <x:c r="G40" s="128" t="n">
        <x:v>2</x:v>
      </x:c>
      <x:c r="H40" s="128" t="str">
        <x:v>MRV-EE18E278BF, MRV-BEAB27E0F1</x:v>
      </x:c>
      <x:c r="I40" s="128" t="str">
        <x:v>New trip builder</x:v>
      </x:c>
      <x:c r="J40" s="128" t="str">
        <x:v>TripBuilderDocument (Accessibility / input support) · TripBuilderDocument (Default)</x:v>
      </x:c>
      <x:c r="K40" s="128" t="str">
        <x:v>Viaje entendido | VIAJE ENTENDIDO</x:v>
      </x:c>
      <x:c r="L40" s="128" t="str">
        <x:v>Should this shared wording stay identical across every listed surface?</x:v>
      </x:c>
      <x:c r="M40" s="128" t="str">
        <x:v>Confirm a shared wording only if the same user intent applies. Keep surface-specific detail where the action or consequence differs.</x:v>
      </x:c>
      <x:c r="N40" s="137" t="str">
        <x:v>Not set — use original Final Copy Override cells</x:v>
      </x:c>
    </x:row>
    <x:row r="41" ht="42" customHeight="1">
      <x:c r="A41" s="128" t="str">
        <x:v>EX-032</x:v>
      </x:c>
      <x:c r="B41" s="134" t="str">
        <x:v>Exact phrase</x:v>
      </x:c>
      <x:c r="C41" s="143" t="str">
        <x:v>1 · Core journey</x:v>
      </x:c>
      <x:c r="D41" s="128" t="n">
        <x:v>633</x:v>
      </x:c>
      <x:c r="E41" s="128" t="str">
        <x:v>contextual UX · standard action / label</x:v>
      </x:c>
      <x:c r="F41" s="128" t="str">
        <x:v>Your travel style</x:v>
      </x:c>
      <x:c r="G41" s="128" t="n">
        <x:v>2</x:v>
      </x:c>
      <x:c r="H41" s="128" t="str">
        <x:v>MRV-25DC56876C, MRV-483E7E76D9</x:v>
      </x:c>
      <x:c r="I41" s="128" t="str">
        <x:v>New trip builder</x:v>
      </x:c>
      <x:c r="J41" s="128" t="str">
        <x:v>TripBuilderDocument (Accessibility / input support) · TripBuilderDocument (Default)</x:v>
      </x:c>
      <x:c r="K41" s="128" t="str">
        <x:v>Your travel style | YOUR TRAVEL STYLE</x:v>
      </x:c>
      <x:c r="L41" s="128" t="str">
        <x:v>Should this shared wording stay identical across every listed surface?</x:v>
      </x:c>
      <x:c r="M41" s="128" t="str">
        <x:v>Confirm a shared wording only if the same user intent applies. Keep surface-specific detail where the action or consequence differs.</x:v>
      </x:c>
      <x:c r="N41" s="137" t="str">
        <x:v>Not set — use original Final Copy Override cells</x:v>
      </x:c>
    </x:row>
    <x:row r="42" ht="42" customHeight="1">
      <x:c r="A42" s="128" t="str">
        <x:v>EX-033</x:v>
      </x:c>
      <x:c r="B42" s="134" t="str">
        <x:v>Exact phrase</x:v>
      </x:c>
      <x:c r="C42" s="143" t="str">
        <x:v>1 · Core journey</x:v>
      </x:c>
      <x:c r="D42" s="128" t="n">
        <x:v>631</x:v>
      </x:c>
      <x:c r="E42" s="128" t="str">
        <x:v>contextual UX</x:v>
      </x:c>
      <x:c r="F42" s="128" t="str">
        <x:v>For example, United Kingdom</x:v>
      </x:c>
      <x:c r="G42" s="128" t="n">
        <x:v>2</x:v>
      </x:c>
      <x:c r="H42" s="128" t="str">
        <x:v>MRV-48B20FDF6B, MRV-2FB151AF73</x:v>
      </x:c>
      <x:c r="I42" s="128" t="str">
        <x:v>Prep</x:v>
      </x:c>
      <x:c r="J42" s="128" t="str">
        <x:v>JourneyTripReadiness (Accessibility / input support)</x:v>
      </x:c>
      <x:c r="K42" s="128" t="str">
        <x:v>For example, United Kingdom</x:v>
      </x:c>
      <x:c r="L42" s="128" t="str">
        <x:v>Should this shared wording stay identical across every listed surface?</x:v>
      </x:c>
      <x:c r="M42" s="128" t="str">
        <x:v>Confirm a shared wording only if the same user intent applies. Keep surface-specific detail where the action or consequence differs.</x:v>
      </x:c>
      <x:c r="N42" s="137" t="str">
        <x:v>Not set — use original Final Copy Override cells</x:v>
      </x:c>
    </x:row>
    <x:row r="43" ht="42" customHeight="1">
      <x:c r="A43" s="128" t="str">
        <x:v>EX-034</x:v>
      </x:c>
      <x:c r="B43" s="134" t="str">
        <x:v>Exact phrase</x:v>
      </x:c>
      <x:c r="C43" s="143" t="str">
        <x:v>1 · Core journey</x:v>
      </x:c>
      <x:c r="D43" s="128" t="n">
        <x:v>631</x:v>
      </x:c>
      <x:c r="E43" s="128" t="str">
        <x:v>contextual UX</x:v>
      </x:c>
      <x:c r="F43" s="128" t="str">
        <x:v>Por ejemplo, Reino Unido</x:v>
      </x:c>
      <x:c r="G43" s="128" t="n">
        <x:v>2</x:v>
      </x:c>
      <x:c r="H43" s="128" t="str">
        <x:v>MRV-FE8D7044C8, MRV-514BD4334A</x:v>
      </x:c>
      <x:c r="I43" s="128" t="str">
        <x:v>Prep</x:v>
      </x:c>
      <x:c r="J43" s="128" t="str">
        <x:v>JourneyTripReadiness (Accessibility / input support)</x:v>
      </x:c>
      <x:c r="K43" s="128" t="str">
        <x:v>Por ejemplo, Reino Unido</x:v>
      </x:c>
      <x:c r="L43" s="128" t="str">
        <x:v>Should this shared wording stay identical across every listed surface?</x:v>
      </x:c>
      <x:c r="M43" s="128" t="str">
        <x:v>Confirm a shared wording only if the same user intent applies. Keep surface-specific detail where the action or consequence differs.</x:v>
      </x:c>
      <x:c r="N43" s="137" t="str">
        <x:v>Not set — use original Final Copy Override cells</x:v>
      </x:c>
    </x:row>
    <x:row r="44" ht="42" customHeight="1">
      <x:c r="A44" s="128" t="str">
        <x:v>UX-004</x:v>
      </x:c>
      <x:c r="B44" s="134" t="str">
        <x:v>Near UX pattern</x:v>
      </x:c>
      <x:c r="C44" s="143" t="str">
        <x:v>1 · Core journey</x:v>
      </x:c>
      <x:c r="D44" s="128" t="n">
        <x:v>631</x:v>
      </x:c>
      <x:c r="E44" s="128" t="str">
        <x:v>onboarding / empty</x:v>
      </x:c>
      <x:c r="F44" s="128" t="str">
        <x:v>onboarding / empty · Body copy · support</x:v>
      </x:c>
      <x:c r="G44" s="128" t="n">
        <x:v>7</x:v>
      </x:c>
      <x:c r="H44" s="128" t="str">
        <x:v>MRV-E192505C3E, MRV-0152896628, MRV-843927FFAF, MRV-31F61C6117, MRV-B0E156BC9D, MRV-1EA482DB8E, MRV-02B5AD6CF5</x:v>
      </x:c>
      <x:c r="I44" s="128" t="str">
        <x:v>Admin operations · Dashboard · Discover / Routes index · Planner recommendations</x:v>
      </x:c>
      <x:c r="J44" s="128" t="str">
        <x:v>EasyTAuditPage (Default) · EasyTEmailAdminPage (Default) · UserSupport (Default) · DashboardClient (Empty state) +3 more</x:v>
      </x:c>
      <x:c r="K44" s="128" t="str">
        <x:v>No admin activity yet. | No email events yet. | No matching Morrovia users yet. | No crearemos ni ocultaremos nada mientras termina la comprobación. +3 more</x:v>
      </x:c>
      <x:c r="L44" s="128" t="str">
        <x:v>Set a consistent onboarding / empty pattern for “Body copy” without erasing contextual detail.</x:v>
      </x:c>
      <x:c r="M44" s="128" t="str">
        <x:v>Lead with the next useful action. Keep supporting explanation short and specific to this empty state.</x:v>
      </x:c>
      <x:c r="N44" s="137" t="str">
        <x:v>Not set — use original Final Copy Override cells</x:v>
      </x:c>
    </x:row>
    <x:row r="45" ht="42" customHeight="1">
      <x:c r="A45" s="128" t="str">
        <x:v>EX-035</x:v>
      </x:c>
      <x:c r="B45" s="134" t="str">
        <x:v>Exact phrase</x:v>
      </x:c>
      <x:c r="C45" s="143" t="str">
        <x:v>1 · Core journey</x:v>
      </x:c>
      <x:c r="D45" s="128" t="n">
        <x:v>627</x:v>
      </x:c>
      <x:c r="E45" s="128" t="str">
        <x:v>standard action / label</x:v>
      </x:c>
      <x:c r="F45" s="128" t="str">
        <x:v>Couldn’t save this trip just now. Your plan is still safe on this device.</x:v>
      </x:c>
      <x:c r="G45" s="128" t="n">
        <x:v>3</x:v>
      </x:c>
      <x:c r="H45" s="128" t="str">
        <x:v>MRV-09ACCF5CC1, MRV-89D03E97BA, MRV-D3FB0F18BD</x:v>
      </x:c>
      <x:c r="I45" s="128" t="str">
        <x:v>Planner recommendations</x:v>
      </x:c>
      <x:c r="J45" s="128" t="str">
        <x:v>changeRecommendation (Default) · savePlan (Default) · JourneyMapPlannerWorkspace (Default)</x:v>
      </x:c>
      <x:c r="K45" s="128" t="str">
        <x:v>Couldn’t save this trip just now. Your plan is still safe on this device.</x:v>
      </x:c>
      <x:c r="L45" s="128" t="str">
        <x:v>Should this shared wording stay identical across every listed surface?</x:v>
      </x:c>
      <x:c r="M45" s="128" t="str">
        <x:v>Use “trip” for the saved plan and its workspace. Keep “journey” only for editorial, brand-level language.</x:v>
      </x:c>
      <x:c r="N45" s="137" t="str">
        <x:v>Not set — use original Final Copy Override cells</x:v>
      </x:c>
    </x:row>
    <x:row r="46" ht="42" customHeight="1">
      <x:c r="A46" s="128" t="str">
        <x:v>EX-036</x:v>
      </x:c>
      <x:c r="B46" s="134" t="str">
        <x:v>Exact phrase</x:v>
      </x:c>
      <x:c r="C46" s="143" t="str">
        <x:v>1 · Core journey</x:v>
      </x:c>
      <x:c r="D46" s="128" t="n">
        <x:v>627</x:v>
      </x:c>
      <x:c r="E46" s="128" t="str">
        <x:v>contextual UX</x:v>
      </x:c>
      <x:c r="F46" s="128" t="str">
        <x:v>Morrovia home</x:v>
      </x:c>
      <x:c r="G46" s="128" t="n">
        <x:v>3</x:v>
      </x:c>
      <x:c r="H46" s="128" t="str">
        <x:v>MRV-8617E6C6A9, MRV-53ECAF7477, MRV-BA1F1488AC</x:v>
      </x:c>
      <x:c r="I46" s="128" t="str">
        <x:v>Primary navigation · Planner recommendations · Footer</x:v>
      </x:c>
      <x:c r="J46" s="128" t="str">
        <x:v>EasyTNavigation (Accessibility / input support) · JourneyPlannerStrip (Accessibility / input support) · MorroviaFooter (Accessibility / input support)</x:v>
      </x:c>
      <x:c r="K46" s="128" t="str">
        <x:v>Morrovia home</x:v>
      </x:c>
      <x:c r="L46" s="128" t="str">
        <x:v>Should this shared wording stay identical across every listed surface?</x:v>
      </x:c>
      <x:c r="M46" s="128" t="str">
        <x:v>Confirm a shared wording only if the same user intent applies. Keep surface-specific detail where the action or consequence differs.</x:v>
      </x:c>
      <x:c r="N46" s="137" t="str">
        <x:v>Not set — use original Final Copy Override cells</x:v>
      </x:c>
    </x:row>
    <x:row r="47" ht="42" customHeight="1">
      <x:c r="A47" s="128" t="str">
        <x:v>EX-037</x:v>
      </x:c>
      <x:c r="B47" s="134" t="str">
        <x:v>Exact phrase</x:v>
      </x:c>
      <x:c r="C47" s="143" t="str">
        <x:v>1 · Core journey</x:v>
      </x:c>
      <x:c r="D47" s="128" t="n">
        <x:v>627</x:v>
      </x:c>
      <x:c r="E47" s="128" t="str">
        <x:v>standard action / label</x:v>
      </x:c>
      <x:c r="F47" s="128" t="str">
        <x:v>Stay</x:v>
      </x:c>
      <x:c r="G47" s="128" t="n">
        <x:v>6</x:v>
      </x:c>
      <x:c r="H47" s="128" t="str">
        <x:v>MRV-79528F1751, MRV-8F2F9CB021, MRV-E1C45F39D2, MRV-44ED291C01, MRV-D48BD79187, MRV-D1FA71DC25</x:v>
      </x:c>
      <x:c r="I47" s="128" t="str">
        <x:v>Plan next · Trip mode · Planner recommendations · Map</x:v>
      </x:c>
      <x:c r="J47" s="128" t="str">
        <x:v>MapPlanNext (Default) · TripModeClient (Default) · saveLocalVenue (Default) · removeLocalVenue (Default) +2 more</x:v>
      </x:c>
      <x:c r="K47" s="128" t="str">
        <x:v>Stay</x:v>
      </x:c>
      <x:c r="L47" s="128" t="str">
        <x:v>Should this shared wording stay identical across every listed surface?</x:v>
      </x:c>
      <x:c r="M47" s="128" t="str">
        <x:v>Confirm a shared wording only if the same user intent applies. Keep surface-specific detail where the action or consequence differs.</x:v>
      </x:c>
      <x:c r="N47" s="137" t="str">
        <x:v>Not set — use original Final Copy Override cells</x:v>
      </x:c>
    </x:row>
    <x:row r="48" ht="42" customHeight="1">
      <x:c r="A48" s="128" t="str">
        <x:v>UX-005</x:v>
      </x:c>
      <x:c r="B48" s="134" t="str">
        <x:v>Near UX pattern</x:v>
      </x:c>
      <x:c r="C48" s="143" t="str">
        <x:v>1 · Core journey</x:v>
      </x:c>
      <x:c r="D48" s="128" t="n">
        <x:v>627</x:v>
      </x:c>
      <x:c r="E48" s="128" t="str">
        <x:v>loading / in progress</x:v>
      </x:c>
      <x:c r="F48" s="128" t="str">
        <x:v>loading / in progress · Body copy · support</x:v>
      </x:c>
      <x:c r="G48" s="128" t="n">
        <x:v>3</x:v>
      </x:c>
      <x:c r="H48" s="128" t="str">
        <x:v>MRV-C4B7ED4AF7, MRV-17D03E1437, MRV-092428A605</x:v>
      </x:c>
      <x:c r="I48" s="128" t="str">
        <x:v>Dashboard · Planner recommendations · Prep</x:v>
      </x:c>
      <x:c r="J48" s="128" t="str">
        <x:v>DashboardClient (Default) · JourneyMapPlannerWorkspace (Default) · tripDepartureCountdown (Default)</x:v>
      </x:c>
      <x:c r="K48" s="128" t="str">
        <x:v>Pick up the plan where you left it and keep shaping the details. | Morrovia is using your {customTrip.brief.budgetBand === "value" ? "good value" : customTrip.brief.budgetBand === "mid" ? "mid-range" : "no ceiling"} preference when shaping recommendations. | This trip is in progress.</x:v>
      </x:c>
      <x:c r="L48" s="128" t="str">
        <x:v>Set a consistent loading / in progress pattern for “Body copy” without erasing contextual detail.</x:v>
      </x:c>
      <x:c r="M48" s="128" t="str">
        <x:v>Use one short present-tense progress message. Explain preservation only when it reassures the traveller about their work.</x:v>
      </x:c>
      <x:c r="N48" s="137" t="str">
        <x:v>Not set — use original Final Copy Override cells</x:v>
      </x:c>
    </x:row>
    <x:row r="49" ht="42" customHeight="1">
      <x:c r="A49" s="128" t="str">
        <x:v>UX-006</x:v>
      </x:c>
      <x:c r="B49" s="134" t="str">
        <x:v>Near UX pattern</x:v>
      </x:c>
      <x:c r="C49" s="143" t="str">
        <x:v>1 · Core journey</x:v>
      </x:c>
      <x:c r="D49" s="128" t="n">
        <x:v>627</x:v>
      </x:c>
      <x:c r="E49" s="128" t="str">
        <x:v>loading / in progress</x:v>
      </x:c>
      <x:c r="F49" s="128" t="str">
        <x:v>loading / in progress · save · support</x:v>
      </x:c>
      <x:c r="G49" s="128" t="n">
        <x:v>3</x:v>
      </x:c>
      <x:c r="H49" s="128" t="str">
        <x:v>MRV-7174858666, MRV-E54A31EA9B, MRV-0EE6996B59</x:v>
      </x:c>
      <x:c r="I49" s="128" t="str">
        <x:v>Admin operations · New trip builder</x:v>
      </x:c>
      <x:c r="J49" s="128" t="str">
        <x:v>FeedbackTriageList (Loading / in progress) · RouteControls (Loading / in progress) · persistGeneratedTrip (Loading / in progress)</x:v>
      </x:c>
      <x:c r="K49" s="128" t="str">
        <x:v>Saving… | Ya existe una copia de recuperación en este dispositivo. Ábrela antes de guardar cambios desde la nube.</x:v>
      </x:c>
      <x:c r="L49" s="128" t="str">
        <x:v>Set a consistent loading / in progress pattern for “save” without erasing contextual detail.</x:v>
      </x:c>
      <x:c r="M49" s="128" t="str">
        <x:v>Use one short present-tense progress message. Explain preservation only when it reassures the traveller about their work.</x:v>
      </x:c>
      <x:c r="N49" s="137" t="str">
        <x:v>Not set — use original Final Copy Override cells</x:v>
      </x:c>
    </x:row>
    <x:row r="50" ht="42" customHeight="1">
      <x:c r="A50" s="128" t="str">
        <x:v>EX-038</x:v>
      </x:c>
      <x:c r="B50" s="134" t="str">
        <x:v>Exact phrase</x:v>
      </x:c>
      <x:c r="C50" s="143" t="str">
        <x:v>1 · Core journey</x:v>
      </x:c>
      <x:c r="D50" s="128" t="n">
        <x:v>626</x:v>
      </x:c>
      <x:c r="E50" s="128" t="str">
        <x:v>standard action / label</x:v>
      </x:c>
      <x:c r="F50" s="128" t="str">
        <x:v>“{issue.sourceText.trim()}”</x:v>
      </x:c>
      <x:c r="G50" s="128" t="n">
        <x:v>2</x:v>
      </x:c>
      <x:c r="H50" s="128" t="str">
        <x:v>MRV-4E95790541, MRV-4753B44530</x:v>
      </x:c>
      <x:c r="I50" s="128" t="str">
        <x:v>Planner recommendations</x:v>
      </x:c>
      <x:c r="J50" s="128" t="str">
        <x:v>place (Default)</x:v>
      </x:c>
      <x:c r="K50" s="128" t="str">
        <x:v>“{issue.sourceText.trim()}”</x:v>
      </x:c>
      <x:c r="L50" s="128" t="str">
        <x:v>Should this shared wording stay identical across every listed surface?</x:v>
      </x:c>
      <x:c r="M50" s="128" t="str">
        <x:v>Confirm a shared wording only if the same user intent applies. Keep surface-specific detail where the action or consequence differs.</x:v>
      </x:c>
      <x:c r="N50" s="137" t="str">
        <x:v>Not set — use original Final Copy Override cells</x:v>
      </x:c>
    </x:row>
    <x:row r="51" ht="42" customHeight="1">
      <x:c r="A51" s="128" t="str">
        <x:v>EX-039</x:v>
      </x:c>
      <x:c r="B51" s="134" t="str">
        <x:v>Exact phrase</x:v>
      </x:c>
      <x:c r="C51" s="143" t="str">
        <x:v>1 · Core journey</x:v>
      </x:c>
      <x:c r="D51" s="128" t="n">
        <x:v>626</x:v>
      </x:c>
      <x:c r="E51" s="128" t="str">
        <x:v>standard action / label</x:v>
      </x:c>
      <x:c r="F51" s="128" t="str">
        <x:v>{customTrip.id}-calendar-{item.dayNumber}</x:v>
      </x:c>
      <x:c r="G51" s="128" t="n">
        <x:v>2</x:v>
      </x:c>
      <x:c r="H51" s="128" t="str">
        <x:v>MRV-580D8D4B39, MRV-16267BD4F2</x:v>
      </x:c>
      <x:c r="I51" s="128" t="str">
        <x:v>Planner recommendations</x:v>
      </x:c>
      <x:c r="J51" s="128" t="str">
        <x:v>selectedPlanItem (Default) · JourneyMapPlannerWorkspace (Default)</x:v>
      </x:c>
      <x:c r="K51" s="128" t="str">
        <x:v>{customTrip.id}-calendar-{item.dayNumber}</x:v>
      </x:c>
      <x:c r="L51" s="128" t="str">
        <x:v>Should this shared wording stay identical across every listed surface?</x:v>
      </x:c>
      <x:c r="M51" s="128" t="str">
        <x:v>Confirm a shared wording only if the same user intent applies. Keep surface-specific detail where the action or consequence differs.</x:v>
      </x:c>
      <x:c r="N51" s="137" t="str">
        <x:v>Not set — use original Final Copy Override cells</x:v>
      </x:c>
    </x:row>
    <x:row r="52" ht="42" customHeight="1">
      <x:c r="A52" s="128" t="str">
        <x:v>EX-040</x:v>
      </x:c>
      <x:c r="B52" s="134" t="str">
        <x:v>Exact phrase</x:v>
      </x:c>
      <x:c r="C52" s="143" t="str">
        <x:v>1 · Core journey</x:v>
      </x:c>
      <x:c r="D52" s="128" t="n">
        <x:v>626</x:v>
      </x:c>
      <x:c r="E52" s="128" t="str">
        <x:v>standard action / label</x:v>
      </x:c>
      <x:c r="F52" s="128" t="str">
        <x:v>{health?.openIssueCount ?? 0} {language === "es" ? "revisiones" : "to review"}</x:v>
      </x:c>
      <x:c r="G52" s="128" t="n">
        <x:v>2</x:v>
      </x:c>
      <x:c r="H52" s="128" t="str">
        <x:v>MRV-5692F5445B, MRV-5A2DDE9122</x:v>
      </x:c>
      <x:c r="I52" s="128" t="str">
        <x:v>Planner recommendations</x:v>
      </x:c>
      <x:c r="J52" s="128" t="str">
        <x:v>JourneyMapPlannerWorkspace (Default)</x:v>
      </x:c>
      <x:c r="K52" s="128" t="str">
        <x:v>{health?.openIssueCount ?? 0} {language === "es" ? "revisiones" : "to review"}</x:v>
      </x:c>
      <x:c r="L52" s="128" t="str">
        <x:v>Should this shared wording stay identical across every listed surface?</x:v>
      </x:c>
      <x:c r="M52" s="128" t="str">
        <x:v>Confirm a shared wording only if the same user intent applies. Keep surface-specific detail where the action or consequence differs.</x:v>
      </x:c>
      <x:c r="N52" s="137" t="str">
        <x:v>Not set — use original Final Copy Override cells</x:v>
      </x:c>
    </x:row>
    <x:row r="53" ht="42" customHeight="1">
      <x:c r="A53" s="128" t="str">
        <x:v>EX-041</x:v>
      </x:c>
      <x:c r="B53" s="134" t="str">
        <x:v>Exact phrase</x:v>
      </x:c>
      <x:c r="C53" s="143" t="str">
        <x:v>1 · Core journey</x:v>
      </x:c>
      <x:c r="D53" s="128" t="n">
        <x:v>626</x:v>
      </x:c>
      <x:c r="E53" s="128" t="str">
        <x:v>standard action / label</x:v>
      </x:c>
      <x:c r="F53" s="128" t="str">
        <x:v>{startDate}T00:00:00</x:v>
      </x:c>
      <x:c r="G53" s="128" t="n">
        <x:v>5</x:v>
      </x:c>
      <x:c r="H53" s="128" t="str">
        <x:v>MRV-06B5B79CC3, MRV-B59BF8062B, MRV-36B6015A0F, MRV-1E85B023E8, MRV-30848F8ABC</x:v>
      </x:c>
      <x:c r="I53" s="128" t="str">
        <x:v>New trip builder · Planner recommendations</x:v>
      </x:c>
      <x:c r="J53" s="128" t="str">
        <x:v>d (Default) · nextEnd (Default) · date (Default) · routeArrivalDate (Default)</x:v>
      </x:c>
      <x:c r="K53" s="128" t="str">
        <x:v>{startDate}T00:00:00</x:v>
      </x:c>
      <x:c r="L53" s="128" t="str">
        <x:v>Should this shared wording stay identical across every listed surface?</x:v>
      </x:c>
      <x:c r="M53" s="128" t="str">
        <x:v>Confirm a shared wording only if the same user intent applies. Keep surface-specific detail where the action or consequence differs.</x:v>
      </x:c>
      <x:c r="N53" s="137" t="str">
        <x:v>Not set — use original Final Copy Override cells</x:v>
      </x:c>
    </x:row>
    <x:row r="54" ht="42" customHeight="1">
      <x:c r="A54" s="128" t="str">
        <x:v>EX-042</x:v>
      </x:c>
      <x:c r="B54" s="134" t="str">
        <x:v>Exact phrase</x:v>
      </x:c>
      <x:c r="C54" s="143" t="str">
        <x:v>1 · Core journey</x:v>
      </x:c>
      <x:c r="D54" s="128" t="n">
        <x:v>626</x:v>
      </x:c>
      <x:c r="E54" s="128" t="str">
        <x:v>standard action / label</x:v>
      </x:c>
      <x:c r="F54" s="128" t="str">
        <x:v>{trip.startDate}T00:00:00</x:v>
      </x:c>
      <x:c r="G54" s="128" t="n">
        <x:v>2</x:v>
      </x:c>
      <x:c r="H54" s="128" t="str">
        <x:v>MRV-2BB0403F5A, MRV-35DA3CE561</x:v>
      </x:c>
      <x:c r="I54" s="128" t="str">
        <x:v>Planner recommendations</x:v>
      </x:c>
      <x:c r="J54" s="128" t="str">
        <x:v>date (Default) · totalDaysFor (Default)</x:v>
      </x:c>
      <x:c r="K54" s="128" t="str">
        <x:v>{trip.startDate}T00:00:00</x:v>
      </x:c>
      <x:c r="L54" s="128" t="str">
        <x:v>Should this shared wording stay identical across every listed surface?</x:v>
      </x:c>
      <x:c r="M54" s="128" t="str">
        <x:v>Use “trip” for the saved plan and its workspace. Keep “journey” only for editorial, brand-level language.</x:v>
      </x:c>
      <x:c r="N54" s="137" t="str">
        <x:v>Not set — use original Final Copy Override cells</x:v>
      </x:c>
    </x:row>
    <x:row r="55" ht="42" customHeight="1">
      <x:c r="A55" s="128" t="str">
        <x:v>EX-043</x:v>
      </x:c>
      <x:c r="B55" s="134" t="str">
        <x:v>Exact phrase</x:v>
      </x:c>
      <x:c r="C55" s="143" t="str">
        <x:v>1 · Core journey</x:v>
      </x:c>
      <x:c r="D55" s="128" t="n">
        <x:v>626</x:v>
      </x:c>
      <x:c r="E55" s="128" t="str">
        <x:v>standard action / label</x:v>
      </x:c>
      <x:c r="F55" s="128" t="str">
        <x:v>de traslado reduce el tiempo aprovechable allí.</x:v>
      </x:c>
      <x:c r="G55" s="128" t="n">
        <x:v>2</x:v>
      </x:c>
      <x:c r="H55" s="128" t="str">
        <x:v>MRV-9C76019B1A, MRV-2545039088</x:v>
      </x:c>
      <x:c r="I55" s="128" t="str">
        <x:v>New trip builder</x:v>
      </x:c>
      <x:c r="J55" s="128" t="str">
        <x:v>TripBuilderDocument (Default)</x:v>
      </x:c>
      <x:c r="K55" s="128" t="str">
        <x:v>de traslado reduce el tiempo aprovechable allí.</x:v>
      </x:c>
      <x:c r="L55" s="128" t="str">
        <x:v>Should this shared wording stay identical across every listed surface?</x:v>
      </x:c>
      <x:c r="M55" s="128" t="str">
        <x:v>Confirm a shared wording only if the same user intent applies. Keep surface-specific detail where the action or consequence differs.</x:v>
      </x:c>
      <x:c r="N55" s="137" t="str">
        <x:v>Not set — use original Final Copy Override cells</x:v>
      </x:c>
    </x:row>
    <x:row r="56" ht="42" customHeight="1">
      <x:c r="A56" s="128" t="str">
        <x:v>EX-044</x:v>
      </x:c>
      <x:c r="B56" s="134" t="str">
        <x:v>Exact phrase</x:v>
      </x:c>
      <x:c r="C56" s="143" t="str">
        <x:v>1 · Core journey</x:v>
      </x:c>
      <x:c r="D56" s="128" t="n">
        <x:v>626</x:v>
      </x:c>
      <x:c r="E56" s="128" t="str">
        <x:v>standard action / label</x:v>
      </x:c>
      <x:c r="F56" s="128" t="str">
        <x:v>Long journey to {specificTimingIssue.stop.name}</x:v>
      </x:c>
      <x:c r="G56" s="128" t="n">
        <x:v>2</x:v>
      </x:c>
      <x:c r="H56" s="128" t="str">
        <x:v>MRV-51FDA19DD7, MRV-565A7AB3F1</x:v>
      </x:c>
      <x:c r="I56" s="128" t="str">
        <x:v>New trip builder</x:v>
      </x:c>
      <x:c r="J56" s="128" t="str">
        <x:v>TripBuilderDocument (Default)</x:v>
      </x:c>
      <x:c r="K56" s="128" t="str">
        <x:v>Long journey to {specificTimingIssue.stop.name}</x:v>
      </x:c>
      <x:c r="L56" s="128" t="str">
        <x:v>Should this shared wording stay identical across every listed surface?</x:v>
      </x:c>
      <x:c r="M56" s="128" t="str">
        <x:v>Use “trip” for the saved plan and its workspace. Keep “journey” only for editorial, brand-level language.</x:v>
      </x:c>
      <x:c r="N56" s="137" t="str">
        <x:v>Not set — use original Final Copy Override cells</x:v>
      </x:c>
    </x:row>
    <x:row r="57" ht="42" customHeight="1">
      <x:c r="A57" s="128" t="str">
        <x:v>EX-045</x:v>
      </x:c>
      <x:c r="B57" s="134" t="str">
        <x:v>Exact phrase</x:v>
      </x:c>
      <x:c r="C57" s="143" t="str">
        <x:v>1 · Core journey</x:v>
      </x:c>
      <x:c r="D57" s="128" t="n">
        <x:v>626</x:v>
      </x:c>
      <x:c r="E57" s="128" t="str">
        <x:v>contextual UX</x:v>
      </x:c>
      <x:c r="F57" s="128" t="str">
        <x:v>Move {stop.name} down</x:v>
      </x:c>
      <x:c r="G57" s="128" t="n">
        <x:v>2</x:v>
      </x:c>
      <x:c r="H57" s="128" t="str">
        <x:v>MRV-98EE4E05B7, MRV-69516D309B</x:v>
      </x:c>
      <x:c r="I57" s="128" t="str">
        <x:v>New trip builder</x:v>
      </x:c>
      <x:c r="J57" s="128" t="str">
        <x:v>TripBuilderDocument (Accessibility / input support)</x:v>
      </x:c>
      <x:c r="K57" s="128" t="str">
        <x:v>Move {stop.name} down</x:v>
      </x:c>
      <x:c r="L57" s="128" t="str">
        <x:v>Should this shared wording stay identical across every listed surface?</x:v>
      </x:c>
      <x:c r="M57" s="128" t="str">
        <x:v>Use “stop” for a selected itinerary item; “destination” for a city or region choice; “place” for a generic search result.</x:v>
      </x:c>
      <x:c r="N57" s="137" t="str">
        <x:v>Not set — use original Final Copy Override cells</x:v>
      </x:c>
    </x:row>
    <x:row r="58" ht="42" customHeight="1">
      <x:c r="A58" s="128" t="str">
        <x:v>EX-046</x:v>
      </x:c>
      <x:c r="B58" s="134" t="str">
        <x:v>Exact phrase</x:v>
      </x:c>
      <x:c r="C58" s="143" t="str">
        <x:v>1 · Core journey</x:v>
      </x:c>
      <x:c r="D58" s="128" t="n">
        <x:v>626</x:v>
      </x:c>
      <x:c r="E58" s="128" t="str">
        <x:v>contextual UX</x:v>
      </x:c>
      <x:c r="F58" s="128" t="str">
        <x:v>Move {stop.name} up</x:v>
      </x:c>
      <x:c r="G58" s="128" t="n">
        <x:v>2</x:v>
      </x:c>
      <x:c r="H58" s="128" t="str">
        <x:v>MRV-760DA191DD, MRV-9A62817DD3</x:v>
      </x:c>
      <x:c r="I58" s="128" t="str">
        <x:v>New trip builder</x:v>
      </x:c>
      <x:c r="J58" s="128" t="str">
        <x:v>TripBuilderDocument (Accessibility / input support)</x:v>
      </x:c>
      <x:c r="K58" s="128" t="str">
        <x:v>Move {stop.name} up</x:v>
      </x:c>
      <x:c r="L58" s="128" t="str">
        <x:v>Should this shared wording stay identical across every listed surface?</x:v>
      </x:c>
      <x:c r="M58" s="128" t="str">
        <x:v>Use “stop” for a selected itinerary item; “destination” for a city or region choice; “place” for a generic search result.</x:v>
      </x:c>
      <x:c r="N58" s="137" t="str">
        <x:v>Not set — use original Final Copy Override cells</x:v>
      </x:c>
    </x:row>
    <x:row r="59" ht="42" customHeight="1">
      <x:c r="A59" s="128" t="str">
        <x:v>EX-047</x:v>
      </x:c>
      <x:c r="B59" s="134" t="str">
        <x:v>Exact phrase</x:v>
      </x:c>
      <x:c r="C59" s="143" t="str">
        <x:v>1 · Core journey</x:v>
      </x:c>
      <x:c r="D59" s="128" t="n">
        <x:v>626</x:v>
      </x:c>
      <x:c r="E59" s="128" t="str">
        <x:v>standard action / label</x:v>
      </x:c>
      <x:c r="F59" s="128" t="str">
        <x:v>This trip changed on another device. Your edits are still on this device; reload the cloud copy before editing again.</x:v>
      </x:c>
      <x:c r="G59" s="128" t="n">
        <x:v>2</x:v>
      </x:c>
      <x:c r="H59" s="128" t="str">
        <x:v>MRV-1024856965, MRV-20FFF8E544</x:v>
      </x:c>
      <x:c r="I59" s="128" t="str">
        <x:v>Planner recommendations</x:v>
      </x:c>
      <x:c r="J59" s="128" t="str">
        <x:v>changeRecommendation (Default) · savePlan (Default)</x:v>
      </x:c>
      <x:c r="K59" s="128" t="str">
        <x:v>This trip changed on another device. Your edits are still on this device; reload the cloud copy before editing again.</x:v>
      </x:c>
      <x:c r="L59" s="128" t="str">
        <x:v>Should this shared wording stay identical across every listed surface?</x:v>
      </x:c>
      <x:c r="M59" s="128" t="str">
        <x:v>Use “trip” for the saved plan and its workspace. Keep “journey” only for editorial, brand-level language.</x:v>
      </x:c>
      <x:c r="N59" s="137" t="str">
        <x:v>Not set — use original Final Copy Override cells</x:v>
      </x:c>
    </x:row>
    <x:row r="60" ht="42" customHeight="1">
      <x:c r="A60" s="128" t="str">
        <x:v>EX-048</x:v>
      </x:c>
      <x:c r="B60" s="134" t="str">
        <x:v>Exact phrase</x:v>
      </x:c>
      <x:c r="C60" s="143" t="str">
        <x:v>1 · Core journey</x:v>
      </x:c>
      <x:c r="D60" s="128" t="n">
        <x:v>626</x:v>
      </x:c>
      <x:c r="E60" s="128" t="str">
        <x:v>standard action / label</x:v>
      </x:c>
      <x:c r="F60" s="128" t="str">
        <x:v>transfer reduces your usable time there.</x:v>
      </x:c>
      <x:c r="G60" s="128" t="n">
        <x:v>2</x:v>
      </x:c>
      <x:c r="H60" s="128" t="str">
        <x:v>MRV-579A5F7962, MRV-4E48BD1D88</x:v>
      </x:c>
      <x:c r="I60" s="128" t="str">
        <x:v>New trip builder</x:v>
      </x:c>
      <x:c r="J60" s="128" t="str">
        <x:v>TripBuilderDocument (Default)</x:v>
      </x:c>
      <x:c r="K60" s="128" t="str">
        <x:v>transfer reduces your usable time there.</x:v>
      </x:c>
      <x:c r="L60" s="128" t="str">
        <x:v>Should this shared wording stay identical across every listed surface?</x:v>
      </x:c>
      <x:c r="M60" s="128" t="str">
        <x:v>Confirm a shared wording only if the same user intent applies. Keep surface-specific detail where the action or consequence differs.</x:v>
      </x:c>
      <x:c r="N60" s="137" t="str">
        <x:v>Not set — use original Final Copy Override cells</x:v>
      </x:c>
    </x:row>
    <x:row r="61" ht="42" customHeight="1">
      <x:c r="A61" s="128" t="str">
        <x:v>EX-049</x:v>
      </x:c>
      <x:c r="B61" s="134" t="str">
        <x:v>Exact phrase</x:v>
      </x:c>
      <x:c r="C61" s="143" t="str">
        <x:v>1 · Core journey</x:v>
      </x:c>
      <x:c r="D61" s="128" t="n">
        <x:v>626</x:v>
      </x:c>
      <x:c r="E61" s="128" t="str">
        <x:v>standard action / label</x:v>
      </x:c>
      <x:c r="F61" s="128" t="str">
        <x:v>TRIP PREP</x:v>
      </x:c>
      <x:c r="G61" s="128" t="n">
        <x:v>5</x:v>
      </x:c>
      <x:c r="H61" s="128" t="str">
        <x:v>MRV-DF1E4675F4, MRV-AF533C9B18, MRV-AD7715B76E, MRV-DFD2057311, MRV-568EB702B7</x:v>
      </x:c>
      <x:c r="I61" s="128" t="str">
        <x:v>Prep · Planner recommendations</x:v>
      </x:c>
      <x:c r="J61" s="128" t="str">
        <x:v>TripPrepClient (Default) · TripPrepWorkspace (Default) · JourneyMapPlannerWorkspace (Default)</x:v>
      </x:c>
      <x:c r="K61" s="128" t="str">
        <x:v>TRIP PREP | Trip prep</x:v>
      </x:c>
      <x:c r="L61" s="128" t="str">
        <x:v>Should this shared wording stay identical across every listed surface?</x:v>
      </x:c>
      <x:c r="M61" s="128" t="str">
        <x:v>Use “trip” for the saved plan and its workspace. Keep “journey” only for editorial, brand-level language.</x:v>
      </x:c>
      <x:c r="N61" s="137" t="str">
        <x:v>Not set — use original Final Copy Override cells</x:v>
      </x:c>
    </x:row>
    <x:row r="62" ht="42" customHeight="1">
      <x:c r="A62" s="128" t="str">
        <x:v>EX-050</x:v>
      </x:c>
      <x:c r="B62" s="134" t="str">
        <x:v>Exact phrase</x:v>
      </x:c>
      <x:c r="C62" s="143" t="str">
        <x:v>1 · Core journey</x:v>
      </x:c>
      <x:c r="D62" s="128" t="n">
        <x:v>626</x:v>
      </x:c>
      <x:c r="E62" s="128" t="str">
        <x:v>standard action / label</x:v>
      </x:c>
      <x:c r="F62" s="128" t="str">
        <x:v>venue-{selectedPlanItem.dayNumber}-{category}-{venue.name.toLowerCase().replace(/[^a-z0-9]+/g, "-")}</x:v>
      </x:c>
      <x:c r="G62" s="128" t="n">
        <x:v>2</x:v>
      </x:c>
      <x:c r="H62" s="128" t="str">
        <x:v>MRV-4028106E7E, MRV-8E681354D5</x:v>
      </x:c>
      <x:c r="I62" s="128" t="str">
        <x:v>Planner recommendations</x:v>
      </x:c>
      <x:c r="J62" s="128" t="str">
        <x:v>id (Default)</x:v>
      </x:c>
      <x:c r="K62" s="128" t="str">
        <x:v>venue-{selectedPlanItem.dayNumber}-{category}-{venue.name.toLowerCase().replace(/[^a-z0-9]+/g, "-")}</x:v>
      </x:c>
      <x:c r="L62" s="128" t="str">
        <x:v>Should this shared wording stay identical across every listed surface?</x:v>
      </x:c>
      <x:c r="M62" s="128" t="str">
        <x:v>Confirm a shared wording only if the same user intent applies. Keep surface-specific detail where the action or consequence differs.</x:v>
      </x:c>
      <x:c r="N62" s="137" t="str">
        <x:v>Not set — use original Final Copy Override cells</x:v>
      </x:c>
    </x:row>
    <x:row r="63" ht="42" customHeight="1">
      <x:c r="A63" s="128" t="str">
        <x:v>EX-051</x:v>
      </x:c>
      <x:c r="B63" s="134" t="str">
        <x:v>Exact phrase</x:v>
      </x:c>
      <x:c r="C63" s="143" t="str">
        <x:v>1 · Core journey</x:v>
      </x:c>
      <x:c r="D63" s="128" t="n">
        <x:v>626</x:v>
      </x:c>
      <x:c r="E63" s="128" t="str">
        <x:v>standard action / label</x:v>
      </x:c>
      <x:c r="F63" s="128" t="str">
        <x:v>Viaje largo a {specificTimingIssue.stop.name}</x:v>
      </x:c>
      <x:c r="G63" s="128" t="n">
        <x:v>2</x:v>
      </x:c>
      <x:c r="H63" s="128" t="str">
        <x:v>MRV-83A987118B, MRV-8AAF7AE719</x:v>
      </x:c>
      <x:c r="I63" s="128" t="str">
        <x:v>New trip builder</x:v>
      </x:c>
      <x:c r="J63" s="128" t="str">
        <x:v>TripBuilderDocument (Default)</x:v>
      </x:c>
      <x:c r="K63" s="128" t="str">
        <x:v>Viaje largo a {specificTimingIssue.stop.name}</x:v>
      </x:c>
      <x:c r="L63" s="128" t="str">
        <x:v>Should this shared wording stay identical across every listed surface?</x:v>
      </x:c>
      <x:c r="M63" s="128" t="str">
        <x:v>Use “stop” for a selected itinerary item; “destination” for a city or region choice; “place” for a generic search result.</x:v>
      </x:c>
      <x:c r="N63" s="137" t="str">
        <x:v>Not set — use original Final Copy Override cells</x:v>
      </x:c>
    </x:row>
    <x:row r="64" ht="42" customHeight="1">
      <x:c r="A64" s="128" t="str">
        <x:v>UX-007</x:v>
      </x:c>
      <x:c r="B64" s="134" t="str">
        <x:v>Near UX pattern</x:v>
      </x:c>
      <x:c r="C64" s="143" t="str">
        <x:v>1 · Core journey</x:v>
      </x:c>
      <x:c r="D64" s="128" t="n">
        <x:v>626</x:v>
      </x:c>
      <x:c r="E64" s="128" t="str">
        <x:v>onboarding / empty</x:v>
      </x:c>
      <x:c r="F64" s="128" t="str">
        <x:v>onboarding / empty · review / verify · support</x:v>
      </x:c>
      <x:c r="G64" s="128" t="n">
        <x:v>2</x:v>
      </x:c>
      <x:c r="H64" s="128" t="str">
        <x:v>MRV-FD257A5A47, MRV-547437D1BB</x:v>
      </x:c>
      <x:c r="I64" s="128" t="str">
        <x:v>Dashboard · Planner recommendations</x:v>
      </x:c>
      <x:c r="J64" s="128" t="str">
        <x:v>DashboardClient (Empty state) · emptyJourneyDay (Default)</x:v>
      </x:c>
      <x:c r="K64" s="128" t="str">
        <x:v>Nothing will be created or hidden while this safety check finishes. | Itinerary to confirm</x:v>
      </x:c>
      <x:c r="L64" s="128" t="str">
        <x:v>Set a consistent onboarding / empty pattern for “review / verify” without erasing contextual detail.</x:v>
      </x:c>
      <x:c r="M64" s="128" t="str">
        <x:v>Lead with the next useful action. Keep supporting explanation short and specific to this empty state.</x:v>
      </x:c>
      <x:c r="N64" s="137" t="str">
        <x:v>Not set — use original Final Copy Override cells</x:v>
      </x:c>
    </x:row>
    <x:row r="65" ht="42" customHeight="1">
      <x:c r="A65" s="128" t="str">
        <x:v>EX-052</x:v>
      </x:c>
      <x:c r="B65" s="134" t="str">
        <x:v>Exact phrase</x:v>
      </x:c>
      <x:c r="C65" s="143" t="str">
        <x:v>1 · Core journey</x:v>
      </x:c>
      <x:c r="D65" s="128" t="n">
        <x:v>625</x:v>
      </x:c>
      <x:c r="E65" s="128" t="str">
        <x:v>standard action / label</x:v>
      </x:c>
      <x:c r="F65" s="128" t="str">
        <x:v>Escape</x:v>
      </x:c>
      <x:c r="G65" s="128" t="n">
        <x:v>4</x:v>
      </x:c>
      <x:c r="H65" s="128" t="str">
        <x:v>MRV-45323189F7, MRV-86BDDA0482, MRV-309BB7F8F2, MRV-84CA34B2A7</x:v>
      </x:c>
      <x:c r="I65" s="128" t="str">
        <x:v>New trip builder · Stamps · Tour / How it works · Planner recommendations</x:v>
      </x:c>
      <x:c r="J65" s="128" t="str">
        <x:v>onKeyDown (Default) · closeOnEscape (Default) · trapFocus (Default)</x:v>
      </x:c>
      <x:c r="K65" s="128" t="str">
        <x:v>Escape</x:v>
      </x:c>
      <x:c r="L65" s="128" t="str">
        <x:v>Should this shared wording stay identical across every listed surface?</x:v>
      </x:c>
      <x:c r="M65" s="128" t="str">
        <x:v>Confirm a shared wording only if the same user intent applies. Keep surface-specific detail where the action or consequence differs.</x:v>
      </x:c>
      <x:c r="N65" s="137" t="str">
        <x:v>Not set — use original Final Copy Override cells</x:v>
      </x:c>
    </x:row>
    <x:row r="66" ht="42" customHeight="1">
      <x:c r="A66" s="128" t="str">
        <x:v>EX-053</x:v>
      </x:c>
      <x:c r="B66" s="134" t="str">
        <x:v>Exact phrase</x:v>
      </x:c>
      <x:c r="C66" s="143" t="str">
        <x:v>1 · Core journey</x:v>
      </x:c>
      <x:c r="D66" s="128" t="n">
        <x:v>625</x:v>
      </x:c>
      <x:c r="E66" s="128" t="str">
        <x:v>standard action / label · contextual UX</x:v>
      </x:c>
      <x:c r="F66" s="128" t="str">
        <x:v>the next stop</x:v>
      </x:c>
      <x:c r="G66" s="128" t="n">
        <x:v>4</x:v>
      </x:c>
      <x:c r="H66" s="128" t="str">
        <x:v>MRV-F036FA8DBD, MRV-0EC49004E8, MRV-F3F6D5846E, MRV-C0AACE63BF</x:v>
      </x:c>
      <x:c r="I66" s="128" t="str">
        <x:v>Planner recommendations</x:v>
      </x:c>
      <x:c r="J66" s="128" t="str">
        <x:v>destination (Default) · destination (Missing data / not found)</x:v>
      </x:c>
      <x:c r="K66" s="128" t="str">
        <x:v>the next stop</x:v>
      </x:c>
      <x:c r="L66" s="128" t="str">
        <x:v>Should this shared wording stay identical across every listed surface?</x:v>
      </x:c>
      <x:c r="M66" s="128" t="str">
        <x:v>Use “stop” for a selected itinerary item; “destination” for a city or region choice; “place” for a generic search result.</x:v>
      </x:c>
      <x:c r="N66" s="137" t="str">
        <x:v>Not set — use original Final Copy Override cells</x:v>
      </x:c>
    </x:row>
    <x:row r="67" ht="42" customHeight="1">
      <x:c r="A67" s="128" t="str">
        <x:v>EX-054</x:v>
      </x:c>
      <x:c r="B67" s="134" t="str">
        <x:v>Exact phrase</x:v>
      </x:c>
      <x:c r="C67" s="143" t="str">
        <x:v>1 · Core journey</x:v>
      </x:c>
      <x:c r="D67" s="128" t="n">
        <x:v>625</x:v>
      </x:c>
      <x:c r="E67" s="128" t="str">
        <x:v>standard action / label</x:v>
      </x:c>
      <x:c r="F67" s="128" t="str">
        <x:v>To confirm</x:v>
      </x:c>
      <x:c r="G67" s="128" t="n">
        <x:v>4</x:v>
      </x:c>
      <x:c r="H67" s="128" t="str">
        <x:v>MRV-B225F07B3A, MRV-91CFA8D32C, MRV-62E6F0A8E4, MRV-46DE36D86C</x:v>
      </x:c>
      <x:c r="I67" s="128" t="str">
        <x:v>Plan next · Planner recommendations</x:v>
      </x:c>
      <x:c r="J67" s="128" t="str">
        <x:v>MapPlanNext (Default) · JourneyMapPlannerWorkspace (Default)</x:v>
      </x:c>
      <x:c r="K67" s="128" t="str">
        <x:v>To confirm</x:v>
      </x:c>
      <x:c r="L67" s="128" t="str">
        <x:v>Should this shared wording stay identical across every listed surface?</x:v>
      </x:c>
      <x:c r="M67" s="128" t="str">
        <x:v>Confirm a shared wording only if the same user intent applies. Keep surface-specific detail where the action or consequence differs.</x:v>
      </x:c>
      <x:c r="N67" s="137" t="str">
        <x:v>Not set — use original Final Copy Override cells</x:v>
      </x:c>
    </x:row>
    <x:row r="68" ht="42" customHeight="1">
      <x:c r="A68" s="128" t="str">
        <x:v>EX-055</x:v>
      </x:c>
      <x:c r="B68" s="134" t="str">
        <x:v>Exact phrase</x:v>
      </x:c>
      <x:c r="C68" s="143" t="str">
        <x:v>1 · Core journey</x:v>
      </x:c>
      <x:c r="D68" s="128" t="n">
        <x:v>624</x:v>
      </x:c>
      <x:c r="E68" s="128" t="str">
        <x:v>standard action / label</x:v>
      </x:c>
      <x:c r="F68" s="128" t="str">
        <x:v>Abrir copia del dispositivo</x:v>
      </x:c>
      <x:c r="G68" s="128" t="n">
        <x:v>3</x:v>
      </x:c>
      <x:c r="H68" s="128" t="str">
        <x:v>MRV-8F9F1C3D2B, MRV-6115102E0B, MRV-7C7C8F5556</x:v>
      </x:c>
      <x:c r="I68" s="128" t="str">
        <x:v>Dashboard · New trip builder · Planner recommendations</x:v>
      </x:c>
      <x:c r="J68" s="128" t="str">
        <x:v>DashboardClient (Default) · TripBuilderDocument (Default) · JourneyMapPlannerWorkspace (Default)</x:v>
      </x:c>
      <x:c r="K68" s="128" t="str">
        <x:v>Abrir copia del dispositivo</x:v>
      </x:c>
      <x:c r="L68" s="128" t="str">
        <x:v>Should this shared wording stay identical across every listed surface?</x:v>
      </x:c>
      <x:c r="M68" s="128" t="str">
        <x:v>Confirm a shared wording only if the same user intent applies. Keep surface-specific detail where the action or consequence differs.</x:v>
      </x:c>
      <x:c r="N68" s="137" t="str">
        <x:v>Not set — use original Final Copy Override cells</x:v>
      </x:c>
    </x:row>
    <x:row r="69" ht="42" customHeight="1">
      <x:c r="A69" s="128" t="str">
        <x:v>EX-056</x:v>
      </x:c>
      <x:c r="B69" s="134" t="str">
        <x:v>Exact phrase</x:v>
      </x:c>
      <x:c r="C69" s="143" t="str">
        <x:v>1 · Core journey</x:v>
      </x:c>
      <x:c r="D69" s="128" t="n">
        <x:v>624</x:v>
      </x:c>
      <x:c r="E69" s="128" t="str">
        <x:v>standard action / label</x:v>
      </x:c>
      <x:c r="F69" s="128" t="str">
        <x:v>Accommodation</x:v>
      </x:c>
      <x:c r="G69" s="128" t="n">
        <x:v>3</x:v>
      </x:c>
      <x:c r="H69" s="128" t="str">
        <x:v>MRV-62231194C5, MRV-3A9709C6C2, MRV-6A28A7B3D8</x:v>
      </x:c>
      <x:c r="I69" s="128" t="str">
        <x:v>Plan next · Planner recommendations · Prep</x:v>
      </x:c>
      <x:c r="J69" s="128" t="str">
        <x:v>MapPlanNext (Default) · JourneyMapPlannerWorkspace (Default) · deriveTripPrepTasks (Default)</x:v>
      </x:c>
      <x:c r="K69" s="128" t="str">
        <x:v>Accommodation</x:v>
      </x:c>
      <x:c r="L69" s="128" t="str">
        <x:v>Should this shared wording stay identical across every listed surface?</x:v>
      </x:c>
      <x:c r="M69" s="128" t="str">
        <x:v>Confirm a shared wording only if the same user intent applies. Keep surface-specific detail where the action or consequence differs.</x:v>
      </x:c>
      <x:c r="N69" s="137" t="str">
        <x:v>Not set — use original Final Copy Override cells</x:v>
      </x:c>
    </x:row>
    <x:row r="70" ht="42" customHeight="1">
      <x:c r="A70" s="128" t="str">
        <x:v>EX-057</x:v>
      </x:c>
      <x:c r="B70" s="134" t="str">
        <x:v>Exact phrase</x:v>
      </x:c>
      <x:c r="C70" s="143" t="str">
        <x:v>1 · Core journey</x:v>
      </x:c>
      <x:c r="D70" s="128" t="n">
        <x:v>624</x:v>
      </x:c>
      <x:c r="E70" s="128" t="str">
        <x:v>standard action / label</x:v>
      </x:c>
      <x:c r="F70" s="128" t="str">
        <x:v>Añadir</x:v>
      </x:c>
      <x:c r="G70" s="128" t="n">
        <x:v>3</x:v>
      </x:c>
      <x:c r="H70" s="128" t="str">
        <x:v>MRV-5016EADDB8, MRV-B74EDC095C, MRV-01FAEE6E98</x:v>
      </x:c>
      <x:c r="I70" s="128" t="str">
        <x:v>New trip builder</x:v>
      </x:c>
      <x:c r="J70" s="128" t="str">
        <x:v>TripBuilderDocument (Default)</x:v>
      </x:c>
      <x:c r="K70" s="128" t="str">
        <x:v>Añadir</x:v>
      </x:c>
      <x:c r="L70" s="128" t="str">
        <x:v>Should this shared wording stay identical across every listed surface?</x:v>
      </x:c>
      <x:c r="M70" s="128" t="str">
        <x:v>Confirm a shared wording only if the same user intent applies. Keep surface-specific detail where the action or consequence differs.</x:v>
      </x:c>
      <x:c r="N70" s="137" t="str">
        <x:v>Not set — use original Final Copy Override cells</x:v>
      </x:c>
    </x:row>
    <x:row r="71" ht="42" customHeight="1">
      <x:c r="A71" s="128" t="str">
        <x:v>EX-058</x:v>
      </x:c>
      <x:c r="B71" s="134" t="str">
        <x:v>Exact phrase</x:v>
      </x:c>
      <x:c r="C71" s="143" t="str">
        <x:v>1 · Core journey</x:v>
      </x:c>
      <x:c r="D71" s="128" t="n">
        <x:v>624</x:v>
      </x:c>
      <x:c r="E71" s="128" t="str">
        <x:v>standard action / label</x:v>
      </x:c>
      <x:c r="F71" s="128" t="str">
        <x:v>Cerrar</x:v>
      </x:c>
      <x:c r="G71" s="128" t="n">
        <x:v>3</x:v>
      </x:c>
      <x:c r="H71" s="128" t="str">
        <x:v>MRV-4EF4843546, MRV-7B547B283C, MRV-BEAAFC0684</x:v>
      </x:c>
      <x:c r="I71" s="128" t="str">
        <x:v>Stamps · Planner recommendations</x:v>
      </x:c>
      <x:c r="J71" s="128" t="str">
        <x:v>StampedExperience (Default) · JourneyMapPlannerWorkspace (Default)</x:v>
      </x:c>
      <x:c r="K71" s="128" t="str">
        <x:v>Cerrar</x:v>
      </x:c>
      <x:c r="L71" s="128" t="str">
        <x:v>Should this shared wording stay identical across every listed surface?</x:v>
      </x:c>
      <x:c r="M71" s="128" t="str">
        <x:v>Confirm a shared wording only if the same user intent applies. Keep surface-specific detail where the action or consequence differs.</x:v>
      </x:c>
      <x:c r="N71" s="137" t="str">
        <x:v>Not set — use original Final Copy Override cells</x:v>
      </x:c>
    </x:row>
    <x:row r="72" ht="42" customHeight="1">
      <x:c r="A72" s="128" t="str">
        <x:v>EX-059</x:v>
      </x:c>
      <x:c r="B72" s="134" t="str">
        <x:v>Exact phrase</x:v>
      </x:c>
      <x:c r="C72" s="143" t="str">
        <x:v>1 · Core journey</x:v>
      </x:c>
      <x:c r="D72" s="128" t="n">
        <x:v>624</x:v>
      </x:c>
      <x:c r="E72" s="128" t="str">
        <x:v>standard action / label</x:v>
      </x:c>
      <x:c r="F72" s="128" t="str">
        <x:v>Itinerary</x:v>
      </x:c>
      <x:c r="G72" s="128" t="n">
        <x:v>3</x:v>
      </x:c>
      <x:c r="H72" s="128" t="str">
        <x:v>MRV-3C5E7EAAE1, MRV-47F60200A5, MRV-35FFFDDDAF</x:v>
      </x:c>
      <x:c r="I72" s="128" t="str">
        <x:v>Overview</x:v>
      </x:c>
      <x:c r="J72" s="128" t="str">
        <x:v>TripOverviewWorkspace (Default) · views (Default)</x:v>
      </x:c>
      <x:c r="K72" s="128" t="str">
        <x:v>Itinerary</x:v>
      </x:c>
      <x:c r="L72" s="128" t="str">
        <x:v>Should this shared wording stay identical across every listed surface?</x:v>
      </x:c>
      <x:c r="M72" s="128" t="str">
        <x:v>Confirm a shared wording only if the same user intent applies. Keep surface-specific detail where the action or consequence differs.</x:v>
      </x:c>
      <x:c r="N72" s="137" t="str">
        <x:v>Not set — use original Final Copy Override cells</x:v>
      </x:c>
    </x:row>
    <x:row r="73" ht="42" customHeight="1">
      <x:c r="A73" s="128" t="str">
        <x:v>EX-060</x:v>
      </x:c>
      <x:c r="B73" s="134" t="str">
        <x:v>Exact phrase</x:v>
      </x:c>
      <x:c r="C73" s="143" t="str">
        <x:v>1 · Core journey</x:v>
      </x:c>
      <x:c r="D73" s="128" t="n">
        <x:v>624</x:v>
      </x:c>
      <x:c r="E73" s="128" t="str">
        <x:v>standard action / label</x:v>
      </x:c>
      <x:c r="F73" s="128" t="str">
        <x:v>Listo</x:v>
      </x:c>
      <x:c r="G73" s="128" t="n">
        <x:v>3</x:v>
      </x:c>
      <x:c r="H73" s="128" t="str">
        <x:v>MRV-805984CDA0, MRV-474C50303E, MRV-E22177CE92</x:v>
      </x:c>
      <x:c r="I73" s="128" t="str">
        <x:v>New trip builder</x:v>
      </x:c>
      <x:c r="J73" s="128" t="str">
        <x:v>TripBuilderDocument (Default)</x:v>
      </x:c>
      <x:c r="K73" s="128" t="str">
        <x:v>Listo</x:v>
      </x:c>
      <x:c r="L73" s="128" t="str">
        <x:v>Should this shared wording stay identical across every listed surface?</x:v>
      </x:c>
      <x:c r="M73" s="128" t="str">
        <x:v>Confirm a shared wording only if the same user intent applies. Keep surface-specific detail where the action or consequence differs.</x:v>
      </x:c>
      <x:c r="N73" s="137" t="str">
        <x:v>Not set — use original Final Copy Override cells</x:v>
      </x:c>
    </x:row>
    <x:row r="74" ht="42" customHeight="1">
      <x:c r="A74" s="128" t="str">
        <x:v>EX-061</x:v>
      </x:c>
      <x:c r="B74" s="134" t="str">
        <x:v>Exact phrase</x:v>
      </x:c>
      <x:c r="C74" s="143" t="str">
        <x:v>1 · Core journey</x:v>
      </x:c>
      <x:c r="D74" s="128" t="n">
        <x:v>624</x:v>
      </x:c>
      <x:c r="E74" s="128" t="str">
        <x:v>standard action / label</x:v>
      </x:c>
      <x:c r="F74" s="128" t="str">
        <x:v>Places</x:v>
      </x:c>
      <x:c r="G74" s="128" t="n">
        <x:v>3</x:v>
      </x:c>
      <x:c r="H74" s="128" t="str">
        <x:v>MRV-9A78439280, MRV-BDFDA79333, MRV-7DD73B36EB</x:v>
      </x:c>
      <x:c r="I74" s="128" t="str">
        <x:v>New trip builder</x:v>
      </x:c>
      <x:c r="J74" s="128" t="str">
        <x:v>STEPS (Default) · stepLabels (Default)</x:v>
      </x:c>
      <x:c r="K74" s="128" t="str">
        <x:v>Places</x:v>
      </x:c>
      <x:c r="L74" s="128" t="str">
        <x:v>Should this shared wording stay identical across every listed surface?</x:v>
      </x:c>
      <x:c r="M74" s="128" t="str">
        <x:v>Use “stop” for a selected itinerary item; “destination” for a city or region choice; “place” for a generic search result.</x:v>
      </x:c>
      <x:c r="N74" s="137" t="str">
        <x:v>Not set — use original Final Copy Override cells</x:v>
      </x:c>
    </x:row>
    <x:row r="75" ht="42" customHeight="1">
      <x:c r="A75" s="128" t="str">
        <x:v>EX-062</x:v>
      </x:c>
      <x:c r="B75" s="134" t="str">
        <x:v>Exact phrase</x:v>
      </x:c>
      <x:c r="C75" s="143" t="str">
        <x:v>1 · Core journey</x:v>
      </x:c>
      <x:c r="D75" s="128" t="n">
        <x:v>624</x:v>
      </x:c>
      <x:c r="E75" s="128" t="str">
        <x:v>standard action / label</x:v>
      </x:c>
      <x:c r="F75" s="128" t="str">
        <x:v>YOUR TRIP</x:v>
      </x:c>
      <x:c r="G75" s="128" t="n">
        <x:v>3</x:v>
      </x:c>
      <x:c r="H75" s="128" t="str">
        <x:v>MRV-09BA990FA4, MRV-B0372B16D4, MRV-BEA066616D</x:v>
      </x:c>
      <x:c r="I75" s="128" t="str">
        <x:v>New trip builder · Planner recommendations</x:v>
      </x:c>
      <x:c r="J75" s="128" t="str">
        <x:v>TripBuilderDocument (Default) · JourneyPlannerStrip (Default)</x:v>
      </x:c>
      <x:c r="K75" s="128" t="str">
        <x:v>YOUR TRIP | Your trip</x:v>
      </x:c>
      <x:c r="L75" s="128" t="str">
        <x:v>Should this shared wording stay identical across every listed surface?</x:v>
      </x:c>
      <x:c r="M75" s="128" t="str">
        <x:v>Use “trip” for the saved plan and its workspace. Keep “journey” only for editorial, brand-level language.</x:v>
      </x:c>
      <x:c r="N75" s="137" t="str">
        <x:v>Not set — use original Final Copy Override cells</x:v>
      </x:c>
    </x:row>
    <x:row r="76" ht="42" customHeight="1">
      <x:c r="A76" s="128" t="str">
        <x:v>EX-063</x:v>
      </x:c>
      <x:c r="B76" s="134" t="str">
        <x:v>Exact phrase</x:v>
      </x:c>
      <x:c r="C76" s="143" t="str">
        <x:v>1 · Core journey</x:v>
      </x:c>
      <x:c r="D76" s="128" t="n">
        <x:v>623</x:v>
      </x:c>
      <x:c r="E76" s="128" t="str">
        <x:v>standard action / label</x:v>
      </x:c>
      <x:c r="F76" s="128" t="str">
        <x:v>{value}T00:00:00</x:v>
      </x:c>
      <x:c r="G76" s="128" t="n">
        <x:v>2</x:v>
      </x:c>
      <x:c r="H76" s="128" t="str">
        <x:v>MRV-353084E5E6, MRV-247094BB06</x:v>
      </x:c>
      <x:c r="I76" s="128" t="str">
        <x:v>New trip builder · Plan next</x:v>
      </x:c>
      <x:c r="J76" s="128" t="str">
        <x:v>d (Default) · formatDate (Default)</x:v>
      </x:c>
      <x:c r="K76" s="128" t="str">
        <x:v>{value}T00:00:00</x:v>
      </x:c>
      <x:c r="L76" s="128" t="str">
        <x:v>Should this shared wording stay identical across every listed surface?</x:v>
      </x:c>
      <x:c r="M76" s="128" t="str">
        <x:v>Confirm a shared wording only if the same user intent applies. Keep surface-specific detail where the action or consequence differs.</x:v>
      </x:c>
      <x:c r="N76" s="137" t="str">
        <x:v>Not set — use original Final Copy Override cells</x:v>
      </x:c>
    </x:row>
    <x:row r="77" ht="42" customHeight="1">
      <x:c r="A77" s="128" t="str">
        <x:v>EX-064</x:v>
      </x:c>
      <x:c r="B77" s="134" t="str">
        <x:v>Exact phrase</x:v>
      </x:c>
      <x:c r="C77" s="143" t="str">
        <x:v>1 · Core journey</x:v>
      </x:c>
      <x:c r="D77" s="128" t="n">
        <x:v>623</x:v>
      </x:c>
      <x:c r="E77" s="128" t="str">
        <x:v>standard action / label</x:v>
      </x:c>
      <x:c r="F77" s="128" t="str">
        <x:v>Abrir copia en la nube</x:v>
      </x:c>
      <x:c r="G77" s="128" t="n">
        <x:v>2</x:v>
      </x:c>
      <x:c r="H77" s="128" t="str">
        <x:v>MRV-DC0C44CDC0, MRV-6FB62D03BB</x:v>
      </x:c>
      <x:c r="I77" s="128" t="str">
        <x:v>Dashboard · New trip builder</x:v>
      </x:c>
      <x:c r="J77" s="128" t="str">
        <x:v>DashboardClient (Default) · TripBuilderDocument (Default)</x:v>
      </x:c>
      <x:c r="K77" s="128" t="str">
        <x:v>Abrir copia en la nube</x:v>
      </x:c>
      <x:c r="L77" s="128" t="str">
        <x:v>Should this shared wording stay identical across every listed surface?</x:v>
      </x:c>
      <x:c r="M77" s="128" t="str">
        <x:v>Confirm a shared wording only if the same user intent applies. Keep surface-specific detail where the action or consequence differs.</x:v>
      </x:c>
      <x:c r="N77" s="137" t="str">
        <x:v>Not set — use original Final Copy Override cells</x:v>
      </x:c>
    </x:row>
    <x:row r="78" ht="42" customHeight="1">
      <x:c r="A78" s="128" t="str">
        <x:v>EX-065</x:v>
      </x:c>
      <x:c r="B78" s="134" t="str">
        <x:v>Exact phrase</x:v>
      </x:c>
      <x:c r="C78" s="143" t="str">
        <x:v>1 · Core journey</x:v>
      </x:c>
      <x:c r="D78" s="128" t="n">
        <x:v>623</x:v>
      </x:c>
      <x:c r="E78" s="128" t="str">
        <x:v>standard action / label</x:v>
      </x:c>
      <x:c r="F78" s="128" t="str">
        <x:v>Arrival</x:v>
      </x:c>
      <x:c r="G78" s="128" t="n">
        <x:v>2</x:v>
      </x:c>
      <x:c r="H78" s="128" t="str">
        <x:v>MRV-1B2A5292DB, MRV-0A6976519A</x:v>
      </x:c>
      <x:c r="I78" s="128" t="str">
        <x:v>Plan next · Planner recommendations</x:v>
      </x:c>
      <x:c r="J78" s="128" t="str">
        <x:v>MapPlanNext (Default) · JourneyMapPlannerWorkspace (Default)</x:v>
      </x:c>
      <x:c r="K78" s="128" t="str">
        <x:v>Arrival</x:v>
      </x:c>
      <x:c r="L78" s="128" t="str">
        <x:v>Should this shared wording stay identical across every listed surface?</x:v>
      </x:c>
      <x:c r="M78" s="128" t="str">
        <x:v>Confirm a shared wording only if the same user intent applies. Keep surface-specific detail where the action or consequence differs.</x:v>
      </x:c>
      <x:c r="N78" s="137" t="str">
        <x:v>Not set — use original Final Copy Override cells</x:v>
      </x:c>
    </x:row>
    <x:row r="79" ht="42" customHeight="1">
      <x:c r="A79" s="128" t="str">
        <x:v>EX-066</x:v>
      </x:c>
      <x:c r="B79" s="134" t="str">
        <x:v>Exact phrase</x:v>
      </x:c>
      <x:c r="C79" s="143" t="str">
        <x:v>1 · Core journey</x:v>
      </x:c>
      <x:c r="D79" s="128" t="n">
        <x:v>623</x:v>
      </x:c>
      <x:c r="E79" s="128" t="str">
        <x:v>standard action / label</x:v>
      </x:c>
      <x:c r="F79" s="128" t="str">
        <x:v>ArrowDown</x:v>
      </x:c>
      <x:c r="G79" s="128" t="n">
        <x:v>2</x:v>
      </x:c>
      <x:c r="H79" s="128" t="str">
        <x:v>MRV-6C6BD6911D, MRV-FF995E5E1A</x:v>
      </x:c>
      <x:c r="I79" s="128" t="str">
        <x:v>Planner recommendations</x:v>
      </x:c>
      <x:c r="J79" s="128" t="str">
        <x:v>nextIndex (Default) · onKeyDown (Default)</x:v>
      </x:c>
      <x:c r="K79" s="128" t="str">
        <x:v>ArrowDown</x:v>
      </x:c>
      <x:c r="L79" s="128" t="str">
        <x:v>Should this shared wording stay identical across every listed surface?</x:v>
      </x:c>
      <x:c r="M79" s="128" t="str">
        <x:v>Confirm a shared wording only if the same user intent applies. Keep surface-specific detail where the action or consequence differs.</x:v>
      </x:c>
      <x:c r="N79" s="137" t="str">
        <x:v>Not set — use original Final Copy Override cells</x:v>
      </x:c>
    </x:row>
    <x:row r="80" ht="42" customHeight="1">
      <x:c r="A80" s="128" t="str">
        <x:v>EX-067</x:v>
      </x:c>
      <x:c r="B80" s="134" t="str">
        <x:v>Exact phrase</x:v>
      </x:c>
      <x:c r="C80" s="143" t="str">
        <x:v>1 · Core journey</x:v>
      </x:c>
      <x:c r="D80" s="128" t="n">
        <x:v>623</x:v>
      </x:c>
      <x:c r="E80" s="128" t="str">
        <x:v>standard action / label</x:v>
      </x:c>
      <x:c r="F80" s="128" t="str">
        <x:v>ArrowLeft</x:v>
      </x:c>
      <x:c r="G80" s="128" t="n">
        <x:v>2</x:v>
      </x:c>
      <x:c r="H80" s="128" t="str">
        <x:v>MRV-523D4314D8, MRV-30FA72BC10</x:v>
      </x:c>
      <x:c r="I80" s="128" t="str">
        <x:v>Planner recommendations</x:v>
      </x:c>
      <x:c r="J80" s="128" t="str">
        <x:v>nextIndex (Default) · onKeyDown (Default)</x:v>
      </x:c>
      <x:c r="K80" s="128" t="str">
        <x:v>ArrowLeft</x:v>
      </x:c>
      <x:c r="L80" s="128" t="str">
        <x:v>Should this shared wording stay identical across every listed surface?</x:v>
      </x:c>
      <x:c r="M80" s="128" t="str">
        <x:v>Confirm a shared wording only if the same user intent applies. Keep surface-specific detail where the action or consequence differs.</x:v>
      </x:c>
      <x:c r="N80" s="137" t="str">
        <x:v>Not set — use original Final Copy Override cells</x:v>
      </x:c>
    </x:row>
    <x:row r="81" ht="42" customHeight="1">
      <x:c r="A81" s="128" t="str">
        <x:v>EX-068</x:v>
      </x:c>
      <x:c r="B81" s="134" t="str">
        <x:v>Exact phrase</x:v>
      </x:c>
      <x:c r="C81" s="143" t="str">
        <x:v>1 · Core journey</x:v>
      </x:c>
      <x:c r="D81" s="128" t="n">
        <x:v>623</x:v>
      </x:c>
      <x:c r="E81" s="128" t="str">
        <x:v>standard action / label</x:v>
      </x:c>
      <x:c r="F81" s="128" t="str">
        <x:v>ArrowRight</x:v>
      </x:c>
      <x:c r="G81" s="128" t="n">
        <x:v>2</x:v>
      </x:c>
      <x:c r="H81" s="128" t="str">
        <x:v>MRV-D00D499A13, MRV-37FB561FCD</x:v>
      </x:c>
      <x:c r="I81" s="128" t="str">
        <x:v>Planner recommendations</x:v>
      </x:c>
      <x:c r="J81" s="128" t="str">
        <x:v>nextIndex (Default) · onKeyDown (Default)</x:v>
      </x:c>
      <x:c r="K81" s="128" t="str">
        <x:v>ArrowRight</x:v>
      </x:c>
      <x:c r="L81" s="128" t="str">
        <x:v>Should this shared wording stay identical across every listed surface?</x:v>
      </x:c>
      <x:c r="M81" s="128" t="str">
        <x:v>Confirm a shared wording only if the same user intent applies. Keep surface-specific detail where the action or consequence differs.</x:v>
      </x:c>
      <x:c r="N81" s="137" t="str">
        <x:v>Not set — use original Final Copy Override cells</x:v>
      </x:c>
    </x:row>
    <x:row r="82" ht="42" customHeight="1">
      <x:c r="A82" s="128" t="str">
        <x:v>EX-069</x:v>
      </x:c>
      <x:c r="B82" s="134" t="str">
        <x:v>Exact phrase</x:v>
      </x:c>
      <x:c r="C82" s="143" t="str">
        <x:v>1 · Core journey</x:v>
      </x:c>
      <x:c r="D82" s="128" t="n">
        <x:v>623</x:v>
      </x:c>
      <x:c r="E82" s="128" t="str">
        <x:v>standard action / label</x:v>
      </x:c>
      <x:c r="F82" s="128" t="str">
        <x:v>ArrowUp</x:v>
      </x:c>
      <x:c r="G82" s="128" t="n">
        <x:v>2</x:v>
      </x:c>
      <x:c r="H82" s="128" t="str">
        <x:v>MRV-9E07BAD99D, MRV-DCD074E4D1</x:v>
      </x:c>
      <x:c r="I82" s="128" t="str">
        <x:v>Planner recommendations</x:v>
      </x:c>
      <x:c r="J82" s="128" t="str">
        <x:v>nextIndex (Default) · onKeyDown (Default)</x:v>
      </x:c>
      <x:c r="K82" s="128" t="str">
        <x:v>ArrowUp</x:v>
      </x:c>
      <x:c r="L82" s="128" t="str">
        <x:v>Should this shared wording stay identical across every listed surface?</x:v>
      </x:c>
      <x:c r="M82" s="128" t="str">
        <x:v>Confirm a shared wording only if the same user intent applies. Keep surface-specific detail where the action or consequence differs.</x:v>
      </x:c>
      <x:c r="N82" s="137" t="str">
        <x:v>Not set — use original Final Copy Override cells</x:v>
      </x:c>
    </x:row>
    <x:row r="83" ht="42" customHeight="1">
      <x:c r="A83" s="128" t="str">
        <x:v>EX-070</x:v>
      </x:c>
      <x:c r="B83" s="134" t="str">
        <x:v>Exact phrase</x:v>
      </x:c>
      <x:c r="C83" s="143" t="str">
        <x:v>1 · Core journey</x:v>
      </x:c>
      <x:c r="D83" s="128" t="n">
        <x:v>623</x:v>
      </x:c>
      <x:c r="E83" s="128" t="str">
        <x:v>standard action / label</x:v>
      </x:c>
      <x:c r="F83" s="128" t="str">
        <x:v>Avoid driving</x:v>
      </x:c>
      <x:c r="G83" s="128" t="n">
        <x:v>2</x:v>
      </x:c>
      <x:c r="H83" s="128" t="str">
        <x:v>MRV-A6E5ED7FCD, MRV-E640FBD319</x:v>
      </x:c>
      <x:c r="I83" s="128" t="str">
        <x:v>New trip builder</x:v>
      </x:c>
      <x:c r="J83" s="128" t="str">
        <x:v>pickedUpPreferences (Default) · TripBuilderDocument (Default)</x:v>
      </x:c>
      <x:c r="K83" s="128" t="str">
        <x:v>Avoid driving</x:v>
      </x:c>
      <x:c r="L83" s="128" t="str">
        <x:v>Should this shared wording stay identical across every listed surface?</x:v>
      </x:c>
      <x:c r="M83" s="128" t="str">
        <x:v>Confirm a shared wording only if the same user intent applies. Keep surface-specific detail where the action or consequence differs.</x:v>
      </x:c>
      <x:c r="N83" s="137" t="str">
        <x:v>Not set — use original Final Copy Override cells</x:v>
      </x:c>
    </x:row>
    <x:row r="84" ht="42" customHeight="1">
      <x:c r="A84" s="128" t="str">
        <x:v>EX-071</x:v>
      </x:c>
      <x:c r="B84" s="134" t="str">
        <x:v>Exact phrase</x:v>
      </x:c>
      <x:c r="C84" s="143" t="str">
        <x:v>1 · Core journey</x:v>
      </x:c>
      <x:c r="D84" s="128" t="n">
        <x:v>623</x:v>
      </x:c>
      <x:c r="E84" s="128" t="str">
        <x:v>standard action / label</x:v>
      </x:c>
      <x:c r="F84" s="128" t="str">
        <x:v>Cloud copy kept safe</x:v>
      </x:c>
      <x:c r="G84" s="128" t="n">
        <x:v>2</x:v>
      </x:c>
      <x:c r="H84" s="128" t="str">
        <x:v>MRV-EF99C5F886, MRV-2B26A32E9D</x:v>
      </x:c>
      <x:c r="I84" s="128" t="str">
        <x:v>Dashboard · Overview</x:v>
      </x:c>
      <x:c r="J84" s="128" t="str">
        <x:v>DashboardClient (Default) · TripShellResolver (Default)</x:v>
      </x:c>
      <x:c r="K84" s="128" t="str">
        <x:v>Cloud copy kept safe</x:v>
      </x:c>
      <x:c r="L84" s="128" t="str">
        <x:v>Should this shared wording stay identical across every listed surface?</x:v>
      </x:c>
      <x:c r="M84" s="128" t="str">
        <x:v>Confirm a shared wording only if the same user intent applies. Keep surface-specific detail where the action or consequence differs.</x:v>
      </x:c>
      <x:c r="N84" s="137" t="str">
        <x:v>Not set — use original Final Copy Override cells</x:v>
      </x:c>
    </x:row>
    <x:row r="85" ht="42" customHeight="1">
      <x:c r="A85" s="128" t="str">
        <x:v>EX-072</x:v>
      </x:c>
      <x:c r="B85" s="134" t="str">
        <x:v>Exact phrase</x:v>
      </x:c>
      <x:c r="C85" s="143" t="str">
        <x:v>1 · Core journey</x:v>
      </x:c>
      <x:c r="D85" s="128" t="n">
        <x:v>623</x:v>
      </x:c>
      <x:c r="E85" s="128" t="str">
        <x:v>standard action / label</x:v>
      </x:c>
      <x:c r="F85" s="128" t="str">
        <x:v>día</x:v>
      </x:c>
      <x:c r="G85" s="128" t="n">
        <x:v>2</x:v>
      </x:c>
      <x:c r="H85" s="128" t="str">
        <x:v>MRV-5459C94269, MRV-6A0CCFAD97</x:v>
      </x:c>
      <x:c r="I85" s="128" t="str">
        <x:v>Planner recommendations</x:v>
      </x:c>
      <x:c r="J85" s="128" t="str">
        <x:v>renderReviewItem (Default) · JourneyMapPlannerWorkspace (Default)</x:v>
      </x:c>
      <x:c r="K85" s="128" t="str">
        <x:v>día | Día</x:v>
      </x:c>
      <x:c r="L85" s="128" t="str">
        <x:v>Should this shared wording stay identical across every listed surface?</x:v>
      </x:c>
      <x:c r="M85" s="128" t="str">
        <x:v>Confirm a shared wording only if the same user intent applies. Keep surface-specific detail where the action or consequence differs.</x:v>
      </x:c>
      <x:c r="N85" s="137" t="str">
        <x:v>Not set — use original Final Copy Override cells</x:v>
      </x:c>
    </x:row>
    <x:row r="86" ht="42" customHeight="1">
      <x:c r="A86" s="128" t="str">
        <x:v>EX-073</x:v>
      </x:c>
      <x:c r="B86" s="134" t="str">
        <x:v>Exact phrase</x:v>
      </x:c>
      <x:c r="C86" s="143" t="str">
        <x:v>1 · Core journey</x:v>
      </x:c>
      <x:c r="D86" s="128" t="n">
        <x:v>623</x:v>
      </x:c>
      <x:c r="E86" s="128" t="str">
        <x:v>standard action / label</x:v>
      </x:c>
      <x:c r="F86" s="128" t="str">
        <x:v>Eat</x:v>
      </x:c>
      <x:c r="G86" s="128" t="n">
        <x:v>2</x:v>
      </x:c>
      <x:c r="H86" s="128" t="str">
        <x:v>MRV-4A7FC8A21E, MRV-CFF33453BF</x:v>
      </x:c>
      <x:c r="I86" s="128" t="str">
        <x:v>Plan next · Planner recommendations</x:v>
      </x:c>
      <x:c r="J86" s="128" t="str">
        <x:v>MapPlanNext (Default) · JourneyMapPlannerWorkspace (Default)</x:v>
      </x:c>
      <x:c r="K86" s="128" t="str">
        <x:v>Eat</x:v>
      </x:c>
      <x:c r="L86" s="128" t="str">
        <x:v>Should this shared wording stay identical across every listed surface?</x:v>
      </x:c>
      <x:c r="M86" s="128" t="str">
        <x:v>Confirm a shared wording only if the same user intent applies. Keep surface-specific detail where the action or consequence differs.</x:v>
      </x:c>
      <x:c r="N86" s="137" t="str">
        <x:v>Not set — use original Final Copy Override cells</x:v>
      </x:c>
    </x:row>
    <x:row r="87" ht="42" customHeight="1">
      <x:c r="A87" s="128" t="str">
        <x:v>EX-074</x:v>
      </x:c>
      <x:c r="B87" s="134" t="str">
        <x:v>Exact phrase</x:v>
      </x:c>
      <x:c r="C87" s="143" t="str">
        <x:v>1 · Core journey</x:v>
      </x:c>
      <x:c r="D87" s="128" t="n">
        <x:v>623</x:v>
      </x:c>
      <x:c r="E87" s="128" t="str">
        <x:v>standard action / label</x:v>
      </x:c>
      <x:c r="F87" s="128" t="str">
        <x:v>End</x:v>
      </x:c>
      <x:c r="G87" s="128" t="n">
        <x:v>2</x:v>
      </x:c>
      <x:c r="H87" s="128" t="str">
        <x:v>MRV-4A096EC5A5, MRV-CBB66140AE</x:v>
      </x:c>
      <x:c r="I87" s="128" t="str">
        <x:v>Route detail · Planner recommendations</x:v>
      </x:c>
      <x:c r="J87" s="128" t="str">
        <x:v>RouteDetailView (Default) · nextIndex (Default)</x:v>
      </x:c>
      <x:c r="K87" s="128" t="str">
        <x:v>End</x:v>
      </x:c>
      <x:c r="L87" s="128" t="str">
        <x:v>Should this shared wording stay identical across every listed surface?</x:v>
      </x:c>
      <x:c r="M87" s="128" t="str">
        <x:v>Confirm a shared wording only if the same user intent applies. Keep surface-specific detail where the action or consequence differs.</x:v>
      </x:c>
      <x:c r="N87" s="137" t="str">
        <x:v>Not set — use original Final Copy Override cells</x:v>
      </x:c>
    </x:row>
    <x:row r="88" ht="42" customHeight="1">
      <x:c r="A88" s="128" t="str">
        <x:v>EX-075</x:v>
      </x:c>
      <x:c r="B88" s="134" t="str">
        <x:v>Exact phrase</x:v>
      </x:c>
      <x:c r="C88" s="143" t="str">
        <x:v>1 · Core journey</x:v>
      </x:c>
      <x:c r="D88" s="128" t="n">
        <x:v>623</x:v>
      </x:c>
      <x:c r="E88" s="128" t="str">
        <x:v>standard action / label</x:v>
      </x:c>
      <x:c r="F88" s="128" t="str">
        <x:v>Estado del viaje</x:v>
      </x:c>
      <x:c r="G88" s="128" t="n">
        <x:v>2</x:v>
      </x:c>
      <x:c r="H88" s="128" t="str">
        <x:v>MRV-26A6FF1797, MRV-4CBDC12477</x:v>
      </x:c>
      <x:c r="I88" s="128" t="str">
        <x:v>Planner recommendations</x:v>
      </x:c>
      <x:c r="J88" s="128" t="str">
        <x:v>JourneyMapPlannerWorkspace (Default)</x:v>
      </x:c>
      <x:c r="K88" s="128" t="str">
        <x:v>Estado del viaje</x:v>
      </x:c>
      <x:c r="L88" s="128" t="str">
        <x:v>Should this shared wording stay identical across every listed surface?</x:v>
      </x:c>
      <x:c r="M88" s="128" t="str">
        <x:v>Confirm a shared wording only if the same user intent applies. Keep surface-specific detail where the action or consequence differs.</x:v>
      </x:c>
      <x:c r="N88" s="137" t="str">
        <x:v>Not set — use original Final Copy Override cells</x:v>
      </x:c>
    </x:row>
    <x:row r="89" ht="42" customHeight="1">
      <x:c r="A89" s="128" t="str">
        <x:v>EX-076</x:v>
      </x:c>
      <x:c r="B89" s="134" t="str">
        <x:v>Exact phrase</x:v>
      </x:c>
      <x:c r="C89" s="143" t="str">
        <x:v>1 · Core journey</x:v>
      </x:c>
      <x:c r="D89" s="128" t="n">
        <x:v>623</x:v>
      </x:c>
      <x:c r="E89" s="128" t="str">
        <x:v>standard action / label</x:v>
      </x:c>
      <x:c r="F89" s="128" t="str">
        <x:v>Evitar coche</x:v>
      </x:c>
      <x:c r="G89" s="128" t="n">
        <x:v>2</x:v>
      </x:c>
      <x:c r="H89" s="128" t="str">
        <x:v>MRV-DCA2A780A3, MRV-41EF062943</x:v>
      </x:c>
      <x:c r="I89" s="128" t="str">
        <x:v>New trip builder</x:v>
      </x:c>
      <x:c r="J89" s="128" t="str">
        <x:v>pickedUpPreferences (Default) · TripBuilderDocument (Default)</x:v>
      </x:c>
      <x:c r="K89" s="128" t="str">
        <x:v>Evitar coche</x:v>
      </x:c>
      <x:c r="L89" s="128" t="str">
        <x:v>Should this shared wording stay identical across every listed surface?</x:v>
      </x:c>
      <x:c r="M89" s="128" t="str">
        <x:v>Confirm a shared wording only if the same user intent applies. Keep surface-specific detail where the action or consequence differs.</x:v>
      </x:c>
      <x:c r="N89" s="137" t="str">
        <x:v>Not set — use original Final Copy Override cells</x:v>
      </x:c>
    </x:row>
    <x:row r="90" ht="42" customHeight="1">
      <x:c r="A90" s="128" t="str">
        <x:v>EX-077</x:v>
      </x:c>
      <x:c r="B90" s="134" t="str">
        <x:v>Exact phrase</x:v>
      </x:c>
      <x:c r="C90" s="143" t="str">
        <x:v>1 · Core journey</x:v>
      </x:c>
      <x:c r="D90" s="128" t="n">
        <x:v>623</x:v>
      </x:c>
      <x:c r="E90" s="128" t="str">
        <x:v>standard action / label</x:v>
      </x:c>
      <x:c r="F90" s="128" t="str">
        <x:v>Fechas fijas</x:v>
      </x:c>
      <x:c r="G90" s="128" t="n">
        <x:v>2</x:v>
      </x:c>
      <x:c r="H90" s="128" t="str">
        <x:v>MRV-557F4D8540, MRV-B505C62D6C</x:v>
      </x:c>
      <x:c r="I90" s="128" t="str">
        <x:v>New trip builder</x:v>
      </x:c>
      <x:c r="J90" s="128" t="str">
        <x:v>TripBuilderDocument (Default)</x:v>
      </x:c>
      <x:c r="K90" s="128" t="str">
        <x:v>Fechas fijas | fechas fijas</x:v>
      </x:c>
      <x:c r="L90" s="128" t="str">
        <x:v>Should this shared wording stay identical across every listed surface?</x:v>
      </x:c>
      <x:c r="M90" s="128" t="str">
        <x:v>Confirm a shared wording only if the same user intent applies. Keep surface-specific detail where the action or consequence differs.</x:v>
      </x:c>
      <x:c r="N90" s="137" t="str">
        <x:v>Not set — use original Final Copy Override cells</x:v>
      </x:c>
    </x:row>
    <x:row r="91" ht="42" customHeight="1">
      <x:c r="A91" s="128" t="str">
        <x:v>EX-078</x:v>
      </x:c>
      <x:c r="B91" s="134" t="str">
        <x:v>Exact phrase</x:v>
      </x:c>
      <x:c r="C91" s="143" t="str">
        <x:v>1 · Core journey</x:v>
      </x:c>
      <x:c r="D91" s="128" t="n">
        <x:v>623</x:v>
      </x:c>
      <x:c r="E91" s="128" t="str">
        <x:v>standard action / label</x:v>
      </x:c>
      <x:c r="F91" s="128" t="str">
        <x:v>Flexible</x:v>
      </x:c>
      <x:c r="G91" s="128" t="n">
        <x:v>2</x:v>
      </x:c>
      <x:c r="H91" s="128" t="str">
        <x:v>MRV-B28202D913, MRV-4896CC017E</x:v>
      </x:c>
      <x:c r="I91" s="128" t="str">
        <x:v>New trip builder</x:v>
      </x:c>
      <x:c r="J91" s="128" t="str">
        <x:v>TripBuilderDocument (Default)</x:v>
      </x:c>
      <x:c r="K91" s="128" t="str">
        <x:v>Flexible</x:v>
      </x:c>
      <x:c r="L91" s="128" t="str">
        <x:v>Should this shared wording stay identical across every listed surface?</x:v>
      </x:c>
      <x:c r="M91" s="128" t="str">
        <x:v>Confirm a shared wording only if the same user intent applies. Keep surface-specific detail where the action or consequence differs.</x:v>
      </x:c>
      <x:c r="N91" s="137" t="str">
        <x:v>Not set — use original Final Copy Override cells</x:v>
      </x:c>
    </x:row>
    <x:row r="92" ht="42" customHeight="1">
      <x:c r="A92" s="128" t="str">
        <x:v>EX-079</x:v>
      </x:c>
      <x:c r="B92" s="134" t="str">
        <x:v>Exact phrase</x:v>
      </x:c>
      <x:c r="C92" s="143" t="str">
        <x:v>1 · Core journey</x:v>
      </x:c>
      <x:c r="D92" s="128" t="n">
        <x:v>623</x:v>
      </x:c>
      <x:c r="E92" s="128" t="str">
        <x:v>standard action / label</x:v>
      </x:c>
      <x:c r="F92" s="128" t="str">
        <x:v>Map</x:v>
      </x:c>
      <x:c r="G92" s="128" t="n">
        <x:v>2</x:v>
      </x:c>
      <x:c r="H92" s="128" t="str">
        <x:v>MRV-BF48C01504, MRV-AF0D9F5FF9</x:v>
      </x:c>
      <x:c r="I92" s="128" t="str">
        <x:v>Overview</x:v>
      </x:c>
      <x:c r="J92" s="128" t="str">
        <x:v>TripOverviewWorkspace (Default) · views (Default)</x:v>
      </x:c>
      <x:c r="K92" s="128" t="str">
        <x:v>Map</x:v>
      </x:c>
      <x:c r="L92" s="128" t="str">
        <x:v>Should this shared wording stay identical across every listed surface?</x:v>
      </x:c>
      <x:c r="M92" s="128" t="str">
        <x:v>Confirm a shared wording only if the same user intent applies. Keep surface-specific detail where the action or consequence differs.</x:v>
      </x:c>
      <x:c r="N92" s="137" t="str">
        <x:v>Not set — use original Final Copy Override cells</x:v>
      </x:c>
    </x:row>
    <x:row r="93" ht="42" customHeight="1">
      <x:c r="A93" s="128" t="str">
        <x:v>EX-080</x:v>
      </x:c>
      <x:c r="B93" s="134" t="str">
        <x:v>Exact phrase</x:v>
      </x:c>
      <x:c r="C93" s="143" t="str">
        <x:v>1 · Core journey</x:v>
      </x:c>
      <x:c r="D93" s="128" t="n">
        <x:v>623</x:v>
      </x:c>
      <x:c r="E93" s="128" t="str">
        <x:v>standard action / label</x:v>
      </x:c>
      <x:c r="F93" s="128" t="str">
        <x:v>Mode to confirm</x:v>
      </x:c>
      <x:c r="G93" s="128" t="n">
        <x:v>2</x:v>
      </x:c>
      <x:c r="H93" s="128" t="str">
        <x:v>MRV-7113E22CD3, MRV-123C177A48</x:v>
      </x:c>
      <x:c r="I93" s="128" t="str">
        <x:v>New trip builder · Plan next</x:v>
      </x:c>
      <x:c r="J93" s="128" t="str">
        <x:v>TripBuilderDocument (Default) · transferLabel (Default)</x:v>
      </x:c>
      <x:c r="K93" s="128" t="str">
        <x:v>Mode to confirm</x:v>
      </x:c>
      <x:c r="L93" s="128" t="str">
        <x:v>Should this shared wording stay identical across every listed surface?</x:v>
      </x:c>
      <x:c r="M93" s="128" t="str">
        <x:v>Confirm a shared wording only if the same user intent applies. Keep surface-specific detail where the action or consequence differs.</x:v>
      </x:c>
      <x:c r="N93" s="137" t="str">
        <x:v>Not set — use original Final Copy Override cells</x:v>
      </x:c>
    </x:row>
    <x:row r="94" ht="42" customHeight="1">
      <x:c r="A94" s="128" t="str">
        <x:v>EX-081</x:v>
      </x:c>
      <x:c r="B94" s="134" t="str">
        <x:v>Exact phrase</x:v>
      </x:c>
      <x:c r="C94" s="143" t="str">
        <x:v>1 · Core journey</x:v>
      </x:c>
      <x:c r="D94" s="128" t="n">
        <x:v>623</x:v>
      </x:c>
      <x:c r="E94" s="128" t="str">
        <x:v>standard action / label</x:v>
      </x:c>
      <x:c r="F94" s="128" t="str">
        <x:v>Overview</x:v>
      </x:c>
      <x:c r="G94" s="128" t="n">
        <x:v>2</x:v>
      </x:c>
      <x:c r="H94" s="128" t="str">
        <x:v>MRV-1EC3E99D45, MRV-DD1583499F</x:v>
      </x:c>
      <x:c r="I94" s="128" t="str">
        <x:v>Overview</x:v>
      </x:c>
      <x:c r="J94" s="128" t="str">
        <x:v>TripOverviewWorkspace (Default) · views (Default)</x:v>
      </x:c>
      <x:c r="K94" s="128" t="str">
        <x:v>Overview</x:v>
      </x:c>
      <x:c r="L94" s="128" t="str">
        <x:v>Should this shared wording stay identical across every listed surface?</x:v>
      </x:c>
      <x:c r="M94" s="128" t="str">
        <x:v>Confirm a shared wording only if the same user intent applies. Keep surface-specific detail where the action or consequence differs.</x:v>
      </x:c>
      <x:c r="N94" s="137" t="str">
        <x:v>Not set — use original Final Copy Override cells</x:v>
      </x:c>
    </x:row>
    <x:row r="95" ht="42" customHeight="1">
      <x:c r="A95" s="128" t="str">
        <x:v>EX-082</x:v>
      </x:c>
      <x:c r="B95" s="134" t="str">
        <x:v>Exact phrase</x:v>
      </x:c>
      <x:c r="C95" s="143" t="str">
        <x:v>1 · Core journey</x:v>
      </x:c>
      <x:c r="D95" s="128" t="n">
        <x:v>623</x:v>
      </x:c>
      <x:c r="E95" s="128" t="str">
        <x:v>standard action / label</x:v>
      </x:c>
      <x:c r="F95" s="128" t="str">
        <x:v>Prep</x:v>
      </x:c>
      <x:c r="G95" s="128" t="n">
        <x:v>2</x:v>
      </x:c>
      <x:c r="H95" s="128" t="str">
        <x:v>MRV-991E5F4085, MRV-D2D5A57E38</x:v>
      </x:c>
      <x:c r="I95" s="128" t="str">
        <x:v>Overview</x:v>
      </x:c>
      <x:c r="J95" s="128" t="str">
        <x:v>TripOverviewWorkspace (Default) · views (Default)</x:v>
      </x:c>
      <x:c r="K95" s="128" t="str">
        <x:v>Prep</x:v>
      </x:c>
      <x:c r="L95" s="128" t="str">
        <x:v>Should this shared wording stay identical across every listed surface?</x:v>
      </x:c>
      <x:c r="M95" s="128" t="str">
        <x:v>Confirm a shared wording only if the same user intent applies. Keep surface-specific detail where the action or consequence differs.</x:v>
      </x:c>
      <x:c r="N95" s="137" t="str">
        <x:v>Not set — use original Final Copy Override cells</x:v>
      </x:c>
    </x:row>
    <x:row r="96" ht="42" customHeight="1">
      <x:c r="A96" s="128" t="str">
        <x:v>EX-083</x:v>
      </x:c>
      <x:c r="B96" s="134" t="str">
        <x:v>Exact phrase</x:v>
      </x:c>
      <x:c r="C96" s="143" t="str">
        <x:v>1 · Core journey</x:v>
      </x:c>
      <x:c r="D96" s="128" t="n">
        <x:v>623</x:v>
      </x:c>
      <x:c r="E96" s="128" t="str">
        <x:v>standard action / label</x:v>
      </x:c>
      <x:c r="F96" s="128" t="str">
        <x:v>Restaurant</x:v>
      </x:c>
      <x:c r="G96" s="128" t="n">
        <x:v>2</x:v>
      </x:c>
      <x:c r="H96" s="128" t="str">
        <x:v>MRV-BF6060951F, MRV-1F161B5C5F</x:v>
      </x:c>
      <x:c r="I96" s="128" t="str">
        <x:v>Planner recommendations</x:v>
      </x:c>
      <x:c r="J96" s="128" t="str">
        <x:v>saveLocalVenue (Default) · removeLocalVenue (Default)</x:v>
      </x:c>
      <x:c r="K96" s="128" t="str">
        <x:v>Restaurant</x:v>
      </x:c>
      <x:c r="L96" s="128" t="str">
        <x:v>Should this shared wording stay identical across every listed surface?</x:v>
      </x:c>
      <x:c r="M96" s="128" t="str">
        <x:v>Confirm a shared wording only if the same user intent applies. Keep surface-specific detail where the action or consequence differs.</x:v>
      </x:c>
      <x:c r="N96" s="137" t="str">
        <x:v>Not set — use original Final Copy Override cells</x:v>
      </x:c>
    </x:row>
    <x:row r="97" ht="42" customHeight="1">
      <x:c r="A97" s="128" t="str">
        <x:v>EX-084</x:v>
      </x:c>
      <x:c r="B97" s="134" t="str">
        <x:v>Exact phrase</x:v>
      </x:c>
      <x:c r="C97" s="143" t="str">
        <x:v>1 · Core journey</x:v>
      </x:c>
      <x:c r="D97" s="128" t="n">
        <x:v>623</x:v>
      </x:c>
      <x:c r="E97" s="128" t="str">
        <x:v>standard action / label</x:v>
      </x:c>
      <x:c r="F97" s="128" t="str">
        <x:v>Salida</x:v>
      </x:c>
      <x:c r="G97" s="128" t="n">
        <x:v>2</x:v>
      </x:c>
      <x:c r="H97" s="128" t="str">
        <x:v>MRV-CE377A271F, MRV-32D4E9C9F4</x:v>
      </x:c>
      <x:c r="I97" s="128" t="str">
        <x:v>New trip builder</x:v>
      </x:c>
      <x:c r="J97" s="128" t="str">
        <x:v>TripBuilderDocument (Default)</x:v>
      </x:c>
      <x:c r="K97" s="128" t="str">
        <x:v>Salida</x:v>
      </x:c>
      <x:c r="L97" s="128" t="str">
        <x:v>Should this shared wording stay identical across every listed surface?</x:v>
      </x:c>
      <x:c r="M97" s="128" t="str">
        <x:v>Confirm a shared wording only if the same user intent applies. Keep surface-specific detail where the action or consequence differs.</x:v>
      </x:c>
      <x:c r="N97" s="137" t="str">
        <x:v>Not set — use original Final Copy Override cells</x:v>
      </x:c>
    </x:row>
    <x:row r="98" ht="42" customHeight="1">
      <x:c r="A98" s="128" t="str">
        <x:v>EX-085</x:v>
      </x:c>
      <x:c r="B98" s="134" t="str">
        <x:v>Exact phrase</x:v>
      </x:c>
      <x:c r="C98" s="143" t="str">
        <x:v>1 · Core journey</x:v>
      </x:c>
      <x:c r="D98" s="128" t="n">
        <x:v>623</x:v>
      </x:c>
      <x:c r="E98" s="128" t="str">
        <x:v>standard action / label</x:v>
      </x:c>
      <x:c r="F98" s="128" t="str">
        <x:v>See</x:v>
      </x:c>
      <x:c r="G98" s="128" t="n">
        <x:v>2</x:v>
      </x:c>
      <x:c r="H98" s="128" t="str">
        <x:v>MRV-0D8CFD0454, MRV-F26688C8C3</x:v>
      </x:c>
      <x:c r="I98" s="128" t="str">
        <x:v>Plan next · Planner recommendations</x:v>
      </x:c>
      <x:c r="J98" s="128" t="str">
        <x:v>MapPlanNext (Default) · JourneyMapPlannerWorkspace (Default)</x:v>
      </x:c>
      <x:c r="K98" s="128" t="str">
        <x:v>See</x:v>
      </x:c>
      <x:c r="L98" s="128" t="str">
        <x:v>Should this shared wording stay identical across every listed surface?</x:v>
      </x:c>
      <x:c r="M98" s="128" t="str">
        <x:v>Confirm a shared wording only if the same user intent applies. Keep surface-specific detail where the action or consequence differs.</x:v>
      </x:c>
      <x:c r="N98" s="137" t="str">
        <x:v>Not set — use original Final Copy Override cells</x:v>
      </x:c>
    </x:row>
    <x:row r="99" ht="42" customHeight="1">
      <x:c r="A99" s="128" t="str">
        <x:v>EX-086</x:v>
      </x:c>
      <x:c r="B99" s="134" t="str">
        <x:v>Exact phrase</x:v>
      </x:c>
      <x:c r="C99" s="143" t="str">
        <x:v>1 · Core journey</x:v>
      </x:c>
      <x:c r="D99" s="128" t="n">
        <x:v>623</x:v>
      </x:c>
      <x:c r="E99" s="128" t="str">
        <x:v>standard action / label</x:v>
      </x:c>
      <x:c r="F99" s="128" t="str">
        <x:v>Shape the day</x:v>
      </x:c>
      <x:c r="G99" s="128" t="n">
        <x:v>2</x:v>
      </x:c>
      <x:c r="H99" s="128" t="str">
        <x:v>MRV-F4AE73F2B7, MRV-562EA0DE68</x:v>
      </x:c>
      <x:c r="I99" s="128" t="str">
        <x:v>Plan next · Planner recommendations</x:v>
      </x:c>
      <x:c r="J99" s="128" t="str">
        <x:v>MapPlanNext (Default) · JourneyMapPlannerWorkspace (Default)</x:v>
      </x:c>
      <x:c r="K99" s="128" t="str">
        <x:v>Shape the day</x:v>
      </x:c>
      <x:c r="L99" s="128" t="str">
        <x:v>Should this shared wording stay identical across every listed surface?</x:v>
      </x:c>
      <x:c r="M99" s="128" t="str">
        <x:v>Confirm a shared wording only if the same user intent applies. Keep surface-specific detail where the action or consequence differs.</x:v>
      </x:c>
      <x:c r="N99" s="137" t="str">
        <x:v>Not set — use original Final Copy Override cells</x:v>
      </x:c>
    </x:row>
    <x:row r="100" ht="42" customHeight="1">
      <x:c r="A100" s="128" t="str">
        <x:v>EX-087</x:v>
      </x:c>
      <x:c r="B100" s="134" t="str">
        <x:v>Exact phrase</x:v>
      </x:c>
      <x:c r="C100" s="143" t="str">
        <x:v>1 · Core journey</x:v>
      </x:c>
      <x:c r="D100" s="128" t="n">
        <x:v>623</x:v>
      </x:c>
      <x:c r="E100" s="128" t="str">
        <x:v>standard action / label</x:v>
      </x:c>
      <x:c r="F100" s="128" t="str">
        <x:v>Tab</x:v>
      </x:c>
      <x:c r="G100" s="128" t="n">
        <x:v>2</x:v>
      </x:c>
      <x:c r="H100" s="128" t="str">
        <x:v>MRV-850D4FA389, MRV-FBBA589D58</x:v>
      </x:c>
      <x:c r="I100" s="128" t="str">
        <x:v>New trip builder · Tour / How it works</x:v>
      </x:c>
      <x:c r="J100" s="128" t="str">
        <x:v>onKeyDown (Default) · trapFocus (Default)</x:v>
      </x:c>
      <x:c r="K100" s="128" t="str">
        <x:v>Tab</x:v>
      </x:c>
      <x:c r="L100" s="128" t="str">
        <x:v>Should this shared wording stay identical across every listed surface?</x:v>
      </x:c>
      <x:c r="M100" s="128" t="str">
        <x:v>Confirm a shared wording only if the same user intent applies. Keep surface-specific detail where the action or consequence differs.</x:v>
      </x:c>
      <x:c r="N100" s="137" t="str">
        <x:v>Not set — use original Final Copy Override cells</x:v>
      </x:c>
    </x:row>
    <x:row r="101" ht="42" customHeight="1">
      <x:c r="A101" s="128" t="str">
        <x:v>EX-088</x:v>
      </x:c>
      <x:c r="B101" s="134" t="str">
        <x:v>Exact phrase</x:v>
      </x:c>
      <x:c r="C101" s="143" t="str">
        <x:v>1 · Core journey</x:v>
      </x:c>
      <x:c r="D101" s="128" t="n">
        <x:v>623</x:v>
      </x:c>
      <x:c r="E101" s="128" t="str">
        <x:v>standard action / label</x:v>
      </x:c>
      <x:c r="F101" s="128" t="str">
        <x:v>THINGS TO DO</x:v>
      </x:c>
      <x:c r="G101" s="128" t="n">
        <x:v>2</x:v>
      </x:c>
      <x:c r="H101" s="128" t="str">
        <x:v>MRV-3A764D8DB1, MRV-23DB162707</x:v>
      </x:c>
      <x:c r="I101" s="128" t="str">
        <x:v>Planner recommendations</x:v>
      </x:c>
      <x:c r="J101" s="128" t="str">
        <x:v>JourneyMapPlannerWorkspace (Default)</x:v>
      </x:c>
      <x:c r="K101" s="128" t="str">
        <x:v>THINGS TO DO | Things to do</x:v>
      </x:c>
      <x:c r="L101" s="128" t="str">
        <x:v>Should this shared wording stay identical across every listed surface?</x:v>
      </x:c>
      <x:c r="M101" s="128" t="str">
        <x:v>Confirm a shared wording only if the same user intent applies. Keep surface-specific detail where the action or consequence differs.</x:v>
      </x:c>
      <x:c r="N101" s="137" t="str">
        <x:v>Not set — use original Final Copy Override cells</x:v>
      </x:c>
    </x:row>
    <x:row r="102" ht="42" customHeight="1">
      <x:c r="A102" s="128" t="str">
        <x:v>EX-089</x:v>
      </x:c>
      <x:c r="B102" s="134" t="str">
        <x:v>Exact phrase</x:v>
      </x:c>
      <x:c r="C102" s="143" t="str">
        <x:v>1 · Core journey</x:v>
      </x:c>
      <x:c r="D102" s="128" t="n">
        <x:v>623</x:v>
      </x:c>
      <x:c r="E102" s="128" t="str">
        <x:v>standard action / label</x:v>
      </x:c>
      <x:c r="F102" s="128" t="str">
        <x:v>Time</x:v>
      </x:c>
      <x:c r="G102" s="128" t="n">
        <x:v>2</x:v>
      </x:c>
      <x:c r="H102" s="128" t="str">
        <x:v>MRV-D205765807, MRV-305300E1A6</x:v>
      </x:c>
      <x:c r="I102" s="128" t="str">
        <x:v>New trip builder</x:v>
      </x:c>
      <x:c r="J102" s="128" t="str">
        <x:v>STEPS (Default) · stepLabels (Default)</x:v>
      </x:c>
      <x:c r="K102" s="128" t="str">
        <x:v>Time</x:v>
      </x:c>
      <x:c r="L102" s="128" t="str">
        <x:v>Should this shared wording stay identical across every listed surface?</x:v>
      </x:c>
      <x:c r="M102" s="128" t="str">
        <x:v>Confirm a shared wording only if the same user intent applies. Keep surface-specific detail where the action or consequence differs.</x:v>
      </x:c>
      <x:c r="N102" s="137" t="str">
        <x:v>Not set — use original Final Copy Override cells</x:v>
      </x:c>
    </x:row>
    <x:row r="103" ht="42" customHeight="1">
      <x:c r="A103" s="128" t="str">
        <x:v>EX-090</x:v>
      </x:c>
      <x:c r="B103" s="134" t="str">
        <x:v>Exact phrase</x:v>
      </x:c>
      <x:c r="C103" s="143" t="str">
        <x:v>1 · Core journey</x:v>
      </x:c>
      <x:c r="D103" s="128" t="n">
        <x:v>623</x:v>
      </x:c>
      <x:c r="E103" s="128" t="str">
        <x:v>standard action / label</x:v>
      </x:c>
      <x:c r="F103" s="128" t="str">
        <x:v>To do</x:v>
      </x:c>
      <x:c r="G103" s="128" t="n">
        <x:v>2</x:v>
      </x:c>
      <x:c r="H103" s="128" t="str">
        <x:v>MRV-C0B81E5905, MRV-C04F268321</x:v>
      </x:c>
      <x:c r="I103" s="128" t="str">
        <x:v>Overview · Prep</x:v>
      </x:c>
      <x:c r="J103" s="128" t="str">
        <x:v>ProgressItem (Default) · TripPrepWorkspace (Default)</x:v>
      </x:c>
      <x:c r="K103" s="128" t="str">
        <x:v>To do</x:v>
      </x:c>
      <x:c r="L103" s="128" t="str">
        <x:v>Should this shared wording stay identical across every listed surface?</x:v>
      </x:c>
      <x:c r="M103" s="128" t="str">
        <x:v>Confirm a shared wording only if the same user intent applies. Keep surface-specific detail where the action or consequence differs.</x:v>
      </x:c>
      <x:c r="N103" s="137" t="str">
        <x:v>Not set — use original Final Copy Override cells</x:v>
      </x:c>
    </x:row>
    <x:row r="104" ht="42" customHeight="1">
      <x:c r="A104" s="128" t="str">
        <x:v>EX-091</x:v>
      </x:c>
      <x:c r="B104" s="134" t="str">
        <x:v>Exact phrase</x:v>
      </x:c>
      <x:c r="C104" s="143" t="str">
        <x:v>1 · Core journey</x:v>
      </x:c>
      <x:c r="D104" s="128" t="n">
        <x:v>623</x:v>
      </x:c>
      <x:c r="E104" s="128" t="str">
        <x:v>standard action / label</x:v>
      </x:c>
      <x:c r="F104" s="128" t="str">
        <x:v>to review</x:v>
      </x:c>
      <x:c r="G104" s="128" t="n">
        <x:v>2</x:v>
      </x:c>
      <x:c r="H104" s="128" t="str">
        <x:v>MRV-5B55A1CED9, MRV-9669FA9F5E</x:v>
      </x:c>
      <x:c r="I104" s="128" t="str">
        <x:v>Planner recommendations</x:v>
      </x:c>
      <x:c r="J104" s="128" t="str">
        <x:v>JourneyMapPlannerWorkspace (Default)</x:v>
      </x:c>
      <x:c r="K104" s="128" t="str">
        <x:v>to review</x:v>
      </x:c>
      <x:c r="L104" s="128" t="str">
        <x:v>Should this shared wording stay identical across every listed surface?</x:v>
      </x:c>
      <x:c r="M104" s="128" t="str">
        <x:v>Confirm a shared wording only if the same user intent applies. Keep surface-specific detail where the action or consequence differs.</x:v>
      </x:c>
      <x:c r="N104" s="137" t="str">
        <x:v>Not set — use original Final Copy Override cells</x:v>
      </x:c>
    </x:row>
    <x:row r="105" ht="42" customHeight="1">
      <x:c r="A105" s="128" t="str">
        <x:v>EX-092</x:v>
      </x:c>
      <x:c r="B105" s="134" t="str">
        <x:v>Exact phrase</x:v>
      </x:c>
      <x:c r="C105" s="143" t="str">
        <x:v>1 · Core journey</x:v>
      </x:c>
      <x:c r="D105" s="128" t="n">
        <x:v>623</x:v>
      </x:c>
      <x:c r="E105" s="128" t="str">
        <x:v>standard action / label</x:v>
      </x:c>
      <x:c r="F105" s="128" t="str">
        <x:v>Transfer to confirm</x:v>
      </x:c>
      <x:c r="G105" s="128" t="n">
        <x:v>2</x:v>
      </x:c>
      <x:c r="H105" s="128" t="str">
        <x:v>MRV-A3D214043F, MRV-B4094BC86B</x:v>
      </x:c>
      <x:c r="I105" s="128" t="str">
        <x:v>New trip builder · Overview</x:v>
      </x:c>
      <x:c r="J105" s="128" t="str">
        <x:v>durationLabel (Default) · TripOverviewWorkspace (Default)</x:v>
      </x:c>
      <x:c r="K105" s="128" t="str">
        <x:v>Transfer to confirm</x:v>
      </x:c>
      <x:c r="L105" s="128" t="str">
        <x:v>Should this shared wording stay identical across every listed surface?</x:v>
      </x:c>
      <x:c r="M105" s="128" t="str">
        <x:v>Confirm a shared wording only if the same user intent applies. Keep surface-specific detail where the action or consequence differs.</x:v>
      </x:c>
      <x:c r="N105" s="137" t="str">
        <x:v>Not set — use original Final Copy Override cells</x:v>
      </x:c>
    </x:row>
    <x:row r="106" ht="42" customHeight="1">
      <x:c r="A106" s="128" t="str">
        <x:v>EX-093</x:v>
      </x:c>
      <x:c r="B106" s="134" t="str">
        <x:v>Exact phrase</x:v>
      </x:c>
      <x:c r="C106" s="143" t="str">
        <x:v>1 · Core journey</x:v>
      </x:c>
      <x:c r="D106" s="128" t="n">
        <x:v>623</x:v>
      </x:c>
      <x:c r="E106" s="128" t="str">
        <x:v>standard action / label</x:v>
      </x:c>
      <x:c r="F106" s="128" t="str">
        <x:v>TRAVEL TIME</x:v>
      </x:c>
      <x:c r="G106" s="128" t="n">
        <x:v>2</x:v>
      </x:c>
      <x:c r="H106" s="128" t="str">
        <x:v>MRV-C9ADBD2FEA, MRV-FC2FFD094F</x:v>
      </x:c>
      <x:c r="I106" s="128" t="str">
        <x:v>Planner recommendations</x:v>
      </x:c>
      <x:c r="J106" s="128" t="str">
        <x:v>JourneyMapPlannerWorkspace (Default)</x:v>
      </x:c>
      <x:c r="K106" s="128" t="str">
        <x:v>TRAVEL TIME | Travel time</x:v>
      </x:c>
      <x:c r="L106" s="128" t="str">
        <x:v>Should this shared wording stay identical across every listed surface?</x:v>
      </x:c>
      <x:c r="M106" s="128" t="str">
        <x:v>Confirm a shared wording only if the same user intent applies. Keep surface-specific detail where the action or consequence differs.</x:v>
      </x:c>
      <x:c r="N106" s="137" t="str">
        <x:v>Not set — use original Final Copy Override cells</x:v>
      </x:c>
    </x:row>
    <x:row r="107" ht="42" customHeight="1">
      <x:c r="A107" s="128" t="str">
        <x:v>EX-094</x:v>
      </x:c>
      <x:c r="B107" s="134" t="str">
        <x:v>Exact phrase</x:v>
      </x:c>
      <x:c r="C107" s="143" t="str">
        <x:v>1 · Core journey</x:v>
      </x:c>
      <x:c r="D107" s="128" t="n">
        <x:v>623</x:v>
      </x:c>
      <x:c r="E107" s="128" t="str">
        <x:v>standard action / label</x:v>
      </x:c>
      <x:c r="F107" s="128" t="str">
        <x:v>Traveller builder selection</x:v>
      </x:c>
      <x:c r="G107" s="128" t="n">
        <x:v>2</x:v>
      </x:c>
      <x:c r="H107" s="128" t="str">
        <x:v>MRV-E18736D2F5, MRV-2503F5D168</x:v>
      </x:c>
      <x:c r="I107" s="128" t="str">
        <x:v>New trip builder</x:v>
      </x:c>
      <x:c r="J107" s="128" t="str">
        <x:v>addStop (Default) · addSupportedBase (Default)</x:v>
      </x:c>
      <x:c r="K107" s="128" t="str">
        <x:v>Traveller builder selection</x:v>
      </x:c>
      <x:c r="L107" s="128" t="str">
        <x:v>Should this shared wording stay identical across every listed surface?</x:v>
      </x:c>
      <x:c r="M107" s="128" t="str">
        <x:v>Confirm a shared wording only if the same user intent applies. Keep surface-specific detail where the action or consequence differs.</x:v>
      </x:c>
      <x:c r="N107" s="137" t="str">
        <x:v>Not set — use original Final Copy Override cells</x:v>
      </x:c>
    </x:row>
    <x:row r="108" ht="42" customHeight="1">
      <x:c r="A108" s="128" t="str">
        <x:v>EX-095</x:v>
      </x:c>
      <x:c r="B108" s="134" t="str">
        <x:v>Exact phrase</x:v>
      </x:c>
      <x:c r="C108" s="143" t="str">
        <x:v>1 · Core journey</x:v>
      </x:c>
      <x:c r="D108" s="128" t="n">
        <x:v>623</x:v>
      </x:c>
      <x:c r="E108" s="128" t="str">
        <x:v>standard action / label</x:v>
      </x:c>
      <x:c r="F108" s="128" t="str">
        <x:v>Trip health</x:v>
      </x:c>
      <x:c r="G108" s="128" t="n">
        <x:v>2</x:v>
      </x:c>
      <x:c r="H108" s="128" t="str">
        <x:v>MRV-EA73165EC3, MRV-946A1F9182</x:v>
      </x:c>
      <x:c r="I108" s="128" t="str">
        <x:v>Overview · Planner recommendations</x:v>
      </x:c>
      <x:c r="J108" s="128" t="str">
        <x:v>TripOverviewWorkspace (Default) · healthCopy (Default)</x:v>
      </x:c>
      <x:c r="K108" s="128" t="str">
        <x:v>Trip health | TRIP HEALTH</x:v>
      </x:c>
      <x:c r="L108" s="128" t="str">
        <x:v>Should this shared wording stay identical across every listed surface?</x:v>
      </x:c>
      <x:c r="M108" s="128" t="str">
        <x:v>Use “trip” for the saved plan and its workspace. Keep “journey” only for editorial, brand-level language.</x:v>
      </x:c>
      <x:c r="N108" s="137" t="str">
        <x:v>Not set — use original Final Copy Override cells</x:v>
      </x:c>
    </x:row>
    <x:row r="109" ht="42" customHeight="1">
      <x:c r="A109" s="128" t="str">
        <x:v>EX-096</x:v>
      </x:c>
      <x:c r="B109" s="134" t="str">
        <x:v>Exact phrase</x:v>
      </x:c>
      <x:c r="C109" s="143" t="str">
        <x:v>1 · Core journey</x:v>
      </x:c>
      <x:c r="D109" s="128" t="n">
        <x:v>623</x:v>
      </x:c>
      <x:c r="E109" s="128" t="str">
        <x:v>standard action / label</x:v>
      </x:c>
      <x:c r="F109" s="128" t="str">
        <x:v>Trip not synced yet</x:v>
      </x:c>
      <x:c r="G109" s="128" t="n">
        <x:v>2</x:v>
      </x:c>
      <x:c r="H109" s="128" t="str">
        <x:v>MRV-1A2A227917, MRV-D2A08DAEB1</x:v>
      </x:c>
      <x:c r="I109" s="128" t="str">
        <x:v>Dashboard · Overview</x:v>
      </x:c>
      <x:c r="J109" s="128" t="str">
        <x:v>DashboardClient (Default) · TripShellResolver (Default)</x:v>
      </x:c>
      <x:c r="K109" s="128" t="str">
        <x:v>Trip not synced yet</x:v>
      </x:c>
      <x:c r="L109" s="128" t="str">
        <x:v>Should this shared wording stay identical across every listed surface?</x:v>
      </x:c>
      <x:c r="M109" s="128" t="str">
        <x:v>Use “trip” for the saved plan and its workspace. Keep “journey” only for editorial, brand-level language.</x:v>
      </x:c>
      <x:c r="N109" s="137" t="str">
        <x:v>Not set — use original Final Copy Override cells</x:v>
      </x:c>
    </x:row>
    <x:row r="110" ht="42" customHeight="1">
      <x:c r="A110" s="128" t="str">
        <x:v>EX-097</x:v>
      </x:c>
      <x:c r="B110" s="134" t="str">
        <x:v>Exact phrase</x:v>
      </x:c>
      <x:c r="C110" s="143" t="str">
        <x:v>1 · Core journey</x:v>
      </x:c>
      <x:c r="D110" s="128" t="n">
        <x:v>623</x:v>
      </x:c>
      <x:c r="E110" s="128" t="str">
        <x:v>standard action / label</x:v>
      </x:c>
      <x:c r="F110" s="128" t="str">
        <x:v>Trip status</x:v>
      </x:c>
      <x:c r="G110" s="128" t="n">
        <x:v>2</x:v>
      </x:c>
      <x:c r="H110" s="128" t="str">
        <x:v>MRV-BA3ED1E285, MRV-C54D2AC33D</x:v>
      </x:c>
      <x:c r="I110" s="128" t="str">
        <x:v>Planner recommendations</x:v>
      </x:c>
      <x:c r="J110" s="128" t="str">
        <x:v>JourneyMapPlannerWorkspace (Default)</x:v>
      </x:c>
      <x:c r="K110" s="128" t="str">
        <x:v>Trip status</x:v>
      </x:c>
      <x:c r="L110" s="128" t="str">
        <x:v>Should this shared wording stay identical across every listed surface?</x:v>
      </x:c>
      <x:c r="M110" s="128" t="str">
        <x:v>Use “trip” for the saved plan and its workspace. Keep “journey” only for editorial, brand-level language.</x:v>
      </x:c>
      <x:c r="N110" s="137" t="str">
        <x:v>Not set — use original Final Copy Override cells</x:v>
      </x:c>
    </x:row>
    <x:row r="111" ht="42" customHeight="1">
      <x:c r="A111" s="128" t="str">
        <x:v>EX-098</x:v>
      </x:c>
      <x:c r="B111" s="134" t="str">
        <x:v>Exact phrase</x:v>
      </x:c>
      <x:c r="C111" s="143" t="str">
        <x:v>1 · Core journey</x:v>
      </x:c>
      <x:c r="D111" s="128" t="n">
        <x:v>623</x:v>
      </x:c>
      <x:c r="E111" s="128" t="str">
        <x:v>standard action / label</x:v>
      </x:c>
      <x:c r="F111" s="128" t="str">
        <x:v>TU VIAJE</x:v>
      </x:c>
      <x:c r="G111" s="128" t="n">
        <x:v>2</x:v>
      </x:c>
      <x:c r="H111" s="128" t="str">
        <x:v>MRV-82DCE14E36, MRV-A92B77E59E</x:v>
      </x:c>
      <x:c r="I111" s="128" t="str">
        <x:v>New trip builder</x:v>
      </x:c>
      <x:c r="J111" s="128" t="str">
        <x:v>TripBuilderDocument (Default)</x:v>
      </x:c>
      <x:c r="K111" s="128" t="str">
        <x:v>TU VIAJE</x:v>
      </x:c>
      <x:c r="L111" s="128" t="str">
        <x:v>Should this shared wording stay identical across every listed surface?</x:v>
      </x:c>
      <x:c r="M111" s="128" t="str">
        <x:v>Confirm a shared wording only if the same user intent applies. Keep surface-specific detail where the action or consequence differs.</x:v>
      </x:c>
      <x:c r="N111" s="137" t="str">
        <x:v>Not set — use original Final Copy Override cells</x:v>
      </x:c>
    </x:row>
    <x:row r="112" ht="42" customHeight="1">
      <x:c r="A112" s="128" t="str">
        <x:v>EX-099</x:v>
      </x:c>
      <x:c r="B112" s="134" t="str">
        <x:v>Exact phrase</x:v>
      </x:c>
      <x:c r="C112" s="143" t="str">
        <x:v>1 · Core journey</x:v>
      </x:c>
      <x:c r="D112" s="128" t="n">
        <x:v>623</x:v>
      </x:c>
      <x:c r="E112" s="128" t="str">
        <x:v>standard action / label</x:v>
      </x:c>
      <x:c r="F112" s="128" t="str">
        <x:v>Ver detalles</x:v>
      </x:c>
      <x:c r="G112" s="128" t="n">
        <x:v>2</x:v>
      </x:c>
      <x:c r="H112" s="128" t="str">
        <x:v>MRV-85BAD4ABDD, MRV-2454F84B63</x:v>
      </x:c>
      <x:c r="I112" s="128" t="str">
        <x:v>Dashboard · Planner recommendations</x:v>
      </x:c>
      <x:c r="J112" s="128" t="str">
        <x:v>DashboardClient (Default) · renderReviewItem (Default)</x:v>
      </x:c>
      <x:c r="K112" s="128" t="str">
        <x:v>Ver detalles</x:v>
      </x:c>
      <x:c r="L112" s="128" t="str">
        <x:v>Should this shared wording stay identical across every listed surface?</x:v>
      </x:c>
      <x:c r="M112" s="128" t="str">
        <x:v>Confirm a shared wording only if the same user intent applies. Keep surface-specific detail where the action or consequence differs.</x:v>
      </x:c>
      <x:c r="N112" s="137" t="str">
        <x:v>Not set — use original Final Copy Override cells</x:v>
      </x:c>
    </x:row>
    <x:row r="113" ht="42" customHeight="1">
      <x:c r="A113" s="128" t="str">
        <x:v>EX-100</x:v>
      </x:c>
      <x:c r="B113" s="134" t="str">
        <x:v>Exact phrase</x:v>
      </x:c>
      <x:c r="C113" s="143" t="str">
        <x:v>1 · Core journey</x:v>
      </x:c>
      <x:c r="D113" s="128" t="n">
        <x:v>623</x:v>
      </x:c>
      <x:c r="E113" s="128" t="str">
        <x:v>standard action / label</x:v>
      </x:c>
      <x:c r="F113" s="128" t="str">
        <x:v>verified stop</x:v>
      </x:c>
      <x:c r="G113" s="128" t="n">
        <x:v>2</x:v>
      </x:c>
      <x:c r="H113" s="128" t="str">
        <x:v>MRV-887E1668CD, MRV-C96F435845</x:v>
      </x:c>
      <x:c r="I113" s="128" t="str">
        <x:v>New trip builder</x:v>
      </x:c>
      <x:c r="J113" s="128" t="str">
        <x:v>TripBuilderDocument (Default)</x:v>
      </x:c>
      <x:c r="K113" s="128" t="str">
        <x:v>verified stop</x:v>
      </x:c>
      <x:c r="L113" s="128" t="str">
        <x:v>Should this shared wording stay identical across every listed surface?</x:v>
      </x:c>
      <x:c r="M113" s="128" t="str">
        <x:v>Use “stop” for a selected itinerary item; “destination” for a city or region choice; “place” for a generic search result.</x:v>
      </x:c>
      <x:c r="N113" s="137" t="str">
        <x:v>Not set — use original Final Copy Override cells</x:v>
      </x:c>
    </x:row>
    <x:row r="114" ht="42" customHeight="1">
      <x:c r="A114" s="128" t="str">
        <x:v>EX-101</x:v>
      </x:c>
      <x:c r="B114" s="134" t="str">
        <x:v>Exact phrase</x:v>
      </x:c>
      <x:c r="C114" s="143" t="str">
        <x:v>1 · Core journey</x:v>
      </x:c>
      <x:c r="D114" s="128" t="n">
        <x:v>623</x:v>
      </x:c>
      <x:c r="E114" s="128" t="str">
        <x:v>standard action / label</x:v>
      </x:c>
      <x:c r="F114" s="128" t="str">
        <x:v>Volver</x:v>
      </x:c>
      <x:c r="G114" s="128" t="n">
        <x:v>2</x:v>
      </x:c>
      <x:c r="H114" s="128" t="str">
        <x:v>MRV-00B6C3E82E, MRV-A95F2FFE8E</x:v>
      </x:c>
      <x:c r="I114" s="128" t="str">
        <x:v>Planner recommendations</x:v>
      </x:c>
      <x:c r="J114" s="128" t="str">
        <x:v>JourneyMapPlannerWorkspace (Default)</x:v>
      </x:c>
      <x:c r="K114" s="128" t="str">
        <x:v>Volver</x:v>
      </x:c>
      <x:c r="L114" s="128" t="str">
        <x:v>Should this shared wording stay identical across every listed surface?</x:v>
      </x:c>
      <x:c r="M114" s="128" t="str">
        <x:v>Confirm a shared wording only if the same user intent applies. Keep surface-specific detail where the action or consequence differs.</x:v>
      </x:c>
      <x:c r="N114" s="137" t="str">
        <x:v>Not set — use original Final Copy Override cells</x:v>
      </x:c>
    </x:row>
    <x:row r="115" ht="42" customHeight="1">
      <x:c r="A115" s="128" t="str">
        <x:v>EX-102</x:v>
      </x:c>
      <x:c r="B115" s="134" t="str">
        <x:v>Exact phrase</x:v>
      </x:c>
      <x:c r="C115" s="143" t="str">
        <x:v>1 · Core journey</x:v>
      </x:c>
      <x:c r="D115" s="128" t="n">
        <x:v>623</x:v>
      </x:c>
      <x:c r="E115" s="128" t="str">
        <x:v>standard action / label</x:v>
      </x:c>
      <x:c r="F115" s="128" t="str">
        <x:v>Why this order</x:v>
      </x:c>
      <x:c r="G115" s="128" t="n">
        <x:v>2</x:v>
      </x:c>
      <x:c r="H115" s="128" t="str">
        <x:v>MRV-CB54D4A5F7, MRV-68A6576601</x:v>
      </x:c>
      <x:c r="I115" s="128" t="str">
        <x:v>New trip builder · Overview</x:v>
      </x:c>
      <x:c r="J115" s="128" t="str">
        <x:v>TripBuilderDocument (Default) · TripOverviewWorkspace (Default)</x:v>
      </x:c>
      <x:c r="K115" s="128" t="str">
        <x:v>Why this order</x:v>
      </x:c>
      <x:c r="L115" s="128" t="str">
        <x:v>Should this shared wording stay identical across every listed surface?</x:v>
      </x:c>
      <x:c r="M115" s="128" t="str">
        <x:v>Confirm a shared wording only if the same user intent applies. Keep surface-specific detail where the action or consequence differs.</x:v>
      </x:c>
      <x:c r="N115" s="137" t="str">
        <x:v>Not set — use original Final Copy Override cells</x:v>
      </x:c>
    </x:row>
    <x:row r="116" ht="42" customHeight="1">
      <x:c r="A116" s="128" t="str">
        <x:v>EX-103</x:v>
      </x:c>
      <x:c r="B116" s="134" t="str">
        <x:v>Exact phrase</x:v>
      </x:c>
      <x:c r="C116" s="143" t="str">
        <x:v>1 · Core journey</x:v>
      </x:c>
      <x:c r="D116" s="128" t="n">
        <x:v>616</x:v>
      </x:c>
      <x:c r="E116" s="128" t="str">
        <x:v>standard action / label</x:v>
      </x:c>
      <x:c r="F116" s="128" t="str">
        <x:v>Explore {stop.name}</x:v>
      </x:c>
      <x:c r="G116" s="128" t="n">
        <x:v>2</x:v>
      </x:c>
      <x:c r="H116" s="128" t="str">
        <x:v>MRV-FF7F8FE64A, MRV-08A469AABA</x:v>
      </x:c>
      <x:c r="I116" s="128" t="str">
        <x:v>Planner recommendations</x:v>
      </x:c>
      <x:c r="J116" s="128" t="str">
        <x:v>variants (Default) · buildCredibleItinerary (Default)</x:v>
      </x:c>
      <x:c r="K116" s="128" t="str">
        <x:v>Explore {stop.name}</x:v>
      </x:c>
      <x:c r="L116" s="128" t="str">
        <x:v>Should this shared wording stay identical across every listed surface?</x:v>
      </x:c>
      <x:c r="M116" s="128" t="str">
        <x:v>Use “stop” for a selected itinerary item; “destination” for a city or region choice; “place” for a generic search result.</x:v>
      </x:c>
      <x:c r="N116" s="137" t="str">
        <x:v>Not set — use original Final Copy Override cells</x:v>
      </x:c>
    </x:row>
    <x:row r="117" ht="42" customHeight="1">
      <x:c r="A117" s="128" t="str">
        <x:v>EX-104</x:v>
      </x:c>
      <x:c r="B117" s="134" t="str">
        <x:v>Exact phrase</x:v>
      </x:c>
      <x:c r="C117" s="143" t="str">
        <x:v>1 · Core journey</x:v>
      </x:c>
      <x:c r="D117" s="128" t="n">
        <x:v>616</x:v>
      </x:c>
      <x:c r="E117" s="128" t="str">
        <x:v>standard action / label</x:v>
      </x:c>
      <x:c r="F117" s="128" t="str">
        <x:v>Your Journey</x:v>
      </x:c>
      <x:c r="G117" s="128" t="n">
        <x:v>2</x:v>
      </x:c>
      <x:c r="H117" s="128" t="str">
        <x:v>MRV-970ECFF9DD, MRV-A6B6B321F6</x:v>
      </x:c>
      <x:c r="I117" s="128" t="str">
        <x:v>Planner recommendations</x:v>
      </x:c>
      <x:c r="J117" s="128" t="str">
        <x:v>makeCustomJourney (Default) · makeEasyTJourney (Default)</x:v>
      </x:c>
      <x:c r="K117" s="128" t="str">
        <x:v>Your Journey</x:v>
      </x:c>
      <x:c r="L117" s="128" t="str">
        <x:v>Should this shared wording stay identical across every listed surface?</x:v>
      </x:c>
      <x:c r="M117" s="128" t="str">
        <x:v>Use “trip” for the saved plan and its workspace. Keep “journey” only for editorial, brand-level language.</x:v>
      </x:c>
      <x:c r="N117" s="137" t="str">
        <x:v>Not set — use original Final Copy Override cells</x:v>
      </x:c>
    </x:row>
    <x:row r="118" ht="42" customHeight="1">
      <x:c r="A118" s="128" t="str">
        <x:v>UX-008</x:v>
      </x:c>
      <x:c r="B118" s="134" t="str">
        <x:v>Near UX pattern</x:v>
      </x:c>
      <x:c r="C118" s="143" t="str">
        <x:v>1 · Core journey</x:v>
      </x:c>
      <x:c r="D118" s="128" t="n">
        <x:v>616</x:v>
      </x:c>
      <x:c r="E118" s="128" t="str">
        <x:v>loading / in progress</x:v>
      </x:c>
      <x:c r="F118" s="128" t="str">
        <x:v>loading / in progress · Tooltip · support</x:v>
      </x:c>
      <x:c r="G118" s="128" t="n">
        <x:v>2</x:v>
      </x:c>
      <x:c r="H118" s="128" t="str">
        <x:v>MRV-203BF3E2EC, MRV-39E2EA3EB9</x:v>
      </x:c>
      <x:c r="I118" s="128" t="str">
        <x:v>Overview</x:v>
      </x:c>
      <x:c r="J118" s="128" t="str">
        <x:v>overviewActionForTrip (Default)</x:v>
      </x:c>
      <x:c r="K118" s="128" t="str">
        <x:v>Finish shaping the itinerary | Start shaping the itinerary</x:v>
      </x:c>
      <x:c r="L118" s="128" t="str">
        <x:v>Set a consistent loading / in progress pattern for “Tooltip” without erasing contextual detail.</x:v>
      </x:c>
      <x:c r="M118" s="128" t="str">
        <x:v>Use one short present-tense progress message. Explain preservation only when it reassures the traveller about their work.</x:v>
      </x:c>
      <x:c r="N118" s="137" t="str">
        <x:v>Not set — use original Final Copy Override cells</x:v>
      </x:c>
    </x:row>
    <x:row r="119" ht="42" customHeight="1">
      <x:c r="A119" s="128" t="str">
        <x:v>UX-009</x:v>
      </x:c>
      <x:c r="B119" s="134" t="str">
        <x:v>Near UX pattern</x:v>
      </x:c>
      <x:c r="C119" s="143" t="str">
        <x:v>2 · Trust / high-stakes</x:v>
      </x:c>
      <x:c r="D119" s="128" t="n">
        <x:v>570</x:v>
      </x:c>
      <x:c r="E119" s="128" t="str">
        <x:v>error / recovery</x:v>
      </x:c>
      <x:c r="F119" s="128" t="str">
        <x:v>error / recovery · CTA / button · action</x:v>
      </x:c>
      <x:c r="G119" s="128" t="n">
        <x:v>17</x:v>
      </x:c>
      <x:c r="H119" s="128" t="str">
        <x:v>MRV-82FB1BC8ED, MRV-BA9FF4F1A4, MRV-76B9E70DA7, MRV-0C528C96DD, MRV-14DC233AC6, MRV-A6CDF20B3F, MRV-ED00046D4C, MRV-48C2E96C0E, MRV-985D955DAF, MRV-A59A7F147C, MRV-EEE33AB497, MRV-F699E97023, MRV-07B733DD4A, MRV-3983DBFF82, MRV-E78A9E1EDD, MRV-3DB4AFFEAF, MRV-96FBAD9841</x:v>
      </x:c>
      <x:c r="I119" s="128" t="str">
        <x:v>Shared recovery / system · Sign in / recovery · Overview</x:v>
      </x:c>
      <x:c r="J119" s="128" t="str">
        <x:v>JourneyError (System recovery) · LoginForm (Default) · JourneyNotFound (System recovery) · ResetPasswordForm (Default) +7 more</x:v>
      </x:c>
      <x:c r="K119" s="128" t="str">
        <x:v>Go home | Start travelling. | Explore Morrovia | Use at least 8 characters. +13 more</x:v>
      </x:c>
      <x:c r="L119" s="128" t="str">
        <x:v>Set a consistent error / recovery pattern for “CTA / button” without erasing contextual detail.</x:v>
      </x:c>
      <x:c r="M119" s="128" t="str">
        <x:v>Name what failed, say whether work is safe, then offer one clear recovery action. Keep the cause only when it helps the traveller act.</x:v>
      </x:c>
      <x:c r="N119" s="137" t="str">
        <x:v>Not set — use original Final Copy Override cells</x:v>
      </x:c>
    </x:row>
    <x:row r="120" ht="42" customHeight="1">
      <x:c r="A120" s="128" t="str">
        <x:v>UX-010</x:v>
      </x:c>
      <x:c r="B120" s="134" t="str">
        <x:v>Near UX pattern</x:v>
      </x:c>
      <x:c r="C120" s="143" t="str">
        <x:v>2 · Trust / high-stakes</x:v>
      </x:c>
      <x:c r="D120" s="128" t="n">
        <x:v>570</x:v>
      </x:c>
      <x:c r="E120" s="128" t="str">
        <x:v>standard action / label</x:v>
      </x:c>
      <x:c r="F120" s="128" t="str">
        <x:v>standard action / label · review / verify · action</x:v>
      </x:c>
      <x:c r="G120" s="128" t="n">
        <x:v>21</x:v>
      </x:c>
      <x:c r="H120" s="128" t="str">
        <x:v>MRV-A10EBE5DD6, MRV-87C8CE3300, MRV-66D4C853A7, MRV-901C93455D, MRV-176805446B, MRV-57B3F02664, MRV-F8578F7D1C, MRV-D72C7DD7D3, MRV-995878B9E0, MRV-B12D1AB337, MRV-2F6F13AD86, MRV-447F53D288, MRV-D048CBB349, MRV-32087F2694, MRV-BBCB5F0071, MRV-62D0465825, MRV-570539A046, MRV-D7A4F16D7F, MRV-F2D09FF4B3, MRV-B9D44D351F, MRV-04ED587DC2</x:v>
      </x:c>
      <x:c r="I120" s="128" t="str">
        <x:v>Route detail · Trip mode · Overview · Prep · Planner recommendations</x:v>
      </x:c>
      <x:c r="J120" s="128" t="str">
        <x:v>RouteDetailView (Default) · defaultChecklist (Default) · overviewActionForTrip (Default) · TripOverviewWorkspace (Default) +7 more</x:v>
      </x:c>
      <x:c r="K120" s="128" t="str">
        <x:v>Reviewed | Editorial route reviewed | Check passport and entry requirements | Review route +13 more</x:v>
      </x:c>
      <x:c r="L120" s="128" t="str">
        <x:v>Set a consistent standard action / label pattern for “review / verify” without erasing contextual detail.</x:v>
      </x:c>
      <x:c r="M120" s="128" t="str">
        <x:v>Use “trip” for the saved plan and its workspace. Keep “journey” only for editorial, brand-level language.</x:v>
      </x:c>
      <x:c r="N120" s="137" t="str">
        <x:v>Not set — use original Final Copy Override cells</x:v>
      </x:c>
    </x:row>
    <x:row r="121" ht="42" customHeight="1">
      <x:c r="A121" s="128" t="str">
        <x:v>EX-105</x:v>
      </x:c>
      <x:c r="B121" s="134" t="str">
        <x:v>Exact phrase</x:v>
      </x:c>
      <x:c r="C121" s="143" t="str">
        <x:v>2 · Trust / high-stakes</x:v>
      </x:c>
      <x:c r="D121" s="128" t="n">
        <x:v>566</x:v>
      </x:c>
      <x:c r="E121" s="128" t="str">
        <x:v>access / session</x:v>
      </x:c>
      <x:c r="F121" s="128" t="str">
        <x:v>Sign in again</x:v>
      </x:c>
      <x:c r="G121" s="128" t="n">
        <x:v>8</x:v>
      </x:c>
      <x:c r="H121" s="128" t="str">
        <x:v>MRV-5EF1CD8265, MRV-AE321B93DE, MRV-55E40675CF, MRV-80179377FE, MRV-5A41D8C73F, MRV-CFC51C571B, MRV-2E2E4B9FB6, MRV-8C9CF4BC20</x:v>
      </x:c>
      <x:c r="I121" s="128" t="str">
        <x:v>Dashboard · New trip builder · Profile · Trip mode · Overview +1 more</x:v>
      </x:c>
      <x:c r="J121" s="128" t="str">
        <x:v>DashboardClient (Session expired) · TripBuilderDocument (Session expired) · ProfileForm (Session expired) · TripModeClient (Session expired) +2 more</x:v>
      </x:c>
      <x:c r="K121" s="128" t="str">
        <x:v>Sign in again</x:v>
      </x:c>
      <x:c r="L121" s="128" t="str">
        <x:v>Should this shared wording stay identical across every listed surface?</x:v>
      </x:c>
      <x:c r="M121" s="128" t="str">
        <x:v>State the access issue plainly, preserve the return path where possible, and make the next sign-in action explicit.</x:v>
      </x:c>
      <x:c r="N121" s="137" t="str">
        <x:v>Not set — use original Final Copy Override cells</x:v>
      </x:c>
    </x:row>
    <x:row r="122" ht="42" customHeight="1">
      <x:c r="A122" s="128" t="str">
        <x:v>UX-011</x:v>
      </x:c>
      <x:c r="B122" s="134" t="str">
        <x:v>Near UX pattern</x:v>
      </x:c>
      <x:c r="C122" s="143" t="str">
        <x:v>2 · Trust / high-stakes</x:v>
      </x:c>
      <x:c r="D122" s="128" t="n">
        <x:v>566</x:v>
      </x:c>
      <x:c r="E122" s="128" t="str">
        <x:v>access / session</x:v>
      </x:c>
      <x:c r="F122" s="128" t="str">
        <x:v>access / session · sign in · action</x:v>
      </x:c>
      <x:c r="G122" s="128" t="n">
        <x:v>8</x:v>
      </x:c>
      <x:c r="H122" s="128" t="str">
        <x:v>MRV-5EF1CD8265, MRV-AE321B93DE, MRV-55E40675CF, MRV-80179377FE, MRV-5A41D8C73F, MRV-CFC51C571B, MRV-2E2E4B9FB6, MRV-8C9CF4BC20</x:v>
      </x:c>
      <x:c r="I122" s="128" t="str">
        <x:v>Dashboard · New trip builder · Profile · Trip mode · Overview +1 more</x:v>
      </x:c>
      <x:c r="J122" s="128" t="str">
        <x:v>DashboardClient (Session expired) · TripBuilderDocument (Session expired) · ProfileForm (Session expired) · TripModeClient (Session expired) +2 more</x:v>
      </x:c>
      <x:c r="K122" s="128" t="str">
        <x:v>Sign in again</x:v>
      </x:c>
      <x:c r="L122" s="128" t="str">
        <x:v>Set a consistent access / session pattern for “sign in” without erasing contextual detail.</x:v>
      </x:c>
      <x:c r="M122" s="128" t="str">
        <x:v>State the access issue plainly, preserve the return path where possible, and make the next sign-in action explicit.</x:v>
      </x:c>
      <x:c r="N122" s="137" t="str">
        <x:v>Not set — use original Final Copy Override cells</x:v>
      </x:c>
    </x:row>
    <x:row r="123" ht="42" customHeight="1">
      <x:c r="A123" s="128" t="str">
        <x:v>UX-012</x:v>
      </x:c>
      <x:c r="B123" s="134" t="str">
        <x:v>Near UX pattern</x:v>
      </x:c>
      <x:c r="C123" s="143" t="str">
        <x:v>2 · Trust / high-stakes</x:v>
      </x:c>
      <x:c r="D123" s="128" t="n">
        <x:v>566</x:v>
      </x:c>
      <x:c r="E123" s="128" t="str">
        <x:v>error / recovery</x:v>
      </x:c>
      <x:c r="F123" s="128" t="str">
        <x:v>error / recovery · retry · action</x:v>
      </x:c>
      <x:c r="G123" s="128" t="n">
        <x:v>8</x:v>
      </x:c>
      <x:c r="H123" s="128" t="str">
        <x:v>MRV-97AD9F4756, MRV-26F373A2FB, MRV-B5D3E7C994, MRV-4090755A3A, MRV-BBD525FB87, MRV-3087C069A4, MRV-0CE2A4BAF3, MRV-48FA4634B3</x:v>
      </x:c>
      <x:c r="I123" s="128" t="str">
        <x:v>Dashboard · Shared recovery / system · Sign in / recovery · New trip builder · Planner recommendations</x:v>
      </x:c>
      <x:c r="J123" s="128" t="str">
        <x:v>sendGift (Offline / network failure) · DashboardClient (Failure / recovery) · JourneyError (Failure / recovery) · continueWithGoogle (Failure / recovery) +2 more</x:v>
      </x:c>
      <x:c r="K123" s="128" t="str">
        <x:v>Check your connection and try again. | Try again | Google sign-in could not start. Try again.</x:v>
      </x:c>
      <x:c r="L123" s="128" t="str">
        <x:v>Set a consistent error / recovery pattern for “retry” without erasing contextual detail.</x:v>
      </x:c>
      <x:c r="M123" s="128" t="str">
        <x:v>Name what failed, say whether work is safe, then offer one clear recovery action. Keep the cause only when it helps the traveller act.</x:v>
      </x:c>
      <x:c r="N123" s="137" t="str">
        <x:v>Not set — use original Final Copy Override cells</x:v>
      </x:c>
    </x:row>
    <x:row r="124" ht="42" customHeight="1">
      <x:c r="A124" s="128" t="str">
        <x:v>EX-106</x:v>
      </x:c>
      <x:c r="B124" s="134" t="str">
        <x:v>Exact phrase</x:v>
      </x:c>
      <x:c r="C124" s="143" t="str">
        <x:v>2 · Trust / high-stakes</x:v>
      </x:c>
      <x:c r="D124" s="128" t="n">
        <x:v>565</x:v>
      </x:c>
      <x:c r="E124" s="128" t="str">
        <x:v>error / recovery · access / session · loading / in progress</x:v>
      </x:c>
      <x:c r="F124" s="128" t="str">
        <x:v>Try again</x:v>
      </x:c>
      <x:c r="G124" s="128" t="n">
        <x:v>7</x:v>
      </x:c>
      <x:c r="H124" s="128" t="str">
        <x:v>MRV-26F373A2FB, MRV-B5D3E7C994, MRV-4090755A3A, MRV-0CE2A4BAF3, MRV-38298656DA, MRV-A16DA76B61, MRV-48FA4634B3</x:v>
      </x:c>
      <x:c r="I124" s="128" t="str">
        <x:v>Dashboard · Shared recovery / system · New trip builder · Trip mode · Overview +1 more</x:v>
      </x:c>
      <x:c r="J124" s="128" t="str">
        <x:v>DashboardClient (Failure / recovery) · JourneyError (Failure / recovery) · TripBuilderDocument (Failure / recovery) · TripModeClient (Session expired) +2 more</x:v>
      </x:c>
      <x:c r="K124" s="128" t="str">
        <x:v>Try again</x:v>
      </x:c>
      <x:c r="L124" s="128" t="str">
        <x:v>Should this shared wording stay identical across every listed surface?</x:v>
      </x:c>
      <x:c r="M124" s="128" t="str">
        <x:v>Confirm a shared wording only if the same user intent applies. Keep surface-specific detail where the action or consequence differs.</x:v>
      </x:c>
      <x:c r="N124" s="137" t="str">
        <x:v>Not set — use original Final Copy Override cells</x:v>
      </x:c>
    </x:row>
    <x:row r="125" ht="42" customHeight="1">
      <x:c r="A125" s="128" t="str">
        <x:v>UX-013</x:v>
      </x:c>
      <x:c r="B125" s="134" t="str">
        <x:v>Near UX pattern</x:v>
      </x:c>
      <x:c r="C125" s="143" t="str">
        <x:v>2 · Trust / high-stakes</x:v>
      </x:c>
      <x:c r="D125" s="128" t="n">
        <x:v>564</x:v>
      </x:c>
      <x:c r="E125" s="128" t="str">
        <x:v>standard action / label</x:v>
      </x:c>
      <x:c r="F125" s="128" t="str">
        <x:v>standard action / label · lifecycle action · action</x:v>
      </x:c>
      <x:c r="G125" s="128" t="n">
        <x:v>6</x:v>
      </x:c>
      <x:c r="H125" s="128" t="str">
        <x:v>MRV-59DE0F444E, MRV-978638629F, MRV-BE87089670, MRV-6D78B63E0C, MRV-965163E6E7, MRV-7C601BD104</x:v>
      </x:c>
      <x:c r="I125" s="128" t="str">
        <x:v>Admin operations · Dashboard · Overview · Planner recommendations</x:v>
      </x:c>
      <x:c r="J125" s="128" t="str">
        <x:v>UserSupport (Default) · statusLabel (Default) · recommendationImpact (Default)</x:v>
      </x:c>
      <x:c r="K125" s="128" t="str">
        <x:v>Delete account | Delete this account? | Delete permanently | Archived +1 more</x:v>
      </x:c>
      <x:c r="L125" s="128" t="str">
        <x:v>Set a consistent standard action / label pattern for “lifecycle action” without erasing contextual detail.</x:v>
      </x:c>
      <x:c r="M125" s="128" t="str">
        <x:v>Use “stop” for a selected itinerary item; “destination” for a city or region choice; “place” for a generic search result.</x:v>
      </x:c>
      <x:c r="N125" s="137" t="str">
        <x:v>Not set — use original Final Copy Override cells</x:v>
      </x:c>
    </x:row>
    <x:row r="126" ht="42" customHeight="1">
      <x:c r="A126" s="128" t="str">
        <x:v>UX-014</x:v>
      </x:c>
      <x:c r="B126" s="134" t="str">
        <x:v>Near UX pattern</x:v>
      </x:c>
      <x:c r="C126" s="143" t="str">
        <x:v>2 · Trust / high-stakes</x:v>
      </x:c>
      <x:c r="D126" s="128" t="n">
        <x:v>563</x:v>
      </x:c>
      <x:c r="E126" s="128" t="str">
        <x:v>error / recovery</x:v>
      </x:c>
      <x:c r="F126" s="128" t="str">
        <x:v>error / recovery · passport · action</x:v>
      </x:c>
      <x:c r="G126" s="128" t="n">
        <x:v>5</x:v>
      </x:c>
      <x:c r="H126" s="128" t="str">
        <x:v>MRV-7F1754A0C8, MRV-48C4B7BE65, MRV-1489DBF0C7, MRV-7B59F62A2A, MRV-66B8EB9352</x:v>
      </x:c>
      <x:c r="I126" s="128" t="str">
        <x:v>Shared recovery / system</x:v>
      </x:c>
      <x:c r="J126" s="128" t="str">
        <x:v>entrySourcesByCountry (Default)</x:v>
      </x:c>
      <x:c r="K126" s="128" t="str">
        <x:v>Government of India e-Visa | Government of The Bahamas – Visa information | Government of Dominica – Visa services | Government of Guyana – Visa information +1 more</x:v>
      </x:c>
      <x:c r="L126" s="128" t="str">
        <x:v>Set a consistent error / recovery pattern for “passport” without erasing contextual detail.</x:v>
      </x:c>
      <x:c r="M126" s="128" t="str">
        <x:v>Name what failed, say whether work is safe, then offer one clear recovery action. Keep the cause only when it helps the traveller act.</x:v>
      </x:c>
      <x:c r="N126" s="137" t="str">
        <x:v>Not set — use original Final Copy Override cells</x:v>
      </x:c>
    </x:row>
    <x:row r="127" ht="42" customHeight="1">
      <x:c r="A127" s="128" t="str">
        <x:v>EX-107</x:v>
      </x:c>
      <x:c r="B127" s="134" t="str">
        <x:v>Exact phrase</x:v>
      </x:c>
      <x:c r="C127" s="143" t="str">
        <x:v>2 · Trust / high-stakes</x:v>
      </x:c>
      <x:c r="D127" s="128" t="n">
        <x:v>562</x:v>
      </x:c>
      <x:c r="E127" s="128" t="str">
        <x:v>standard action / label · access / session</x:v>
      </x:c>
      <x:c r="F127" s="128" t="str">
        <x:v>Open device copy</x:v>
      </x:c>
      <x:c r="G127" s="128" t="n">
        <x:v>4</x:v>
      </x:c>
      <x:c r="H127" s="128" t="str">
        <x:v>MRV-39FD6DA931, MRV-39E5EB68AA, MRV-EA31150D69, MRV-11D46C01F6</x:v>
      </x:c>
      <x:c r="I127" s="128" t="str">
        <x:v>New trip builder · Trip mode · Overview · Planner recommendations</x:v>
      </x:c>
      <x:c r="J127" s="128" t="str">
        <x:v>TripBuilderDocument (Default) · TripModeClient (Session expired) · TripShellResolver (Default) · JourneyMapPlannerWorkspace (Default)</x:v>
      </x:c>
      <x:c r="K127" s="128" t="str">
        <x:v>Open device copy</x:v>
      </x:c>
      <x:c r="L127" s="128" t="str">
        <x:v>Should this shared wording stay identical across every listed surface?</x:v>
      </x:c>
      <x:c r="M127" s="128" t="str">
        <x:v>Confirm a shared wording only if the same user intent applies. Keep surface-specific detail where the action or consequence differs.</x:v>
      </x:c>
      <x:c r="N127" s="137" t="str">
        <x:v>Not set — use original Final Copy Override cells</x:v>
      </x:c>
    </x:row>
    <x:row r="128" ht="42" customHeight="1">
      <x:c r="A128" s="128" t="str">
        <x:v>EX-108</x:v>
      </x:c>
      <x:c r="B128" s="134" t="str">
        <x:v>Exact phrase</x:v>
      </x:c>
      <x:c r="C128" s="143" t="str">
        <x:v>2 · Trust / high-stakes</x:v>
      </x:c>
      <x:c r="D128" s="128" t="n">
        <x:v>560</x:v>
      </x:c>
      <x:c r="E128" s="128" t="str">
        <x:v>error / recovery</x:v>
      </x:c>
      <x:c r="F128" s="128" t="str">
        <x:v>Google sign-in could not start. Please try again.</x:v>
      </x:c>
      <x:c r="G128" s="128" t="n">
        <x:v>2</x:v>
      </x:c>
      <x:c r="H128" s="128" t="str">
        <x:v>MRV-BBD525FB87, MRV-3087C069A4</x:v>
      </x:c>
      <x:c r="I128" s="128" t="str">
        <x:v>Sign in / recovery</x:v>
      </x:c>
      <x:c r="J128" s="128" t="str">
        <x:v>continueWithGoogle (Failure / recovery)</x:v>
      </x:c>
      <x:c r="K128" s="128" t="str">
        <x:v>Google sign-in could not start. Try again.</x:v>
      </x:c>
      <x:c r="L128" s="128" t="str">
        <x:v>Should this shared wording stay identical across every listed surface?</x:v>
      </x:c>
      <x:c r="M128" s="128" t="str">
        <x:v>Name what failed, say whether work is safe, then offer one clear recovery action. Keep the cause only when it helps the traveller act.</x:v>
      </x:c>
      <x:c r="N128" s="137" t="str">
        <x:v>Not set — use original Final Copy Override cells</x:v>
      </x:c>
    </x:row>
    <x:row r="129" ht="42" customHeight="1">
      <x:c r="A129" s="128" t="str">
        <x:v>UX-015</x:v>
      </x:c>
      <x:c r="B129" s="134" t="str">
        <x:v>Near UX pattern</x:v>
      </x:c>
      <x:c r="C129" s="143" t="str">
        <x:v>2 · Trust / high-stakes</x:v>
      </x:c>
      <x:c r="D129" s="128" t="n">
        <x:v>558</x:v>
      </x:c>
      <x:c r="E129" s="128" t="str">
        <x:v>error / recovery</x:v>
      </x:c>
      <x:c r="F129" s="128" t="str">
        <x:v>error / recovery · Body copy · support</x:v>
      </x:c>
      <x:c r="G129" s="128" t="n">
        <x:v>68</x:v>
      </x:c>
      <x:c r="H129" s="128" t="str">
        <x:v>MRV-CEF0870571, MRV-F818CE89D1, MRV-A05395E847, MRV-B607D9CF46, MRV-46D60347F9, MRV-E9392819E5, MRV-A6C280CA7B, MRV-62BA8F5317, MRV-DC0F11A372, MRV-65D5D42BFA, MRV-B53CCC6DB4, MRV-427C67E3CF, MRV-F7F34BBB5B, MRV-05492C749E, MRV-6D39B86D42, MRV-1720D79948, MRV-73F9B06885, MRV-768092EDAD, MRV-0F3C69ED61, MRV-773E746F54, MRV-B117B67912, MRV-37FF687DBB, MRV-4AB96E045B, MRV-6E53FCD274, MRV-A16C8D2A13, MRV-4FDA2380A3, MRV-B364FA83E7, MRV-7ABACE34D8, MRV-A638ECDDD0, MRV-C78398B884, MRV-FA5824CFC4, MRV-3F37898D54, MRV-B4F6B27DFA, MRV-68F8B0A662, MRV-C1E190C76E, MRV-62239CFB4D, MRV-26074D98C0, MRV-72FE6F4A01, MRV-B573C0EEF2, MRV-DED92DF262, MRV-80BA3F53D6, MRV-67E9E22C0B, MRV-6ACE7F7810, MRV-5ED99EB6B9, MRV-61BFAB3D41, MRV-CE8C139869, MRV-D609FAA9E7, MRV-86860A8A8A, MRV-DB1B76EE1B, MRV-85A633324B, MRV-4239C03FE9, MRV-71F3CAED62, MRV-D6CB4B66A2, MRV-EF429FB2F8, MRV-D73EC8AB5A, MRV-A5C326E2FF, MRV-396EDA0072, MRV-6FADA593B2, MRV-CB9E0BBA78, MRV-BF53C98D14, MRV-67B058629F, MRV-045D9DC2A2, MRV-E364A88DDF, MRV-05653B7DB0, MRV-E860BA25C6, MRV-C44E226084, MRV-2C0CCA9518, MRV-2CF99ECAA2</x:v>
      </x:c>
      <x:c r="I129" s="128" t="str">
        <x:v>Admin operations · Dashboard · Sign in / recovery · Gift claim · Homepage +5 more</x:v>
      </x:c>
      <x:c r="J129" s="128" t="str">
        <x:v>sendReset (Failure / recovery) · sendGift (Failure / recovery) · submit (Failure / recovery) · ForgotPasswordPage (Default) +24 more</x:v>
      </x:c>
      <x:c r="K129" s="128" t="str">
        <x:v>We couldn't send the reset email. | No pudimos crear la invitación. | Couldn't create invitation. | We couldn't send that email. +62 more</x:v>
      </x:c>
      <x:c r="L129" s="128" t="str">
        <x:v>Set a consistent error / recovery pattern for “Body copy” without erasing contextual detail.</x:v>
      </x:c>
      <x:c r="M129" s="128" t="str">
        <x:v>Name what failed, say whether work is safe, then offer one clear recovery action. Keep the cause only when it helps the traveller act.</x:v>
      </x:c>
      <x:c r="N129" s="137" t="str">
        <x:v>Not set — use original Final Copy Override cells</x:v>
      </x:c>
    </x:row>
    <x:row r="130" ht="42" customHeight="1">
      <x:c r="A130" s="128" t="str">
        <x:v>UX-016</x:v>
      </x:c>
      <x:c r="B130" s="134" t="str">
        <x:v>Near UX pattern</x:v>
      </x:c>
      <x:c r="C130" s="143" t="str">
        <x:v>2 · Trust / high-stakes</x:v>
      </x:c>
      <x:c r="D130" s="128" t="n">
        <x:v>558</x:v>
      </x:c>
      <x:c r="E130" s="128" t="str">
        <x:v>error / recovery</x:v>
      </x:c>
      <x:c r="F130" s="128" t="str">
        <x:v>error / recovery · open / load · support</x:v>
      </x:c>
      <x:c r="G130" s="128" t="n">
        <x:v>32</x:v>
      </x:c>
      <x:c r="H130" s="128" t="str">
        <x:v>MRV-FFD17F2516, MRV-8B41D8E336, MRV-0987316DF0, MRV-51E0354C57, MRV-FCD0EFA4DA, MRV-2886EEAE55, MRV-67580B63F1, MRV-3848E69A94, MRV-F80044EA05, MRV-9FC68AE6DB, MRV-93EF5C61A1, MRV-54321CAB77, MRV-6F383DFE20, MRV-76313EF625, MRV-760F42CA9F, MRV-620A7657F8, MRV-6BA0253C18, MRV-85A544CD4A, MRV-F76A6495D2, MRV-3BBEA6D355, MRV-4C0CCCA0D6, MRV-A51C3097B4, MRV-D8DBF0D148, MRV-98228C9568, MRV-C25BA8F4F8, MRV-D591326260, MRV-A05DE57326, MRV-CD2A0B3743, MRV-413C2666ED, MRV-96D56AAC2B, MRV-148EA86944, MRV-E3EC91B1CB</x:v>
      </x:c>
      <x:c r="I130" s="128" t="str">
        <x:v>Shared recovery / system · New trip builder · Sign in / recovery · Stamps · Prep +1 more</x:v>
      </x:c>
      <x:c r="J130" s="128" t="str">
        <x:v>JourneyLoading (Loading / in progress) · persistGeneratedTrip (Failure / recovery) · persistGeneratedTrip (Offline / network failure) · ResetPasswordForm (Loading / in progress) +14 more</x:v>
      </x:c>
      <x:c r="K130" s="128" t="str">
        <x:v>Loading Journey | Loading your journey… | The active account changed before this trip could sync. Reopen the trip from the current account; the device copy remains preserved. | A newer device edit was preserved while this version finished syncing. Open the device copy before continuing. +27 more</x:v>
      </x:c>
      <x:c r="L130" s="128" t="str">
        <x:v>Set a consistent error / recovery pattern for “open / load” without erasing contextual detail.</x:v>
      </x:c>
      <x:c r="M130" s="128" t="str">
        <x:v>Name what failed, say whether work is safe, then offer one clear recovery action. Keep the cause only when it helps the traveller act.</x:v>
      </x:c>
      <x:c r="N130" s="137" t="str">
        <x:v>Not set — use original Final Copy Override cells</x:v>
      </x:c>
    </x:row>
    <x:row r="131" ht="42" customHeight="1">
      <x:c r="A131" s="128" t="str">
        <x:v>UX-017</x:v>
      </x:c>
      <x:c r="B131" s="134" t="str">
        <x:v>Near UX pattern</x:v>
      </x:c>
      <x:c r="C131" s="143" t="str">
        <x:v>2 · Trust / high-stakes</x:v>
      </x:c>
      <x:c r="D131" s="128" t="n">
        <x:v>558</x:v>
      </x:c>
      <x:c r="E131" s="128" t="str">
        <x:v>error / recovery</x:v>
      </x:c>
      <x:c r="F131" s="128" t="str">
        <x:v>error / recovery · passport · support</x:v>
      </x:c>
      <x:c r="G131" s="128" t="n">
        <x:v>23</x:v>
      </x:c>
      <x:c r="H131" s="128" t="str">
        <x:v>MRV-C41449C7F5, MRV-4C0B47A932, MRV-4BE010C7F4, MRV-F9CB7BB46B, MRV-1839593D90, MRV-C3332B1CAC, MRV-51978018B1, MRV-28FEF86DD8, MRV-C8A764610F, MRV-8FC6DB4792, MRV-2A75D06F7C, MRV-ECEE9A8233, MRV-1FFBFBE1FD, MRV-F8AA94649C, MRV-53D4E9BEF6, MRV-85325F0EDF, MRV-E94B95F957, MRV-C27F65CBA3, MRV-2BCF798451, MRV-068DCF388A, MRV-672AFE2C44, MRV-D026D50157, MRV-C6420ED935</x:v>
      </x:c>
      <x:c r="I131" s="128" t="str">
        <x:v>Dashboard · Shared recovery / system</x:v>
      </x:c>
      <x:c r="J131" s="128" t="str">
        <x:v>sendGift (Offline / network failure) · JourneyTripQuality (Default) · entrySourcesByCountry (Default) · entrySourcesFor (Default) +1 more</x:v>
      </x:c>
      <x:c r="K131" s="128" t="str">
        <x:v>Revisa tu conexión e inténtalo de nuevo. | Revisar | Chinese Visa Application Service Center | Egypt e-Visa portal +19 more</x:v>
      </x:c>
      <x:c r="L131" s="128" t="str">
        <x:v>Set a consistent error / recovery pattern for “passport” without erasing contextual detail.</x:v>
      </x:c>
      <x:c r="M131" s="128" t="str">
        <x:v>Name what failed, say whether work is safe, then offer one clear recovery action. Keep the cause only when it helps the traveller act.</x:v>
      </x:c>
      <x:c r="N131" s="137" t="str">
        <x:v>Not set — use original Final Copy Override cells</x:v>
      </x:c>
    </x:row>
    <x:row r="132" ht="42" customHeight="1">
      <x:c r="A132" s="128" t="str">
        <x:v>UX-018</x:v>
      </x:c>
      <x:c r="B132" s="134" t="str">
        <x:v>Near UX pattern</x:v>
      </x:c>
      <x:c r="C132" s="143" t="str">
        <x:v>2 · Trust / high-stakes</x:v>
      </x:c>
      <x:c r="D132" s="128" t="n">
        <x:v>558</x:v>
      </x:c>
      <x:c r="E132" s="128" t="str">
        <x:v>error / recovery</x:v>
      </x:c>
      <x:c r="F132" s="128" t="str">
        <x:v>error / recovery · review / verify · support</x:v>
      </x:c>
      <x:c r="G132" s="128" t="n">
        <x:v>24</x:v>
      </x:c>
      <x:c r="H132" s="128" t="str">
        <x:v>MRV-10F9DB2595, MRV-A075F1613A, MRV-1C1D35ABDF, MRV-993830FA05, MRV-FBDD54000A, MRV-9E764A869D, MRV-029E440C45, MRV-9CFBBD188B, MRV-0273792E61, MRV-5208365C19, MRV-F4E708A2C0, MRV-B4E7B269E1, MRV-D12B7658E4, MRV-7619DB3487, MRV-B82BA6BF99, MRV-4D37036916, MRV-87D8530520, MRV-B51965EF4A, MRV-321B0E6BD5, MRV-B32187E9B2, MRV-F0F689503E, MRV-901999D6B9, MRV-A1DB00383F, MRV-7F186BA3FD</x:v>
      </x:c>
      <x:c r="I132" s="128" t="str">
        <x:v>New trip builder · Passport · Sign in / recovery · Shared recovery / system · Planner recommendations</x:v>
      </x:c>
      <x:c r="J132" s="128" t="str">
        <x:v>addStop (Failure / recovery) · checkDestination (Failure / recovery) · ResetPasswordForm (Default) · displayDate (Default) +12 more</x:v>
      </x:c>
      <x:c r="K132" s="128" t="str">
        <x:v>We couldn't verify “{value}”. Try a city, region or landmark with its country. | Passport requirements unavailable | Confirm password | Fecha por confirmar +19 more</x:v>
      </x:c>
      <x:c r="L132" s="128" t="str">
        <x:v>Set a consistent error / recovery pattern for “review / verify” without erasing contextual detail.</x:v>
      </x:c>
      <x:c r="M132" s="128" t="str">
        <x:v>Name what failed, say whether work is safe, then offer one clear recovery action. Keep the cause only when it helps the traveller act.</x:v>
      </x:c>
      <x:c r="N132" s="137" t="str">
        <x:v>Not set — use original Final Copy Override cells</x:v>
      </x:c>
    </x:row>
    <x:row r="133" ht="42" customHeight="1">
      <x:c r="A133" s="128" t="str">
        <x:v>UX-019</x:v>
      </x:c>
      <x:c r="B133" s="134" t="str">
        <x:v>Near UX pattern</x:v>
      </x:c>
      <x:c r="C133" s="143" t="str">
        <x:v>2 · Trust / high-stakes</x:v>
      </x:c>
      <x:c r="D133" s="128" t="n">
        <x:v>558</x:v>
      </x:c>
      <x:c r="E133" s="128" t="str">
        <x:v>error / recovery</x:v>
      </x:c>
      <x:c r="F133" s="128" t="str">
        <x:v>error / recovery · save · support</x:v>
      </x:c>
      <x:c r="G133" s="128" t="n">
        <x:v>27</x:v>
      </x:c>
      <x:c r="H133" s="128" t="str">
        <x:v>MRV-2EBC559850, MRV-D16ABBB23D, MRV-DACCE8B3F2, MRV-A160DD1CE6, MRV-F1FD458F92, MRV-FDD87A4BEF, MRV-58AABAD152, MRV-E2FC8A7CCB, MRV-2D54E8CE53, MRV-D686853A5F, MRV-ED3FDB539E, MRV-D4FDA30F80, MRV-ABAA4C7BEF, MRV-B2DDF3BB36, MRV-8BF151E487, MRV-2295E6B14B, MRV-CF4180A2E7, MRV-E05FDD9D72, MRV-F5B8806255, MRV-CF0BFF4380, MRV-7E6B6344B8, MRV-54C98EF4C0, MRV-7CA376EEDE, MRV-EBA533678D, MRV-68CCD0BFCA, MRV-F190EDFF7D, MRV-B69A9CF4B2</x:v>
      </x:c>
      <x:c r="I133" s="128" t="str">
        <x:v>Admin operations · Shared recovery / system · New trip builder · Stamps · Overview +1 more</x:v>
      </x:c>
      <x:c r="J133" s="128" t="str">
        <x:v>save (Failure / recovery) · JourneyError (System recovery) · preserveBeforeNewTrip (Failure / recovery) · persistGeneratedTrip (Loading / in progress) +13 more</x:v>
      </x:c>
      <x:c r="K133" s="128" t="str">
        <x:v>We couldn't save that triage update. | Try the page again first. Any trip already saved on this device will still be here. | No pudimos guardar los cambios más recientes, así que no iniciamos otro viaje. | The latest changes could not be saved, so Morrovia did not start another trip. +23 more</x:v>
      </x:c>
      <x:c r="L133" s="128" t="str">
        <x:v>Set a consistent error / recovery pattern for “save” without erasing contextual detail.</x:v>
      </x:c>
      <x:c r="M133" s="128" t="str">
        <x:v>Name what failed, say whether work is safe, then offer one clear recovery action. Keep the cause only when it helps the traveller act.</x:v>
      </x:c>
      <x:c r="N133" s="137" t="str">
        <x:v>Not set — use original Final Copy Override cells</x:v>
      </x:c>
    </x:row>
    <x:row r="134" ht="42" customHeight="1">
      <x:c r="A134" s="128" t="str">
        <x:v>UX-020</x:v>
      </x:c>
      <x:c r="B134" s="134" t="str">
        <x:v>Near UX pattern</x:v>
      </x:c>
      <x:c r="C134" s="143" t="str">
        <x:v>2 · Trust / high-stakes</x:v>
      </x:c>
      <x:c r="D134" s="128" t="n">
        <x:v>557</x:v>
      </x:c>
      <x:c r="E134" s="128" t="str">
        <x:v>access / session</x:v>
      </x:c>
      <x:c r="F134" s="128" t="str">
        <x:v>access / session · sign in · support</x:v>
      </x:c>
      <x:c r="G134" s="128" t="n">
        <x:v>11</x:v>
      </x:c>
      <x:c r="H134" s="128" t="str">
        <x:v>MRV-C3D47CB44A, MRV-03BF57C174, MRV-9587A66C7E, MRV-0D4167AA92, MRV-4383D595F0, MRV-6843077ACF, MRV-EC00D3DB9C, MRV-3ADB4B93D5, MRV-BCE0EDB142, MRV-B607495C54, MRV-60149B1F1A</x:v>
      </x:c>
      <x:c r="I134" s="128" t="str">
        <x:v>Dashboard · Sign in / recovery · New trip builder · Profile · Trip mode +1 more</x:v>
      </x:c>
      <x:c r="J134" s="128" t="str">
        <x:v>runAction (Session expired) · remove (Session expired) · sendGift (Session expired) · DashboardClient (Session expired) +7 more</x:v>
      </x:c>
      <x:c r="K134" s="128" t="str">
        <x:v>Your session ended. Sign in again before changing this trip. | Your session ended. Sign in again before removing this trip. | Your session ended. Sign in again before sharing this trip. | Your saved trips are hidden until you sign in again. +6 more</x:v>
      </x:c>
      <x:c r="L134" s="128" t="str">
        <x:v>Set a consistent access / session pattern for “sign in” without erasing contextual detail.</x:v>
      </x:c>
      <x:c r="M134" s="128" t="str">
        <x:v>State the access issue plainly, preserve the return path where possible, and make the next sign-in action explicit.</x:v>
      </x:c>
      <x:c r="N134" s="137" t="str">
        <x:v>Not set — use original Final Copy Override cells</x:v>
      </x:c>
    </x:row>
    <x:row r="135" ht="42" customHeight="1">
      <x:c r="A135" s="128" t="str">
        <x:v>UX-021</x:v>
      </x:c>
      <x:c r="B135" s="134" t="str">
        <x:v>Near UX pattern</x:v>
      </x:c>
      <x:c r="C135" s="143" t="str">
        <x:v>2 · Trust / high-stakes</x:v>
      </x:c>
      <x:c r="D135" s="128" t="n">
        <x:v>557</x:v>
      </x:c>
      <x:c r="E135" s="128" t="str">
        <x:v>error / recovery</x:v>
      </x:c>
      <x:c r="F135" s="128" t="str">
        <x:v>error / recovery · retry · support</x:v>
      </x:c>
      <x:c r="G135" s="128" t="n">
        <x:v>11</x:v>
      </x:c>
      <x:c r="H135" s="128" t="str">
        <x:v>MRV-1369DF7788, MRV-E3A31FDAC7, MRV-E209B87C44, MRV-BD4A8B3031, MRV-6D37B21E06, MRV-3B26829046, MRV-8901A83E84, MRV-EF0E02058B, MRV-02BDE48061, MRV-FE55DB5272, MRV-9137E4C896</x:v>
      </x:c>
      <x:c r="I135" s="128" t="str">
        <x:v>Dashboard · Homepage · Sign in / recovery · New trip builder · Overview +1 more</x:v>
      </x:c>
      <x:c r="J135" s="128" t="str">
        <x:v>runAction (Offline / network failure) · remove (Offline / network failure) · DashboardClient (Failure / recovery) · submit (Failure / recovery) +4 more</x:v>
      </x:c>
      <x:c r="K135" s="128" t="str">
        <x:v>This trip could not be updated. Check your connection and try again. | This trip could not be removed. Check your connection and try again. | Reintentar | We couldn't understand your trip. Try again. +3 more</x:v>
      </x:c>
      <x:c r="L135" s="128" t="str">
        <x:v>Set a consistent error / recovery pattern for “retry” without erasing contextual detail.</x:v>
      </x:c>
      <x:c r="M135" s="128" t="str">
        <x:v>Name what failed, say whether work is safe, then offer one clear recovery action. Keep the cause only when it helps the traveller act.</x:v>
      </x:c>
      <x:c r="N135" s="137" t="str">
        <x:v>Not set — use original Final Copy Override cells</x:v>
      </x:c>
    </x:row>
    <x:row r="136" ht="42" customHeight="1">
      <x:c r="A136" s="128" t="str">
        <x:v>UX-022</x:v>
      </x:c>
      <x:c r="B136" s="134" t="str">
        <x:v>Near UX pattern</x:v>
      </x:c>
      <x:c r="C136" s="143" t="str">
        <x:v>2 · Trust / high-stakes</x:v>
      </x:c>
      <x:c r="D136" s="128" t="n">
        <x:v>555</x:v>
      </x:c>
      <x:c r="E136" s="128" t="str">
        <x:v>error / recovery</x:v>
      </x:c>
      <x:c r="F136" s="128" t="str">
        <x:v>error / recovery · Label · support</x:v>
      </x:c>
      <x:c r="G136" s="128" t="n">
        <x:v>118</x:v>
      </x:c>
      <x:c r="H136" s="128" t="str">
        <x:v>MRV-D395D96D81, MRV-F3F04A2230, MRV-479F085B56, MRV-9F619D09BE, MRV-E36FB16696, MRV-E136777668, MRV-1CB9EF3AEC, MRV-E5CF0AA32D, MRV-6D73C902EC, MRV-D8B441F42D, MRV-974A263CB2, MRV-6C71C94777, MRV-E3B347B88D, MRV-79E92245FD, MRV-D0A775B8DD, MRV-1B0DEE79C5, MRV-6E50583BF4, MRV-B77858F786, MRV-83C377E6D1, MRV-246B7BEEF4, MRV-CBCE909443, MRV-4700CEEBD8, MRV-D490466E5A, MRV-8CB3C89281, MRV-FE998CDD7A, MRV-2B925337B0, MRV-B02336F918, MRV-6410C891CA, MRV-084C7E3056, MRV-819B09BEF3, MRV-78DF7AC7DD, MRV-E95252F694, MRV-D0083ACB06, MRV-F6468AF0D3, MRV-24CB34D681, MRV-BDF99CBA96, MRV-8467DA0416, MRV-AE4D29A378, MRV-02FEF28F74, MRV-23F3C08561, MRV-44153E2237, MRV-BA45C7063F, MRV-52DB644A3A, MRV-50138B951A, MRV-ACA49A4553, MRV-C714EE97C8, MRV-FA40255FA5, MRV-6F0CAACB37, MRV-B9D5819A6F, MRV-DC5300009E, MRV-952567E55E, MRV-2FDC0F3475, MRV-43CA7BA581, MRV-4E217E0ACF, MRV-F941B38BD5, MRV-346F8D0000, MRV-7F99F9C82F, MRV-C26D6905C9, MRV-B8D5B4E786, MRV-AF58D0CE71, MRV-7C8745A8DB, MRV-BE083230E9, MRV-9346FB030F, MRV-3349ACC303, MRV-30242439D7, MRV-BBB471371B, MRV-5C7E7485E5, MRV-5D67A60693, MRV-512DD8941A, MRV-9A59E1AB14, MRV-5ED273C7FF, MRV-28CCD26549, MRV-89221F345E, MRV-F26C4B927F, MRV-5F2FF3D506, MRV-E30DC4ED00, MRV-36E62BA6F9, MRV-8C17350C8B, MRV-D5060868A3, MRV-ED6C37BF06, MRV-400DC411AE, MRV-D4D749A51B, MRV-E51750320D, MRV-6839CE7F54, MRV-A512A5537E, MRV-8804916A23, MRV-46D08660D2, MRV-9962C1134C, MRV-E4E9A3FDB5, MRV-CB5F95BB01, MRV-BBA3C4D537, MRV-6942F2B69E, MRV-9FA8843F40, MRV-7351F9C8C1, MRV-EAD855E525, MRV-DA4581DFD5, MRV-A8847FD66B, MRV-6FBBC63D4D, MRV-A15DAA2363, MRV-A6DDC396F9, MRV-A640E621F5, MRV-A2E2F57681, MRV-8786578B89, MRV-FFF3FB7957, MRV-B80E805D2A, MRV-321B632123, MRV-77F99FF5DE, MRV-F5C465AE66, MRV-1033DBBF72, MRV-3518BC9B45, MRV-8F3101D6A1, MRV-C71143B319, MRV-69110EA509, MRV-52DD8BE9F8, MRV-A7E5CFB4F0, MRV-1E8DCE443A, MRV-BABBEC773A, MRV-F1DD826D7D</x:v>
      </x:c>
      <x:c r="I136" s="128" t="str">
        <x:v>Dashboard · Shared recovery / system · Sign in / recovery · Homepage · Prep</x:v>
      </x:c>
      <x:c r="J136" s="128" t="str">
        <x:v>DashboardClient (Default) · JourneyError (System recovery) · ForgotPasswordPage (Default) · submit (Failure / recovery) +39 more</x:v>
      </x:c>
      <x:c r="K136" s="128" t="str">
        <x:v>Recovery | Morrovia | Email | Capture failed +104 more</x:v>
      </x:c>
      <x:c r="L136" s="128" t="str">
        <x:v>Set a consistent error / recovery pattern for “Label” without erasing contextual detail.</x:v>
      </x:c>
      <x:c r="M136" s="128" t="str">
        <x:v>Name what failed, say whether work is safe, then offer one clear recovery action. Keep the cause only when it helps the traveller act.</x:v>
      </x:c>
      <x:c r="N136" s="137" t="str">
        <x:v>Not set — use original Final Copy Override cells</x:v>
      </x:c>
    </x:row>
    <x:row r="137" ht="42" customHeight="1">
      <x:c r="A137" s="128" t="str">
        <x:v>UX-023</x:v>
      </x:c>
      <x:c r="B137" s="134" t="str">
        <x:v>Near UX pattern</x:v>
      </x:c>
      <x:c r="C137" s="143" t="str">
        <x:v>2 · Trust / high-stakes</x:v>
      </x:c>
      <x:c r="D137" s="128" t="n">
        <x:v>554</x:v>
      </x:c>
      <x:c r="E137" s="128" t="str">
        <x:v>error / recovery</x:v>
      </x:c>
      <x:c r="F137" s="128" t="str">
        <x:v>error / recovery · open / load · action</x:v>
      </x:c>
      <x:c r="G137" s="128" t="n">
        <x:v>8</x:v>
      </x:c>
      <x:c r="H137" s="128" t="str">
        <x:v>MRV-3C61C88BA3, MRV-B8DC4BBD0B, MRV-5467407803, MRV-EC3341B644, MRV-270BACE069, MRV-12E8C03C81, MRV-E7360A3868, MRV-DFFD00A9C6</x:v>
      </x:c>
      <x:c r="I137" s="128" t="str">
        <x:v>Sign in / recovery · New trip builder · Shared recovery / system</x:v>
      </x:c>
      <x:c r="J137" s="128" t="str">
        <x:v>ForgotPasswordPage (Loading / in progress) · LoginForm (Loading / in progress) · preserveBeforeNewTrip (Default) · JourneyGlobe (Default) +4 more</x:v>
      </x:c>
      <x:c r="K137" s="128" t="str">
        <x:v>Send reset link → | Continue with Google | Open or resolve this device's recovery copy before starting another trip. | Open in +3 more</x:v>
      </x:c>
      <x:c r="L137" s="128" t="str">
        <x:v>Set a consistent error / recovery pattern for “open / load” without erasing contextual detail.</x:v>
      </x:c>
      <x:c r="M137" s="128" t="str">
        <x:v>Name what failed, say whether work is safe, then offer one clear recovery action. Keep the cause only when it helps the traveller act.</x:v>
      </x:c>
      <x:c r="N137" s="137" t="str">
        <x:v>Not set — use original Final Copy Override cells</x:v>
      </x:c>
    </x:row>
    <x:row r="138" ht="42" customHeight="1">
      <x:c r="A138" s="128" t="str">
        <x:v>UX-024</x:v>
      </x:c>
      <x:c r="B138" s="134" t="str">
        <x:v>Near UX pattern</x:v>
      </x:c>
      <x:c r="C138" s="143" t="str">
        <x:v>2 · Trust / high-stakes</x:v>
      </x:c>
      <x:c r="D138" s="128" t="n">
        <x:v>554</x:v>
      </x:c>
      <x:c r="E138" s="128" t="str">
        <x:v>error / recovery</x:v>
      </x:c>
      <x:c r="F138" s="128" t="str">
        <x:v>error / recovery · save · action</x:v>
      </x:c>
      <x:c r="G138" s="128" t="n">
        <x:v>8</x:v>
      </x:c>
      <x:c r="H138" s="128" t="str">
        <x:v>MRV-738924D534, MRV-473072E46B, MRV-79D2DBF9B7, MRV-EE4889ADE9, MRV-591E0C62CB, MRV-B6A9513A41, MRV-08B3A9BAC5, MRV-8EBBE0E0F5</x:v>
      </x:c>
      <x:c r="I138" s="128" t="str">
        <x:v>Sign in / recovery · Shared recovery / system</x:v>
      </x:c>
      <x:c r="J138" s="128" t="str">
        <x:v>LoginForm (Default) · JourneyLocalFinder (Default) · JourneyLocalFinder (Loading / in progress) · JourneyRestaurantFinder (Default)</x:v>
      </x:c>
      <x:c r="K138" s="128" t="str">
        <x:v>Save this trip. | Open your saved plans and pick up where you left off. | Save your first plan and keep every trip in one place. | Saved {kind === "stay" ? "stay" : meal} +3 more</x:v>
      </x:c>
      <x:c r="L138" s="128" t="str">
        <x:v>Set a consistent error / recovery pattern for “save” without erasing contextual detail.</x:v>
      </x:c>
      <x:c r="M138" s="128" t="str">
        <x:v>Name what failed, say whether work is safe, then offer one clear recovery action. Keep the cause only when it helps the traveller act.</x:v>
      </x:c>
      <x:c r="N138" s="137" t="str">
        <x:v>Not set — use original Final Copy Override cells</x:v>
      </x:c>
    </x:row>
    <x:row r="139" ht="42" customHeight="1">
      <x:c r="A139" s="128" t="str">
        <x:v>UX-025</x:v>
      </x:c>
      <x:c r="B139" s="134" t="str">
        <x:v>Near UX pattern</x:v>
      </x:c>
      <x:c r="C139" s="143" t="str">
        <x:v>2 · Trust / high-stakes</x:v>
      </x:c>
      <x:c r="D139" s="128" t="n">
        <x:v>554</x:v>
      </x:c>
      <x:c r="E139" s="128" t="str">
        <x:v>standard action / label</x:v>
      </x:c>
      <x:c r="F139" s="128" t="str">
        <x:v>standard action / label · sign in · action</x:v>
      </x:c>
      <x:c r="G139" s="128" t="n">
        <x:v>8</x:v>
      </x:c>
      <x:c r="H139" s="128" t="str">
        <x:v>MRV-3E657F99F3, MRV-187E426F19, MRV-F48C76C49D, MRV-2DC73F1004, MRV-90AB6BEF8F, MRV-4AFE8D750D, MRV-7AC8F126C3, MRV-1B6751E107</x:v>
      </x:c>
      <x:c r="I139" s="128" t="str">
        <x:v>Dashboard · Primary navigation · Stamps · Overview · Planner recommendations</x:v>
      </x:c>
      <x:c r="J139" s="128" t="str">
        <x:v>DashboardClient (Default) · EasyTNavigation (Default) · StampedExperience (Default) · TripShellTripProvider (Default) +2 more</x:v>
      </x:c>
      <x:c r="K139" s="128" t="str">
        <x:v>Sign in to finish syncing | Sign in | Sign in and return here | Sign in to open this trip</x:v>
      </x:c>
      <x:c r="L139" s="128" t="str">
        <x:v>Set a consistent standard action / label pattern for “sign in” without erasing contextual detail.</x:v>
      </x:c>
      <x:c r="M139" s="128" t="str">
        <x:v>Use “trip” for the saved plan and its workspace. Keep “journey” only for editorial, brand-level language.</x:v>
      </x:c>
      <x:c r="N139" s="137" t="str">
        <x:v>Not set — use original Final Copy Override cells</x:v>
      </x:c>
    </x:row>
    <x:row r="140" ht="42" customHeight="1">
      <x:c r="A140" s="128" t="str">
        <x:v>UX-026</x:v>
      </x:c>
      <x:c r="B140" s="134" t="str">
        <x:v>Near UX pattern</x:v>
      </x:c>
      <x:c r="C140" s="143" t="str">
        <x:v>2 · Trust / high-stakes</x:v>
      </x:c>
      <x:c r="D140" s="128" t="n">
        <x:v>552</x:v>
      </x:c>
      <x:c r="E140" s="128" t="str">
        <x:v>standard action / label</x:v>
      </x:c>
      <x:c r="F140" s="128" t="str">
        <x:v>standard action / label · continue · action</x:v>
      </x:c>
      <x:c r="G140" s="128" t="n">
        <x:v>6</x:v>
      </x:c>
      <x:c r="H140" s="128" t="str">
        <x:v>MRV-B41A3FA713, MRV-8E2AC68B31, MRV-F69064E45D, MRV-6CDE988866, MRV-FD65F453C6, MRV-FE675EABA9</x:v>
      </x:c>
      <x:c r="I140" s="128" t="str">
        <x:v>Dashboard · Plan next · Overview · Privacy &amp; consent</x:v>
      </x:c>
      <x:c r="J140" s="128" t="str">
        <x:v>DashboardClient (Default) · MapPlanNext (Default) · overviewActionForTrip (Default) · PrivacyConsent (Default)</x:v>
      </x:c>
      <x:c r="K140" s="128" t="str">
        <x:v>Continue this trip | Continue planning | Go to trips | Plan +2 more</x:v>
      </x:c>
      <x:c r="L140" s="128" t="str">
        <x:v>Set a consistent standard action / label pattern for “continue” without erasing contextual detail.</x:v>
      </x:c>
      <x:c r="M140" s="128" t="str">
        <x:v>Use “trip” for the saved plan and its workspace. Keep “journey” only for editorial, brand-level language.</x:v>
      </x:c>
      <x:c r="N140" s="137" t="str">
        <x:v>Not set — use original Final Copy Override cells</x:v>
      </x:c>
    </x:row>
    <x:row r="141" ht="42" customHeight="1">
      <x:c r="A141" s="128" t="str">
        <x:v>EX-109</x:v>
      </x:c>
      <x:c r="B141" s="134" t="str">
        <x:v>Exact phrase</x:v>
      </x:c>
      <x:c r="C141" s="143" t="str">
        <x:v>2 · Trust / high-stakes</x:v>
      </x:c>
      <x:c r="D141" s="128" t="n">
        <x:v>551</x:v>
      </x:c>
      <x:c r="E141" s="128" t="str">
        <x:v>standard action / label · error / recovery</x:v>
      </x:c>
      <x:c r="F141" s="128" t="str">
        <x:v>Sign in</x:v>
      </x:c>
      <x:c r="G141" s="128" t="n">
        <x:v>5</x:v>
      </x:c>
      <x:c r="H141" s="128" t="str">
        <x:v>MRV-187E426F19, MRV-F48C76C49D, MRV-3A19599F7F, MRV-2DC73F1004, MRV-1B6751E107</x:v>
      </x:c>
      <x:c r="I141" s="128" t="str">
        <x:v>Primary navigation · Sign in / recovery · Stamps · Planner recommendations</x:v>
      </x:c>
      <x:c r="J141" s="128" t="str">
        <x:v>EasyTNavigation (Default) · LoginForm (Default) · StampedExperience (Default) · JourneyMapPlannerWorkspace (Default)</x:v>
      </x:c>
      <x:c r="K141" s="128" t="str">
        <x:v>Sign in</x:v>
      </x:c>
      <x:c r="L141" s="128" t="str">
        <x:v>Should this shared wording stay identical across every listed surface?</x:v>
      </x:c>
      <x:c r="M141" s="128" t="str">
        <x:v>Confirm a shared wording only if the same user intent applies. Keep surface-specific detail where the action or consequence differs.</x:v>
      </x:c>
      <x:c r="N141" s="137" t="str">
        <x:v>Not set — use original Final Copy Override cells</x:v>
      </x:c>
    </x:row>
    <x:row r="142" ht="42" customHeight="1">
      <x:c r="A142" s="128" t="str">
        <x:v>UX-027</x:v>
      </x:c>
      <x:c r="B142" s="134" t="str">
        <x:v>Near UX pattern</x:v>
      </x:c>
      <x:c r="C142" s="143" t="str">
        <x:v>2 · Trust / high-stakes</x:v>
      </x:c>
      <x:c r="D142" s="128" t="n">
        <x:v>551</x:v>
      </x:c>
      <x:c r="E142" s="128" t="str">
        <x:v>error / recovery</x:v>
      </x:c>
      <x:c r="F142" s="128" t="str">
        <x:v>error / recovery · lifecycle action · support</x:v>
      </x:c>
      <x:c r="G142" s="128" t="n">
        <x:v>5</x:v>
      </x:c>
      <x:c r="H142" s="128" t="str">
        <x:v>MRV-5089DA08F9, MRV-7513520D88, MRV-C253CA99FA, MRV-F4ABB740A9, MRV-8521AC8174</x:v>
      </x:c>
      <x:c r="I142" s="128" t="str">
        <x:v>Admin operations · Overview · Shared recovery / system</x:v>
      </x:c>
      <x:c r="J142" s="128" t="str">
        <x:v>deleteAccount (Failure / recovery) · TripShellResolver (Offline / network failure) · JourneyItineraryRefinement (Accessibility / input support) · PlanWorkspace (Accessibility / input support)</x:v>
      </x:c>
      <x:c r="K142" s="128" t="str">
        <x:v>We couldn't delete that account. | Morrovia kept the existing cloud copy and did not remove this device’s copy. | Remove {title} | Remove {item} +1 more</x:v>
      </x:c>
      <x:c r="L142" s="128" t="str">
        <x:v>Set a consistent error / recovery pattern for “lifecycle action” without erasing contextual detail.</x:v>
      </x:c>
      <x:c r="M142" s="128" t="str">
        <x:v>Name what failed, say whether work is safe, then offer one clear recovery action. Keep the cause only when it helps the traveller act.</x:v>
      </x:c>
      <x:c r="N142" s="137" t="str">
        <x:v>Not set — use original Final Copy Override cells</x:v>
      </x:c>
    </x:row>
    <x:row r="143" ht="42" customHeight="1">
      <x:c r="A143" s="128" t="str">
        <x:v>EX-110</x:v>
      </x:c>
      <x:c r="B143" s="134" t="str">
        <x:v>Exact phrase</x:v>
      </x:c>
      <x:c r="C143" s="143" t="str">
        <x:v>2 · Trust / high-stakes</x:v>
      </x:c>
      <x:c r="D143" s="128" t="n">
        <x:v>550</x:v>
      </x:c>
      <x:c r="E143" s="128" t="str">
        <x:v>access / session</x:v>
      </x:c>
      <x:c r="F143" s="128" t="str">
        <x:v>Your session ended</x:v>
      </x:c>
      <x:c r="G143" s="128" t="n">
        <x:v>4</x:v>
      </x:c>
      <x:c r="H143" s="128" t="str">
        <x:v>MRV-2D0AC4AAD2, MRV-E83C0E518F, MRV-F9DC2219A1, MRV-BA8E9B8FBF</x:v>
      </x:c>
      <x:c r="I143" s="128" t="str">
        <x:v>Dashboard · Profile · Trip mode · Overview</x:v>
      </x:c>
      <x:c r="J143" s="128" t="str">
        <x:v>DashboardClient (Session expired) · ProfileForm (Session expired) · TripModeClient (Session expired) · TripShellTripProvider (Session expired)</x:v>
      </x:c>
      <x:c r="K143" s="128" t="str">
        <x:v>Your session ended | Your session ended.</x:v>
      </x:c>
      <x:c r="L143" s="128" t="str">
        <x:v>Should this shared wording stay identical across every listed surface?</x:v>
      </x:c>
      <x:c r="M143" s="128" t="str">
        <x:v>State the access issue plainly, preserve the return path where possible, and make the next sign-in action explicit.</x:v>
      </x:c>
      <x:c r="N143" s="137" t="str">
        <x:v>Not set — use original Final Copy Override cells</x:v>
      </x:c>
    </x:row>
    <x:row r="144" ht="42" customHeight="1">
      <x:c r="A144" s="128" t="str">
        <x:v>UX-028</x:v>
      </x:c>
      <x:c r="B144" s="134" t="str">
        <x:v>Near UX pattern</x:v>
      </x:c>
      <x:c r="C144" s="143" t="str">
        <x:v>2 · Trust / high-stakes</x:v>
      </x:c>
      <x:c r="D144" s="128" t="n">
        <x:v>549</x:v>
      </x:c>
      <x:c r="E144" s="128" t="str">
        <x:v>access / session</x:v>
      </x:c>
      <x:c r="F144" s="128" t="str">
        <x:v>access / session · Body copy · support</x:v>
      </x:c>
      <x:c r="G144" s="128" t="n">
        <x:v>3</x:v>
      </x:c>
      <x:c r="H144" s="128" t="str">
        <x:v>MRV-F9DC2219A1, MRV-FF84EBBD33, MRV-F800DA489F</x:v>
      </x:c>
      <x:c r="I144" s="128" t="str">
        <x:v>Trip mode</x:v>
      </x:c>
      <x:c r="J144" s="128" t="str">
        <x:v>TripModeClient (Session expired)</x:v>
      </x:c>
      <x:c r="K144" s="128" t="str">
        <x:v>Your session ended. | Your session expired. This change is still safe on this device. | This change is still safe on this device, but it has not synced to your account.</x:v>
      </x:c>
      <x:c r="L144" s="128" t="str">
        <x:v>Set a consistent access / session pattern for “Body copy” without erasing contextual detail.</x:v>
      </x:c>
      <x:c r="M144" s="128" t="str">
        <x:v>State the access issue plainly, preserve the return path where possible, and make the next sign-in action explicit.</x:v>
      </x:c>
      <x:c r="N144" s="137" t="str">
        <x:v>Not set — use original Final Copy Override cells</x:v>
      </x:c>
    </x:row>
    <x:row r="145" ht="42" customHeight="1">
      <x:c r="A145" s="128" t="str">
        <x:v>UX-029</x:v>
      </x:c>
      <x:c r="B145" s="134" t="str">
        <x:v>Near UX pattern</x:v>
      </x:c>
      <x:c r="C145" s="143" t="str">
        <x:v>2 · Trust / high-stakes</x:v>
      </x:c>
      <x:c r="D145" s="128" t="n">
        <x:v>549</x:v>
      </x:c>
      <x:c r="E145" s="128" t="str">
        <x:v>access / session</x:v>
      </x:c>
      <x:c r="F145" s="128" t="str">
        <x:v>access / session · open / load · support</x:v>
      </x:c>
      <x:c r="G145" s="128" t="n">
        <x:v>3</x:v>
      </x:c>
      <x:c r="H145" s="128" t="str">
        <x:v>MRV-2C6DC8C97A, MRV-ABBEA3C174, MRV-DBA1FDD6D1</x:v>
      </x:c>
      <x:c r="I145" s="128" t="str">
        <x:v>Trip mode</x:v>
      </x:c>
      <x:c r="J145" s="128" t="str">
        <x:v>TripModeClient (Session expired)</x:v>
      </x:c>
      <x:c r="K145" s="128" t="str">
        <x:v>This trip changed on another device. Your edit remains on this device until you reload the cloud copy. | The cloud copy is open. Your different device copy is still preserved until you explicitly resolve or discard it. | Reload cloud copy</x:v>
      </x:c>
      <x:c r="L145" s="128" t="str">
        <x:v>Set a consistent access / session pattern for “open / load” without erasing contextual detail.</x:v>
      </x:c>
      <x:c r="M145" s="128" t="str">
        <x:v>State the access issue plainly, preserve the return path where possible, and make the next sign-in action explicit.</x:v>
      </x:c>
      <x:c r="N145" s="137" t="str">
        <x:v>Not set — use original Final Copy Override cells</x:v>
      </x:c>
    </x:row>
    <x:row r="146" ht="42" customHeight="1">
      <x:c r="A146" s="128" t="str">
        <x:v>UX-030</x:v>
      </x:c>
      <x:c r="B146" s="134" t="str">
        <x:v>Near UX pattern</x:v>
      </x:c>
      <x:c r="C146" s="143" t="str">
        <x:v>2 · Trust / high-stakes</x:v>
      </x:c>
      <x:c r="D146" s="128" t="n">
        <x:v>549</x:v>
      </x:c>
      <x:c r="E146" s="128" t="str">
        <x:v>error / recovery</x:v>
      </x:c>
      <x:c r="F146" s="128" t="str">
        <x:v>error / recovery · sign in · action</x:v>
      </x:c>
      <x:c r="G146" s="128" t="n">
        <x:v>3</x:v>
      </x:c>
      <x:c r="H146" s="128" t="str">
        <x:v>MRV-1C4935D8B1, MRV-3A19599F7F, MRV-4992FFD7A0</x:v>
      </x:c>
      <x:c r="I146" s="128" t="str">
        <x:v>Sign in / recovery</x:v>
      </x:c>
      <x:c r="J146" s="128" t="str">
        <x:v>LoginForm (Default)</x:v>
      </x:c>
      <x:c r="K146" s="128" t="str">
        <x:v>Sign in to keep this exact trip and continue planning on another device. | Sign in | Sign in →</x:v>
      </x:c>
      <x:c r="L146" s="128" t="str">
        <x:v>Set a consistent error / recovery pattern for “sign in” without erasing contextual detail.</x:v>
      </x:c>
      <x:c r="M146" s="128" t="str">
        <x:v>Name what failed, say whether work is safe, then offer one clear recovery action. Keep the cause only when it helps the traveller act.</x:v>
      </x:c>
      <x:c r="N146" s="137" t="str">
        <x:v>Not set — use original Final Copy Override cells</x:v>
      </x:c>
    </x:row>
    <x:row r="147" ht="42" customHeight="1">
      <x:c r="A147" s="128" t="str">
        <x:v>UX-031</x:v>
      </x:c>
      <x:c r="B147" s="134" t="str">
        <x:v>Near UX pattern</x:v>
      </x:c>
      <x:c r="C147" s="143" t="str">
        <x:v>2 · Trust / high-stakes</x:v>
      </x:c>
      <x:c r="D147" s="128" t="n">
        <x:v>549</x:v>
      </x:c>
      <x:c r="E147" s="128" t="str">
        <x:v>loading / in progress</x:v>
      </x:c>
      <x:c r="F147" s="128" t="str">
        <x:v>loading / in progress · save · action</x:v>
      </x:c>
      <x:c r="G147" s="128" t="n">
        <x:v>3</x:v>
      </x:c>
      <x:c r="H147" s="128" t="str">
        <x:v>MRV-6B200B5000, MRV-ECBC8E1069, MRV-466A729B3E</x:v>
      </x:c>
      <x:c r="I147" s="128" t="str">
        <x:v>Admin operations · Dashboard · Trip mode</x:v>
      </x:c>
      <x:c r="J147" s="128" t="str">
        <x:v>FeedbackTriageList (Loading / in progress) · DashboardClient (Loading / in progress) · TripModeClient (Loading / in progress)</x:v>
      </x:c>
      <x:c r="K147" s="128" t="str">
        <x:v>Save triage | Checking for a saved trip on this device… | Checking the current account before showing device-saved details.</x:v>
      </x:c>
      <x:c r="L147" s="128" t="str">
        <x:v>Set a consistent loading / in progress pattern for “save” without erasing contextual detail.</x:v>
      </x:c>
      <x:c r="M147" s="128" t="str">
        <x:v>Use one short present-tense progress message. Explain preservation only when it reassures the traveller about their work.</x:v>
      </x:c>
      <x:c r="N147" s="137" t="str">
        <x:v>Not set — use original Final Copy Override cells</x:v>
      </x:c>
    </x:row>
    <x:row r="148" ht="42" customHeight="1">
      <x:c r="A148" s="128" t="str">
        <x:v>EX-111</x:v>
      </x:c>
      <x:c r="B148" s="134" t="str">
        <x:v>Exact phrase</x:v>
      </x:c>
      <x:c r="C148" s="143" t="str">
        <x:v>2 · Trust / high-stakes</x:v>
      </x:c>
      <x:c r="D148" s="128" t="n">
        <x:v>548</x:v>
      </x:c>
      <x:c r="E148" s="128" t="str">
        <x:v>standard action / label</x:v>
      </x:c>
      <x:c r="F148" s="128" t="str">
        <x:v>Good value</x:v>
      </x:c>
      <x:c r="G148" s="128" t="n">
        <x:v>2</x:v>
      </x:c>
      <x:c r="H148" s="128" t="str">
        <x:v>MRV-E079E2E076, MRV-0234515EFE</x:v>
      </x:c>
      <x:c r="I148" s="128" t="str">
        <x:v>Profile · Planner recommendations</x:v>
      </x:c>
      <x:c r="J148" s="128" t="str">
        <x:v>comfortOptions (Default) · JourneyMapPlannerWorkspace (Default)</x:v>
      </x:c>
      <x:c r="K148" s="128" t="str">
        <x:v>Good value | good value</x:v>
      </x:c>
      <x:c r="L148" s="128" t="str">
        <x:v>Should this shared wording stay identical across every listed surface?</x:v>
      </x:c>
      <x:c r="M148" s="128" t="str">
        <x:v>Confirm a shared wording only if the same user intent applies. Keep surface-specific detail where the action or consequence differs.</x:v>
      </x:c>
      <x:c r="N148" s="137" t="str">
        <x:v>Not set — use original Final Copy Override cells</x:v>
      </x:c>
    </x:row>
    <x:row r="149" ht="42" customHeight="1">
      <x:c r="A149" s="128" t="str">
        <x:v>EX-112</x:v>
      </x:c>
      <x:c r="B149" s="134" t="str">
        <x:v>Exact phrase</x:v>
      </x:c>
      <x:c r="C149" s="143" t="str">
        <x:v>2 · Trust / high-stakes</x:v>
      </x:c>
      <x:c r="D149" s="128" t="n">
        <x:v>548</x:v>
      </x:c>
      <x:c r="E149" s="128" t="str">
        <x:v>error / recovery · standard action / label</x:v>
      </x:c>
      <x:c r="F149" s="128" t="str">
        <x:v>Save this trip.</x:v>
      </x:c>
      <x:c r="G149" s="128" t="n">
        <x:v>2</x:v>
      </x:c>
      <x:c r="H149" s="128" t="str">
        <x:v>MRV-738924D534, MRV-ABCB976751</x:v>
      </x:c>
      <x:c r="I149" s="128" t="str">
        <x:v>Sign in / recovery · Overview</x:v>
      </x:c>
      <x:c r="J149" s="128" t="str">
        <x:v>LoginForm (Default) · TripShellResolver (Default)</x:v>
      </x:c>
      <x:c r="K149" s="128" t="str">
        <x:v>Save this trip. | Save this trip</x:v>
      </x:c>
      <x:c r="L149" s="128" t="str">
        <x:v>Should this shared wording stay identical across every listed surface?</x:v>
      </x:c>
      <x:c r="M149" s="128" t="str">
        <x:v>Use “trip” for the saved plan and its workspace. Keep “journey” only for editorial, brand-level language.</x:v>
      </x:c>
      <x:c r="N149" s="137" t="str">
        <x:v>Not set — use original Final Copy Override cells</x:v>
      </x:c>
    </x:row>
    <x:row r="150" ht="42" customHeight="1">
      <x:c r="A150" s="128" t="str">
        <x:v>EX-113</x:v>
      </x:c>
      <x:c r="B150" s="134" t="str">
        <x:v>Exact phrase</x:v>
      </x:c>
      <x:c r="C150" s="143" t="str">
        <x:v>2 · Trust / high-stakes</x:v>
      </x:c>
      <x:c r="D150" s="128" t="n">
        <x:v>548</x:v>
      </x:c>
      <x:c r="E150" s="128" t="str">
        <x:v>standard action / label</x:v>
      </x:c>
      <x:c r="F150" s="128" t="str">
        <x:v>Sign in to finish syncing</x:v>
      </x:c>
      <x:c r="G150" s="128" t="n">
        <x:v>2</x:v>
      </x:c>
      <x:c r="H150" s="128" t="str">
        <x:v>MRV-3E657F99F3, MRV-4AFE8D750D</x:v>
      </x:c>
      <x:c r="I150" s="128" t="str">
        <x:v>Dashboard · Overview</x:v>
      </x:c>
      <x:c r="J150" s="128" t="str">
        <x:v>DashboardClient (Default) · TripShellResolver (Default)</x:v>
      </x:c>
      <x:c r="K150" s="128" t="str">
        <x:v>Sign in to finish syncing</x:v>
      </x:c>
      <x:c r="L150" s="128" t="str">
        <x:v>Should this shared wording stay identical across every listed surface?</x:v>
      </x:c>
      <x:c r="M150" s="128" t="str">
        <x:v>Confirm a shared wording only if the same user intent applies. Keep surface-specific detail where the action or consequence differs.</x:v>
      </x:c>
      <x:c r="N150" s="137" t="str">
        <x:v>Not set — use original Final Copy Override cells</x:v>
      </x:c>
    </x:row>
    <x:row r="151" ht="42" customHeight="1">
      <x:c r="A151" s="128" t="str">
        <x:v>EX-114</x:v>
      </x:c>
      <x:c r="B151" s="134" t="str">
        <x:v>Exact phrase</x:v>
      </x:c>
      <x:c r="C151" s="143" t="str">
        <x:v>2 · Trust / high-stakes</x:v>
      </x:c>
      <x:c r="D151" s="128" t="n">
        <x:v>548</x:v>
      </x:c>
      <x:c r="E151" s="128" t="str">
        <x:v>access / session</x:v>
      </x:c>
      <x:c r="F151" s="128" t="str">
        <x:v>Your session expired. Your edits are still safe on this device; sign in again to sync them.</x:v>
      </x:c>
      <x:c r="G151" s="128" t="n">
        <x:v>2</x:v>
      </x:c>
      <x:c r="H151" s="128" t="str">
        <x:v>MRV-BCE0EDB142, MRV-B607495C54</x:v>
      </x:c>
      <x:c r="I151" s="128" t="str">
        <x:v>Planner recommendations</x:v>
      </x:c>
      <x:c r="J151" s="128" t="str">
        <x:v>changeRecommendation (Session expired) · savePlan (Session expired)</x:v>
      </x:c>
      <x:c r="K151" s="128" t="str">
        <x:v>Your session expired. Your edits are still safe on this device; sign in again to sync them.</x:v>
      </x:c>
      <x:c r="L151" s="128" t="str">
        <x:v>Should this shared wording stay identical across every listed surface?</x:v>
      </x:c>
      <x:c r="M151" s="128" t="str">
        <x:v>State the access issue plainly, preserve the return path where possible, and make the next sign-in action explicit.</x:v>
      </x:c>
      <x:c r="N151" s="137" t="str">
        <x:v>Not set — use original Final Copy Override cells</x:v>
      </x:c>
    </x:row>
    <x:row r="152" ht="42" customHeight="1">
      <x:c r="A152" s="128" t="str">
        <x:v>UX-032</x:v>
      </x:c>
      <x:c r="B152" s="134" t="str">
        <x:v>Near UX pattern</x:v>
      </x:c>
      <x:c r="C152" s="143" t="str">
        <x:v>2 · Trust / high-stakes</x:v>
      </x:c>
      <x:c r="D152" s="128" t="n">
        <x:v>548</x:v>
      </x:c>
      <x:c r="E152" s="128" t="str">
        <x:v>access / session</x:v>
      </x:c>
      <x:c r="F152" s="128" t="str">
        <x:v>access / session · build trip · support</x:v>
      </x:c>
      <x:c r="G152" s="128" t="n">
        <x:v>2</x:v>
      </x:c>
      <x:c r="H152" s="128" t="str">
        <x:v>MRV-70BCFB4698, MRV-38A56FB7A2</x:v>
      </x:c>
      <x:c r="I152" s="128" t="str">
        <x:v>New trip builder</x:v>
      </x:c>
      <x:c r="J152" s="128" t="str">
        <x:v>TripBuilderDocument (Wrong owner / access denied) · TripBuilderDocument (Session expired)</x:v>
      </x:c>
      <x:c r="K152" s="128" t="str">
        <x:v>This trip is not available to the current browser account. Its original device copy remains preserved in its owner scope. | Iniciar sesión de nuevo</x:v>
      </x:c>
      <x:c r="L152" s="128" t="str">
        <x:v>Set a consistent access / session pattern for “build trip” without erasing contextual detail.</x:v>
      </x:c>
      <x:c r="M152" s="128" t="str">
        <x:v>State the access issue plainly, preserve the return path where possible, and make the next sign-in action explicit.</x:v>
      </x:c>
      <x:c r="N152" s="137" t="str">
        <x:v>Not set — use original Final Copy Override cells</x:v>
      </x:c>
    </x:row>
    <x:row r="153" ht="42" customHeight="1">
      <x:c r="A153" s="128" t="str">
        <x:v>UX-033</x:v>
      </x:c>
      <x:c r="B153" s="134" t="str">
        <x:v>Near UX pattern</x:v>
      </x:c>
      <x:c r="C153" s="143" t="str">
        <x:v>2 · Trust / high-stakes</x:v>
      </x:c>
      <x:c r="D153" s="128" t="n">
        <x:v>548</x:v>
      </x:c>
      <x:c r="E153" s="128" t="str">
        <x:v>access / session</x:v>
      </x:c>
      <x:c r="F153" s="128" t="str">
        <x:v>access / session · Label · support</x:v>
      </x:c>
      <x:c r="G153" s="128" t="n">
        <x:v>5</x:v>
      </x:c>
      <x:c r="H153" s="128" t="str">
        <x:v>MRV-C92FDD9748, MRV-2D0AC4AAD2, MRV-E83C0E518F, MRV-BA8E9B8FBF, MRV-15AC14855D</x:v>
      </x:c>
      <x:c r="I153" s="128" t="str">
        <x:v>Admin operations · Dashboard · Profile · Overview · Planner recommendations</x:v>
      </x:c>
      <x:c r="J153" s="128" t="str">
        <x:v>FeedbackTriageList (Wrong owner / access denied) · DashboardClient (Session expired) · ProfileForm (Session expired) · TripShellTripProvider (Session expired) +1 more</x:v>
      </x:c>
      <x:c r="K153" s="128" t="str">
        <x:v>Unknown account | Your session ended | Iniciar sesión de nuevo</x:v>
      </x:c>
      <x:c r="L153" s="128" t="str">
        <x:v>Set a consistent access / session pattern for “Label” without erasing contextual detail.</x:v>
      </x:c>
      <x:c r="M153" s="128" t="str">
        <x:v>State the access issue plainly, preserve the return path where possible, and make the next sign-in action explicit.</x:v>
      </x:c>
      <x:c r="N153" s="137" t="str">
        <x:v>Not set — use original Final Copy Override cells</x:v>
      </x:c>
    </x:row>
    <x:row r="154" ht="42" customHeight="1">
      <x:c r="A154" s="128" t="str">
        <x:v>UX-034</x:v>
      </x:c>
      <x:c r="B154" s="134" t="str">
        <x:v>Near UX pattern</x:v>
      </x:c>
      <x:c r="C154" s="143" t="str">
        <x:v>2 · Trust / high-stakes</x:v>
      </x:c>
      <x:c r="D154" s="128" t="n">
        <x:v>548</x:v>
      </x:c>
      <x:c r="E154" s="128" t="str">
        <x:v>access / session</x:v>
      </x:c>
      <x:c r="F154" s="128" t="str">
        <x:v>access / session · retry · support</x:v>
      </x:c>
      <x:c r="G154" s="128" t="n">
        <x:v>2</x:v>
      </x:c>
      <x:c r="H154" s="128" t="str">
        <x:v>MRV-C6F068C1D2, MRV-4C09E87F73</x:v>
      </x:c>
      <x:c r="I154" s="128" t="str">
        <x:v>Dashboard</x:v>
      </x:c>
      <x:c r="J154" s="128" t="str">
        <x:v>runAction (Session expired) · remove (Session expired)</x:v>
      </x:c>
      <x:c r="K154" s="128" t="str">
        <x:v>This trip could not be updated. Try again. | This trip could not be removed. Try again.</x:v>
      </x:c>
      <x:c r="L154" s="128" t="str">
        <x:v>Set a consistent access / session pattern for “retry” without erasing contextual detail.</x:v>
      </x:c>
      <x:c r="M154" s="128" t="str">
        <x:v>State the access issue plainly, preserve the return path where possible, and make the next sign-in action explicit.</x:v>
      </x:c>
      <x:c r="N154" s="137" t="str">
        <x:v>Not set — use original Final Copy Override cells</x:v>
      </x:c>
    </x:row>
    <x:row r="155" ht="42" customHeight="1">
      <x:c r="A155" s="128" t="str">
        <x:v>UX-035</x:v>
      </x:c>
      <x:c r="B155" s="134" t="str">
        <x:v>Near UX pattern</x:v>
      </x:c>
      <x:c r="C155" s="143" t="str">
        <x:v>2 · Trust / high-stakes</x:v>
      </x:c>
      <x:c r="D155" s="128" t="n">
        <x:v>548</x:v>
      </x:c>
      <x:c r="E155" s="128" t="str">
        <x:v>access / session</x:v>
      </x:c>
      <x:c r="F155" s="128" t="str">
        <x:v>access / session · save · support</x:v>
      </x:c>
      <x:c r="G155" s="128" t="n">
        <x:v>2</x:v>
      </x:c>
      <x:c r="H155" s="128" t="str">
        <x:v>MRV-1AE5A754D5, MRV-4C707BC474</x:v>
      </x:c>
      <x:c r="I155" s="128" t="str">
        <x:v>Trip mode</x:v>
      </x:c>
      <x:c r="J155" s="128" t="str">
        <x:v>TripModeClient (Session expired)</x:v>
      </x:c>
      <x:c r="K155" s="128" t="str">
        <x:v>A different device recovery already exists for this trip. This change was not saved or synced; open the device copy to resolve it first. | This change is only in this open tab. Browser storage could not save it, so it was not synced.</x:v>
      </x:c>
      <x:c r="L155" s="128" t="str">
        <x:v>Set a consistent access / session pattern for “save” without erasing contextual detail.</x:v>
      </x:c>
      <x:c r="M155" s="128" t="str">
        <x:v>State the access issue plainly, preserve the return path where possible, and make the next sign-in action explicit.</x:v>
      </x:c>
      <x:c r="N155" s="137" t="str">
        <x:v>Not set — use original Final Copy Override cells</x:v>
      </x:c>
    </x:row>
    <x:row r="156" ht="42" customHeight="1">
      <x:c r="A156" s="128" t="str">
        <x:v>EX-115</x:v>
      </x:c>
      <x:c r="B156" s="134" t="str">
        <x:v>Exact phrase</x:v>
      </x:c>
      <x:c r="C156" s="143" t="str">
        <x:v>2 · Trust / high-stakes</x:v>
      </x:c>
      <x:c r="D156" s="128" t="n">
        <x:v>545</x:v>
      </x:c>
      <x:c r="E156" s="128" t="str">
        <x:v>access / session</x:v>
      </x:c>
      <x:c r="F156" s="128" t="str">
        <x:v>Iniciar sesión de nuevo</x:v>
      </x:c>
      <x:c r="G156" s="128" t="n">
        <x:v>2</x:v>
      </x:c>
      <x:c r="H156" s="128" t="str">
        <x:v>MRV-38A56FB7A2, MRV-15AC14855D</x:v>
      </x:c>
      <x:c r="I156" s="128" t="str">
        <x:v>New trip builder · Planner recommendations</x:v>
      </x:c>
      <x:c r="J156" s="128" t="str">
        <x:v>TripBuilderDocument (Session expired) · JourneyMapPlannerWorkspace (Session expired)</x:v>
      </x:c>
      <x:c r="K156" s="128" t="str">
        <x:v>Iniciar sesión de nuevo</x:v>
      </x:c>
      <x:c r="L156" s="128" t="str">
        <x:v>Should this shared wording stay identical across every listed surface?</x:v>
      </x:c>
      <x:c r="M156" s="128" t="str">
        <x:v>State the access issue plainly, preserve the return path where possible, and make the next sign-in action explicit.</x:v>
      </x:c>
      <x:c r="N156" s="137" t="str">
        <x:v>Not set — use original Final Copy Override cells</x:v>
      </x:c>
    </x:row>
    <x:row r="157" ht="42" customHeight="1">
      <x:c r="A157" s="128" t="str">
        <x:v>EX-116</x:v>
      </x:c>
      <x:c r="B157" s="134" t="str">
        <x:v>Exact phrase</x:v>
      </x:c>
      <x:c r="C157" s="143" t="str">
        <x:v>2 · Trust / high-stakes</x:v>
      </x:c>
      <x:c r="D157" s="128" t="n">
        <x:v>545</x:v>
      </x:c>
      <x:c r="E157" s="128" t="str">
        <x:v>standard action / label</x:v>
      </x:c>
      <x:c r="F157" s="128" t="str">
        <x:v>Passport info</x:v>
      </x:c>
      <x:c r="G157" s="128" t="n">
        <x:v>2</x:v>
      </x:c>
      <x:c r="H157" s="128" t="str">
        <x:v>MRV-77942EFB7E, MRV-987D460216</x:v>
      </x:c>
      <x:c r="I157" s="128" t="str">
        <x:v>Primary navigation</x:v>
      </x:c>
      <x:c r="J157" s="128" t="str">
        <x:v>EasyTNavigation (Default)</x:v>
      </x:c>
      <x:c r="K157" s="128" t="str">
        <x:v>Passport info</x:v>
      </x:c>
      <x:c r="L157" s="128" t="str">
        <x:v>Should this shared wording stay identical across every listed surface?</x:v>
      </x:c>
      <x:c r="M157" s="128" t="str">
        <x:v>Confirm a shared wording only if the same user intent applies. Keep surface-specific detail where the action or consequence differs.</x:v>
      </x:c>
      <x:c r="N157" s="137" t="str">
        <x:v>Not set — use original Final Copy Override cells</x:v>
      </x:c>
    </x:row>
    <x:row r="158" ht="42" customHeight="1">
      <x:c r="A158" s="128" t="str">
        <x:v>EX-117</x:v>
      </x:c>
      <x:c r="B158" s="134" t="str">
        <x:v>Exact phrase</x:v>
      </x:c>
      <x:c r="C158" s="143" t="str">
        <x:v>2 · Trust / high-stakes</x:v>
      </x:c>
      <x:c r="D158" s="128" t="n">
        <x:v>545</x:v>
      </x:c>
      <x:c r="E158" s="128" t="str">
        <x:v>access / session · standard action / label</x:v>
      </x:c>
      <x:c r="F158" s="128" t="str">
        <x:v>Reload cloud copy</x:v>
      </x:c>
      <x:c r="G158" s="128" t="n">
        <x:v>2</x:v>
      </x:c>
      <x:c r="H158" s="128" t="str">
        <x:v>MRV-DBA1FDD6D1, MRV-20D224C182</x:v>
      </x:c>
      <x:c r="I158" s="128" t="str">
        <x:v>Trip mode · Planner recommendations</x:v>
      </x:c>
      <x:c r="J158" s="128" t="str">
        <x:v>TripModeClient (Session expired) · JourneyMapPlannerWorkspace (Default)</x:v>
      </x:c>
      <x:c r="K158" s="128" t="str">
        <x:v>Reload cloud copy</x:v>
      </x:c>
      <x:c r="L158" s="128" t="str">
        <x:v>Should this shared wording stay identical across every listed surface?</x:v>
      </x:c>
      <x:c r="M158" s="128" t="str">
        <x:v>Confirm a shared wording only if the same user intent applies. Keep surface-specific detail where the action or consequence differs.</x:v>
      </x:c>
      <x:c r="N158" s="137" t="str">
        <x:v>Not set — use original Final Copy Override cells</x:v>
      </x:c>
    </x:row>
    <x:row r="159" ht="42" customHeight="1">
      <x:c r="A159" s="128" t="str">
        <x:v>EX-118</x:v>
      </x:c>
      <x:c r="B159" s="134" t="str">
        <x:v>Exact phrase</x:v>
      </x:c>
      <x:c r="C159" s="143" t="str">
        <x:v>2 · Trust / high-stakes</x:v>
      </x:c>
      <x:c r="D159" s="128" t="n">
        <x:v>545</x:v>
      </x:c>
      <x:c r="E159" s="128" t="str">
        <x:v>standard action / label</x:v>
      </x:c>
      <x:c r="F159" s="128" t="str">
        <x:v>Visa on arrival</x:v>
      </x:c>
      <x:c r="G159" s="128" t="n">
        <x:v>2</x:v>
      </x:c>
      <x:c r="H159" s="128" t="str">
        <x:v>MRV-E4E7CC68F9, MRV-C4D9A8AEEC</x:v>
      </x:c>
      <x:c r="I159" s="128" t="str">
        <x:v>Passport</x:v>
      </x:c>
      <x:c r="J159" s="128" t="str">
        <x:v>statusDetails (Default) · statusFromDataset (Default)</x:v>
      </x:c>
      <x:c r="K159" s="128" t="str">
        <x:v>Visa on arrival | visa on arrival</x:v>
      </x:c>
      <x:c r="L159" s="128" t="str">
        <x:v>Should this shared wording stay identical across every listed surface?</x:v>
      </x:c>
      <x:c r="M159" s="128" t="str">
        <x:v>Confirm a shared wording only if the same user intent applies. Keep surface-specific detail where the action or consequence differs.</x:v>
      </x:c>
      <x:c r="N159" s="137" t="str">
        <x:v>Not set — use original Final Copy Override cells</x:v>
      </x:c>
    </x:row>
    <x:row r="160" ht="42" customHeight="1">
      <x:c r="A160" s="128" t="str">
        <x:v>EX-119</x:v>
      </x:c>
      <x:c r="B160" s="134" t="str">
        <x:v>Exact phrase</x:v>
      </x:c>
      <x:c r="C160" s="143" t="str">
        <x:v>2 · Trust / high-stakes</x:v>
      </x:c>
      <x:c r="D160" s="128" t="n">
        <x:v>545</x:v>
      </x:c>
      <x:c r="E160" s="128" t="str">
        <x:v>standard action / label</x:v>
      </x:c>
      <x:c r="F160" s="128" t="str">
        <x:v>Visa required</x:v>
      </x:c>
      <x:c r="G160" s="128" t="n">
        <x:v>2</x:v>
      </x:c>
      <x:c r="H160" s="128" t="str">
        <x:v>MRV-654C248B3E, MRV-64DAA7BC42</x:v>
      </x:c>
      <x:c r="I160" s="128" t="str">
        <x:v>Passport</x:v>
      </x:c>
      <x:c r="J160" s="128" t="str">
        <x:v>statusDetails (Default) · statusFromDataset (Default)</x:v>
      </x:c>
      <x:c r="K160" s="128" t="str">
        <x:v>Visa required | visa required</x:v>
      </x:c>
      <x:c r="L160" s="128" t="str">
        <x:v>Should this shared wording stay identical across every listed surface?</x:v>
      </x:c>
      <x:c r="M160" s="128" t="str">
        <x:v>Confirm a shared wording only if the same user intent applies. Keep surface-specific detail where the action or consequence differs.</x:v>
      </x:c>
      <x:c r="N160" s="137" t="str">
        <x:v>Not set — use original Final Copy Override cells</x:v>
      </x:c>
    </x:row>
    <x:row r="161" ht="42" customHeight="1">
      <x:c r="A161" s="128" t="str">
        <x:v>UX-036</x:v>
      </x:c>
      <x:c r="B161" s="134" t="str">
        <x:v>Near UX pattern</x:v>
      </x:c>
      <x:c r="C161" s="143" t="str">
        <x:v>2 · Trust / high-stakes</x:v>
      </x:c>
      <x:c r="D161" s="128" t="n">
        <x:v>534</x:v>
      </x:c>
      <x:c r="E161" s="128" t="str">
        <x:v>error / recovery</x:v>
      </x:c>
      <x:c r="F161" s="128" t="str">
        <x:v>error / recovery · Placeholder · support</x:v>
      </x:c>
      <x:c r="G161" s="128" t="n">
        <x:v>5</x:v>
      </x:c>
      <x:c r="H161" s="128" t="str">
        <x:v>MRV-6599E9090A, MRV-5236DCC1A5, MRV-FDFDE21211, MRV-72CCEDB01B, MRV-110C6994FA</x:v>
      </x:c>
      <x:c r="I161" s="128" t="str">
        <x:v>Sign in / recovery · Shared recovery / system</x:v>
      </x:c>
      <x:c r="J161" s="128" t="str">
        <x:v>LoginForm (Accessibility / input support) · ResetPasswordForm (Accessibility / input support) · copy (Accessibility / input support)</x:v>
      </x:c>
      <x:c r="K161" s="128" t="str">
        <x:v>At least 8 characters | Repeat your password | ¿Qué podríamos mejorar? (opcional) | Anything we could improve? (optional)</x:v>
      </x:c>
      <x:c r="L161" s="128" t="str">
        <x:v>Set a consistent error / recovery pattern for “Placeholder” without erasing contextual detail.</x:v>
      </x:c>
      <x:c r="M161" s="128" t="str">
        <x:v>Name what failed, say whether work is safe, then offer one clear recovery action. Keep the cause only when it helps the traveller act.</x:v>
      </x:c>
      <x:c r="N161" s="137" t="str">
        <x:v>Not set — use original Final Copy Override cells</x:v>
      </x:c>
    </x:row>
    <x:row r="162" ht="42" customHeight="1">
      <x:c r="A162" s="128" t="str">
        <x:v>UX-037</x:v>
      </x:c>
      <x:c r="B162" s="134" t="str">
        <x:v>Near UX pattern</x:v>
      </x:c>
      <x:c r="C162" s="143" t="str">
        <x:v>2 · Trust / high-stakes</x:v>
      </x:c>
      <x:c r="D162" s="128" t="n">
        <x:v>534</x:v>
      </x:c>
      <x:c r="E162" s="128" t="str">
        <x:v>error / recovery</x:v>
      </x:c>
      <x:c r="F162" s="128" t="str">
        <x:v>error / recovery · Prompt / question · support</x:v>
      </x:c>
      <x:c r="G162" s="128" t="n">
        <x:v>2</x:v>
      </x:c>
      <x:c r="H162" s="128" t="str">
        <x:v>MRV-2E48C35DE8, MRV-B30FB086E4</x:v>
      </x:c>
      <x:c r="I162" s="128" t="str">
        <x:v>Sign in / recovery · Shared recovery / system</x:v>
      </x:c>
      <x:c r="J162" s="128" t="str">
        <x:v>LoginForm (Default) · JourneyRestaurantFinder (Default)</x:v>
      </x:c>
      <x:c r="K162" s="128" t="str">
        <x:v>New here? | What do you want to eat?</x:v>
      </x:c>
      <x:c r="L162" s="128" t="str">
        <x:v>Set a consistent error / recovery pattern for “Prompt / question” without erasing contextual detail.</x:v>
      </x:c>
      <x:c r="M162" s="128" t="str">
        <x:v>Name what failed, say whether work is safe, then offer one clear recovery action. Keep the cause only when it helps the traveller act.</x:v>
      </x:c>
      <x:c r="N162" s="137" t="str">
        <x:v>Not set — use original Final Copy Override cells</x:v>
      </x:c>
    </x:row>
    <x:row r="163" ht="42" customHeight="1">
      <x:c r="A163" s="128" t="str">
        <x:v>EX-120</x:v>
      </x:c>
      <x:c r="B163" s="134" t="str">
        <x:v>Exact phrase</x:v>
      </x:c>
      <x:c r="C163" s="143" t="str">
        <x:v>2 · Trust / high-stakes</x:v>
      </x:c>
      <x:c r="D163" s="128" t="n">
        <x:v>533</x:v>
      </x:c>
      <x:c r="E163" s="128" t="str">
        <x:v>standard action / label · contextual UX</x:v>
      </x:c>
      <x:c r="F163" s="128" t="str">
        <x:v>Comfort level</x:v>
      </x:c>
      <x:c r="G163" s="128" t="n">
        <x:v>2</x:v>
      </x:c>
      <x:c r="H163" s="128" t="str">
        <x:v>MRV-FA2443A751, MRV-0C7756FBCA</x:v>
      </x:c>
      <x:c r="I163" s="128" t="str">
        <x:v>Profile</x:v>
      </x:c>
      <x:c r="J163" s="128" t="str">
        <x:v>ProfileForm (Default) · ProfileForm (Accessibility / input support)</x:v>
      </x:c>
      <x:c r="K163" s="128" t="str">
        <x:v>Comfort level</x:v>
      </x:c>
      <x:c r="L163" s="128" t="str">
        <x:v>Should this shared wording stay identical across every listed surface?</x:v>
      </x:c>
      <x:c r="M163" s="128" t="str">
        <x:v>Confirm a shared wording only if the same user intent applies. Keep surface-specific detail where the action or consequence differs.</x:v>
      </x:c>
      <x:c r="N163" s="137" t="str">
        <x:v>Not set — use original Final Copy Override cells</x:v>
      </x:c>
    </x:row>
    <x:row r="164" ht="42" customHeight="1">
      <x:c r="A164" s="128" t="str">
        <x:v>EX-121</x:v>
      </x:c>
      <x:c r="B164" s="134" t="str">
        <x:v>Exact phrase</x:v>
      </x:c>
      <x:c r="C164" s="143" t="str">
        <x:v>2 · Trust / high-stakes</x:v>
      </x:c>
      <x:c r="D164" s="128" t="n">
        <x:v>531</x:v>
      </x:c>
      <x:c r="E164" s="128" t="str">
        <x:v>error / recovery</x:v>
      </x:c>
      <x:c r="F164" s="128" t="str">
        <x:v>At least 8 characters</x:v>
      </x:c>
      <x:c r="G164" s="128" t="n">
        <x:v>2</x:v>
      </x:c>
      <x:c r="H164" s="128" t="str">
        <x:v>MRV-6599E9090A, MRV-5236DCC1A5</x:v>
      </x:c>
      <x:c r="I164" s="128" t="str">
        <x:v>Sign in / recovery</x:v>
      </x:c>
      <x:c r="J164" s="128" t="str">
        <x:v>LoginForm (Accessibility / input support) · ResetPasswordForm (Accessibility / input support)</x:v>
      </x:c>
      <x:c r="K164" s="128" t="str">
        <x:v>At least 8 characters</x:v>
      </x:c>
      <x:c r="L164" s="128" t="str">
        <x:v>Should this shared wording stay identical across every listed surface?</x:v>
      </x:c>
      <x:c r="M164" s="128" t="str">
        <x:v>Name what failed, say whether work is safe, then offer one clear recovery action. Keep the cause only when it helps the traveller act.</x:v>
      </x:c>
      <x:c r="N164" s="137" t="str">
        <x:v>Not set — use original Final Copy Override cells</x:v>
      </x:c>
    </x:row>
    <x:row r="165" ht="42" customHeight="1">
      <x:c r="A165" s="128" t="str">
        <x:v>UX-038</x:v>
      </x:c>
      <x:c r="B165" s="134" t="str">
        <x:v>Near UX pattern</x:v>
      </x:c>
      <x:c r="C165" s="143" t="str">
        <x:v>2 · Trust / high-stakes</x:v>
      </x:c>
      <x:c r="D165" s="128" t="n">
        <x:v>527</x:v>
      </x:c>
      <x:c r="E165" s="128" t="str">
        <x:v>error / recovery</x:v>
      </x:c>
      <x:c r="F165" s="128" t="str">
        <x:v>error / recovery · sign in · support</x:v>
      </x:c>
      <x:c r="G165" s="128" t="n">
        <x:v>3</x:v>
      </x:c>
      <x:c r="H165" s="128" t="str">
        <x:v>MRV-A897740F05, MRV-CC5D2423D1, MRV-62CCE3EFC4</x:v>
      </x:c>
      <x:c r="I165" s="128" t="str">
        <x:v>Sign in / recovery</x:v>
      </x:c>
      <x:c r="J165" s="128" t="str">
        <x:v>LoginForm (Default) · metadata (Default) · ResetPasswordForm (Default)</x:v>
      </x:c>
      <x:c r="K165" s="128" t="str">
        <x:v>Your account is ready. We sent a one-time verification link to {initialEmail || "your email"}. Confirm it, then sign in below. | Sign in · Morrovia | You can now sign in with your new password.</x:v>
      </x:c>
      <x:c r="L165" s="128" t="str">
        <x:v>Set a consistent error / recovery pattern for “sign in” without erasing contextual detail.</x:v>
      </x:c>
      <x:c r="M165" s="128" t="str">
        <x:v>Name what failed, say whether work is safe, then offer one clear recovery action. Keep the cause only when it helps the traveller act.</x:v>
      </x:c>
      <x:c r="N165" s="137" t="str">
        <x:v>Not set — use original Final Copy Override cells</x:v>
      </x:c>
    </x:row>
    <x:row r="166" ht="42" customHeight="1">
      <x:c r="A166" s="128" t="str">
        <x:v>EX-122</x:v>
      </x:c>
      <x:c r="B166" s="134" t="str">
        <x:v>Exact phrase</x:v>
      </x:c>
      <x:c r="C166" s="143" t="str">
        <x:v>2 · Trust / high-stakes</x:v>
      </x:c>
      <x:c r="D166" s="128" t="n">
        <x:v>526</x:v>
      </x:c>
      <x:c r="E166" s="128" t="str">
        <x:v>standard action / label · error / recovery</x:v>
      </x:c>
      <x:c r="F166" s="128" t="str">
        <x:v>Food</x:v>
      </x:c>
      <x:c r="G166" s="128" t="n">
        <x:v>5</x:v>
      </x:c>
      <x:c r="H166" s="128" t="str">
        <x:v>MRV-C8C2BC0ED1, MRV-9572DA2D79, MRV-715135A4BA, MRV-68B7BE9AF3, MRV-6F0CAACB37</x:v>
      </x:c>
      <x:c r="I166" s="128" t="str">
        <x:v>Discover / Routes index · New trip builder · Profile · Shared recovery / system</x:v>
      </x:c>
      <x:c r="J166" s="128" t="str">
        <x:v>interests (Default) · FILTERS (Default) · TripBuilderDocument (Default) · priorityOptions (Default) +1 more</x:v>
      </x:c>
      <x:c r="K166" s="128" t="str">
        <x:v>Food</x:v>
      </x:c>
      <x:c r="L166" s="128" t="str">
        <x:v>Should this shared wording stay identical across every listed surface?</x:v>
      </x:c>
      <x:c r="M166" s="128" t="str">
        <x:v>Confirm a shared wording only if the same user intent applies. Keep surface-specific detail where the action or consequence differs.</x:v>
      </x:c>
      <x:c r="N166" s="137" t="str">
        <x:v>Not set — use original Final Copy Override cells</x:v>
      </x:c>
    </x:row>
    <x:row r="167" ht="42" customHeight="1">
      <x:c r="A167" s="128" t="str">
        <x:v>EX-123</x:v>
      </x:c>
      <x:c r="B167" s="134" t="str">
        <x:v>Exact phrase</x:v>
      </x:c>
      <x:c r="C167" s="143" t="str">
        <x:v>2 · Trust / high-stakes</x:v>
      </x:c>
      <x:c r="D167" s="128" t="n">
        <x:v>526</x:v>
      </x:c>
      <x:c r="E167" s="128" t="str">
        <x:v>standard action / label · error / recovery</x:v>
      </x:c>
      <x:c r="F167" s="128" t="str">
        <x:v>Nature</x:v>
      </x:c>
      <x:c r="G167" s="128" t="n">
        <x:v>5</x:v>
      </x:c>
      <x:c r="H167" s="128" t="str">
        <x:v>MRV-92E5F0325C, MRV-BFBDD67F40, MRV-4A1950F369, MRV-AC1415E31C, MRV-B9D5819A6F</x:v>
      </x:c>
      <x:c r="I167" s="128" t="str">
        <x:v>Discover / Routes index · New trip builder · Profile · Shared recovery / system</x:v>
      </x:c>
      <x:c r="J167" s="128" t="str">
        <x:v>interests (Default) · FILTERS (Default) · TripBuilderDocument (Default) · priorityOptions (Default) +1 more</x:v>
      </x:c>
      <x:c r="K167" s="128" t="str">
        <x:v>Nature</x:v>
      </x:c>
      <x:c r="L167" s="128" t="str">
        <x:v>Should this shared wording stay identical across every listed surface?</x:v>
      </x:c>
      <x:c r="M167" s="128" t="str">
        <x:v>Confirm a shared wording only if the same user intent applies. Keep surface-specific detail where the action or consequence differs.</x:v>
      </x:c>
      <x:c r="N167" s="137" t="str">
        <x:v>Not set — use original Final Copy Override cells</x:v>
      </x:c>
    </x:row>
    <x:row r="168" ht="42" customHeight="1">
      <x:c r="A168" s="128" t="str">
        <x:v>EX-124</x:v>
      </x:c>
      <x:c r="B168" s="134" t="str">
        <x:v>Exact phrase</x:v>
      </x:c>
      <x:c r="C168" s="143" t="str">
        <x:v>2 · Trust / high-stakes</x:v>
      </x:c>
      <x:c r="D168" s="128" t="n">
        <x:v>524</x:v>
      </x:c>
      <x:c r="E168" s="128" t="str">
        <x:v>standard action / label</x:v>
      </x:c>
      <x:c r="F168" s="128" t="str">
        <x:v>Culture</x:v>
      </x:c>
      <x:c r="G168" s="128" t="n">
        <x:v>3</x:v>
      </x:c>
      <x:c r="H168" s="128" t="str">
        <x:v>MRV-9DF6E9C2DF, MRV-6EC45A66D9, MRV-64BEA71EE0</x:v>
      </x:c>
      <x:c r="I168" s="128" t="str">
        <x:v>Discover / Routes index · New trip builder · Profile</x:v>
      </x:c>
      <x:c r="J168" s="128" t="str">
        <x:v>interests (Default) · TripBuilderDocument (Default) · priorityOptions (Default)</x:v>
      </x:c>
      <x:c r="K168" s="128" t="str">
        <x:v>Culture</x:v>
      </x:c>
      <x:c r="L168" s="128" t="str">
        <x:v>Should this shared wording stay identical across every listed surface?</x:v>
      </x:c>
      <x:c r="M168" s="128" t="str">
        <x:v>Confirm a shared wording only if the same user intent applies. Keep surface-specific detail where the action or consequence differs.</x:v>
      </x:c>
      <x:c r="N168" s="137" t="str">
        <x:v>Not set — use original Final Copy Override cells</x:v>
      </x:c>
    </x:row>
    <x:row r="169" ht="42" customHeight="1">
      <x:c r="A169" s="128" t="str">
        <x:v>EX-125</x:v>
      </x:c>
      <x:c r="B169" s="134" t="str">
        <x:v>Exact phrase</x:v>
      </x:c>
      <x:c r="C169" s="143" t="str">
        <x:v>2 · Trust / high-stakes</x:v>
      </x:c>
      <x:c r="D169" s="128" t="n">
        <x:v>524</x:v>
      </x:c>
      <x:c r="E169" s="128" t="str">
        <x:v>standard action / label · error / recovery</x:v>
      </x:c>
      <x:c r="F169" s="128" t="str">
        <x:v>Guatemala</x:v>
      </x:c>
      <x:c r="G169" s="128" t="n">
        <x:v>3</x:v>
      </x:c>
      <x:c r="H169" s="128" t="str">
        <x:v>MRV-EC635C3585, MRV-084C7E3056, MRV-24CB34D681</x:v>
      </x:c>
      <x:c r="I169" s="128" t="str">
        <x:v>Passport · Shared recovery / system</x:v>
      </x:c>
      <x:c r="J169" s="128" t="str">
        <x:v>PassportDestinationClient (Default) · countryCode (Default) · countryZoom (Default)</x:v>
      </x:c>
      <x:c r="K169" s="128" t="str">
        <x:v>Guatemala</x:v>
      </x:c>
      <x:c r="L169" s="128" t="str">
        <x:v>Should this shared wording stay identical across every listed surface?</x:v>
      </x:c>
      <x:c r="M169" s="128" t="str">
        <x:v>Confirm a shared wording only if the same user intent applies. Keep surface-specific detail where the action or consequence differs.</x:v>
      </x:c>
      <x:c r="N169" s="137" t="str">
        <x:v>Not set — use original Final Copy Override cells</x:v>
      </x:c>
    </x:row>
    <x:row r="170" ht="42" customHeight="1">
      <x:c r="A170" s="128" t="str">
        <x:v>EX-126</x:v>
      </x:c>
      <x:c r="B170" s="134" t="str">
        <x:v>Exact phrase</x:v>
      </x:c>
      <x:c r="C170" s="143" t="str">
        <x:v>2 · Trust / high-stakes</x:v>
      </x:c>
      <x:c r="D170" s="128" t="n">
        <x:v>524</x:v>
      </x:c>
      <x:c r="E170" s="128" t="str">
        <x:v>standard action / label · error / recovery</x:v>
      </x:c>
      <x:c r="F170" s="128" t="str">
        <x:v>United Kingdom</x:v>
      </x:c>
      <x:c r="G170" s="128" t="n">
        <x:v>3</x:v>
      </x:c>
      <x:c r="H170" s="128" t="str">
        <x:v>MRV-79D392B003, MRV-52DD8BE9F8, MRV-6714840F47</x:v>
      </x:c>
      <x:c r="I170" s="128" t="str">
        <x:v>Passport · Shared recovery / system</x:v>
      </x:c>
      <x:c r="J170" s="128" t="str">
        <x:v>PassportDestinationClient (Default) · adviceSourceFor (Default) · schengenAllowance (Default)</x:v>
      </x:c>
      <x:c r="K170" s="128" t="str">
        <x:v>United Kingdom | united kingdom</x:v>
      </x:c>
      <x:c r="L170" s="128" t="str">
        <x:v>Should this shared wording stay identical across every listed surface?</x:v>
      </x:c>
      <x:c r="M170" s="128" t="str">
        <x:v>Confirm a shared wording only if the same user intent applies. Keep surface-specific detail where the action or consequence differs.</x:v>
      </x:c>
      <x:c r="N170" s="137" t="str">
        <x:v>Not set — use original Final Copy Override cells</x:v>
      </x:c>
    </x:row>
    <x:row r="171" ht="42" customHeight="1">
      <x:c r="A171" s="128" t="str">
        <x:v>EX-127</x:v>
      </x:c>
      <x:c r="B171" s="134" t="str">
        <x:v>Exact phrase</x:v>
      </x:c>
      <x:c r="C171" s="143" t="str">
        <x:v>2 · Trust / high-stakes</x:v>
      </x:c>
      <x:c r="D171" s="128" t="n">
        <x:v>523</x:v>
      </x:c>
      <x:c r="E171" s="128" t="str">
        <x:v>standard action / label</x:v>
      </x:c>
      <x:c r="F171" s="128" t="str">
        <x:v>Denmark</x:v>
      </x:c>
      <x:c r="G171" s="128" t="n">
        <x:v>2</x:v>
      </x:c>
      <x:c r="H171" s="128" t="str">
        <x:v>MRV-3589413207, MRV-810DB4D66F</x:v>
      </x:c>
      <x:c r="I171" s="128" t="str">
        <x:v>Passport</x:v>
      </x:c>
      <x:c r="J171" s="128" t="str">
        <x:v>SCHENGEN_DESTINATIONS (Default) · EU_EEA_PASSPORTS (Default)</x:v>
      </x:c>
      <x:c r="K171" s="128" t="str">
        <x:v>Denmark</x:v>
      </x:c>
      <x:c r="L171" s="128" t="str">
        <x:v>Should this shared wording stay identical across every listed surface?</x:v>
      </x:c>
      <x:c r="M171" s="128" t="str">
        <x:v>Confirm a shared wording only if the same user intent applies. Keep surface-specific detail where the action or consequence differs.</x:v>
      </x:c>
      <x:c r="N171" s="137" t="str">
        <x:v>Not set — use original Final Copy Override cells</x:v>
      </x:c>
    </x:row>
    <x:row r="172" ht="42" customHeight="1">
      <x:c r="A172" s="128" t="str">
        <x:v>EX-128</x:v>
      </x:c>
      <x:c r="B172" s="134" t="str">
        <x:v>Exact phrase</x:v>
      </x:c>
      <x:c r="C172" s="143" t="str">
        <x:v>2 · Trust / high-stakes</x:v>
      </x:c>
      <x:c r="D172" s="128" t="n">
        <x:v>523</x:v>
      </x:c>
      <x:c r="E172" s="128" t="str">
        <x:v>error / recovery</x:v>
      </x:c>
      <x:c r="F172" s="128" t="str">
        <x:v>Email</x:v>
      </x:c>
      <x:c r="G172" s="128" t="n">
        <x:v>2</x:v>
      </x:c>
      <x:c r="H172" s="128" t="str">
        <x:v>MRV-479F085B56, MRV-6D73C902EC</x:v>
      </x:c>
      <x:c r="I172" s="128" t="str">
        <x:v>Sign in / recovery</x:v>
      </x:c>
      <x:c r="J172" s="128" t="str">
        <x:v>ForgotPasswordPage (Default) · LoginForm (Default)</x:v>
      </x:c>
      <x:c r="K172" s="128" t="str">
        <x:v>Email</x:v>
      </x:c>
      <x:c r="L172" s="128" t="str">
        <x:v>Should this shared wording stay identical across every listed surface?</x:v>
      </x:c>
      <x:c r="M172" s="128" t="str">
        <x:v>Name what failed, say whether work is safe, then offer one clear recovery action. Keep the cause only when it helps the traveller act.</x:v>
      </x:c>
      <x:c r="N172" s="137" t="str">
        <x:v>Not set — use original Final Copy Override cells</x:v>
      </x:c>
    </x:row>
    <x:row r="173" ht="42" customHeight="1">
      <x:c r="A173" s="128" t="str">
        <x:v>EX-129</x:v>
      </x:c>
      <x:c r="B173" s="134" t="str">
        <x:v>Exact phrase</x:v>
      </x:c>
      <x:c r="C173" s="143" t="str">
        <x:v>2 · Trust / high-stakes</x:v>
      </x:c>
      <x:c r="D173" s="128" t="n">
        <x:v>523</x:v>
      </x:c>
      <x:c r="E173" s="128" t="str">
        <x:v>standard action / label</x:v>
      </x:c>
      <x:c r="F173" s="128" t="str">
        <x:v>Finland</x:v>
      </x:c>
      <x:c r="G173" s="128" t="n">
        <x:v>2</x:v>
      </x:c>
      <x:c r="H173" s="128" t="str">
        <x:v>MRV-6A028B297E, MRV-790B2DD482</x:v>
      </x:c>
      <x:c r="I173" s="128" t="str">
        <x:v>Passport</x:v>
      </x:c>
      <x:c r="J173" s="128" t="str">
        <x:v>SCHENGEN_DESTINATIONS (Default) · EU_EEA_PASSPORTS (Default)</x:v>
      </x:c>
      <x:c r="K173" s="128" t="str">
        <x:v>Finland</x:v>
      </x:c>
      <x:c r="L173" s="128" t="str">
        <x:v>Should this shared wording stay identical across every listed surface?</x:v>
      </x:c>
      <x:c r="M173" s="128" t="str">
        <x:v>Confirm a shared wording only if the same user intent applies. Keep surface-specific detail where the action or consequence differs.</x:v>
      </x:c>
      <x:c r="N173" s="137" t="str">
        <x:v>Not set — use original Final Copy Override cells</x:v>
      </x:c>
    </x:row>
    <x:row r="174" ht="42" customHeight="1">
      <x:c r="A174" s="128" t="str">
        <x:v>EX-130</x:v>
      </x:c>
      <x:c r="B174" s="134" t="str">
        <x:v>Exact phrase</x:v>
      </x:c>
      <x:c r="C174" s="143" t="str">
        <x:v>2 · Trust / high-stakes</x:v>
      </x:c>
      <x:c r="D174" s="128" t="n">
        <x:v>523</x:v>
      </x:c>
      <x:c r="E174" s="128" t="str">
        <x:v>standard action / label</x:v>
      </x:c>
      <x:c r="F174" s="128" t="str">
        <x:v>France</x:v>
      </x:c>
      <x:c r="G174" s="128" t="n">
        <x:v>2</x:v>
      </x:c>
      <x:c r="H174" s="128" t="str">
        <x:v>MRV-431D47258D, MRV-2F0C508E0C</x:v>
      </x:c>
      <x:c r="I174" s="128" t="str">
        <x:v>Passport</x:v>
      </x:c>
      <x:c r="J174" s="128" t="str">
        <x:v>SCHENGEN_DESTINATIONS (Default) · EU_EEA_PASSPORTS (Default)</x:v>
      </x:c>
      <x:c r="K174" s="128" t="str">
        <x:v>France</x:v>
      </x:c>
      <x:c r="L174" s="128" t="str">
        <x:v>Should this shared wording stay identical across every listed surface?</x:v>
      </x:c>
      <x:c r="M174" s="128" t="str">
        <x:v>Confirm a shared wording only if the same user intent applies. Keep surface-specific detail where the action or consequence differs.</x:v>
      </x:c>
      <x:c r="N174" s="137" t="str">
        <x:v>Not set — use original Final Copy Override cells</x:v>
      </x:c>
    </x:row>
    <x:row r="175" ht="42" customHeight="1">
      <x:c r="A175" s="128" t="str">
        <x:v>EX-131</x:v>
      </x:c>
      <x:c r="B175" s="134" t="str">
        <x:v>Exact phrase</x:v>
      </x:c>
      <x:c r="C175" s="143" t="str">
        <x:v>2 · Trust / high-stakes</x:v>
      </x:c>
      <x:c r="D175" s="128" t="n">
        <x:v>523</x:v>
      </x:c>
      <x:c r="E175" s="128" t="str">
        <x:v>standard action / label</x:v>
      </x:c>
      <x:c r="F175" s="128" t="str">
        <x:v>Germany</x:v>
      </x:c>
      <x:c r="G175" s="128" t="n">
        <x:v>2</x:v>
      </x:c>
      <x:c r="H175" s="128" t="str">
        <x:v>MRV-E209C6B3F1, MRV-1FC423E54B</x:v>
      </x:c>
      <x:c r="I175" s="128" t="str">
        <x:v>Passport</x:v>
      </x:c>
      <x:c r="J175" s="128" t="str">
        <x:v>SCHENGEN_DESTINATIONS (Default) · EU_EEA_PASSPORTS (Default)</x:v>
      </x:c>
      <x:c r="K175" s="128" t="str">
        <x:v>Germany</x:v>
      </x:c>
      <x:c r="L175" s="128" t="str">
        <x:v>Should this shared wording stay identical across every listed surface?</x:v>
      </x:c>
      <x:c r="M175" s="128" t="str">
        <x:v>Confirm a shared wording only if the same user intent applies. Keep surface-specific detail where the action or consequence differs.</x:v>
      </x:c>
      <x:c r="N175" s="137" t="str">
        <x:v>Not set — use original Final Copy Override cells</x:v>
      </x:c>
    </x:row>
    <x:row r="176" ht="42" customHeight="1">
      <x:c r="A176" s="128" t="str">
        <x:v>EX-132</x:v>
      </x:c>
      <x:c r="B176" s="134" t="str">
        <x:v>Exact phrase</x:v>
      </x:c>
      <x:c r="C176" s="143" t="str">
        <x:v>2 · Trust / high-stakes</x:v>
      </x:c>
      <x:c r="D176" s="128" t="n">
        <x:v>523</x:v>
      </x:c>
      <x:c r="E176" s="128" t="str">
        <x:v>standard action / label · error / recovery</x:v>
      </x:c>
      <x:c r="F176" s="128" t="str">
        <x:v>Mid-range</x:v>
      </x:c>
      <x:c r="G176" s="128" t="n">
        <x:v>2</x:v>
      </x:c>
      <x:c r="H176" s="128" t="str">
        <x:v>MRV-BF3F0962E4, MRV-8C17350C8B</x:v>
      </x:c>
      <x:c r="I176" s="128" t="str">
        <x:v>Profile · Shared recovery / system</x:v>
      </x:c>
      <x:c r="J176" s="128" t="str">
        <x:v>comfortOptions (Default) · questions (Default)</x:v>
      </x:c>
      <x:c r="K176" s="128" t="str">
        <x:v>Mid-range</x:v>
      </x:c>
      <x:c r="L176" s="128" t="str">
        <x:v>Should this shared wording stay identical across every listed surface?</x:v>
      </x:c>
      <x:c r="M176" s="128" t="str">
        <x:v>Confirm a shared wording only if the same user intent applies. Keep surface-specific detail where the action or consequence differs.</x:v>
      </x:c>
      <x:c r="N176" s="137" t="str">
        <x:v>Not set — use original Final Copy Override cells</x:v>
      </x:c>
    </x:row>
    <x:row r="177" ht="42" customHeight="1">
      <x:c r="A177" s="128" t="str">
        <x:v>EX-133</x:v>
      </x:c>
      <x:c r="B177" s="134" t="str">
        <x:v>Exact phrase</x:v>
      </x:c>
      <x:c r="C177" s="143" t="str">
        <x:v>2 · Trust / high-stakes</x:v>
      </x:c>
      <x:c r="D177" s="128" t="n">
        <x:v>523</x:v>
      </x:c>
      <x:c r="E177" s="128" t="str">
        <x:v>standard action / label</x:v>
      </x:c>
      <x:c r="F177" s="128" t="str">
        <x:v>Netherlands</x:v>
      </x:c>
      <x:c r="G177" s="128" t="n">
        <x:v>2</x:v>
      </x:c>
      <x:c r="H177" s="128" t="str">
        <x:v>MRV-87CE25339F, MRV-AC5B8805D3</x:v>
      </x:c>
      <x:c r="I177" s="128" t="str">
        <x:v>Passport</x:v>
      </x:c>
      <x:c r="J177" s="128" t="str">
        <x:v>SCHENGEN_DESTINATIONS (Default) · EU_EEA_PASSPORTS (Default)</x:v>
      </x:c>
      <x:c r="K177" s="128" t="str">
        <x:v>Netherlands</x:v>
      </x:c>
      <x:c r="L177" s="128" t="str">
        <x:v>Should this shared wording stay identical across every listed surface?</x:v>
      </x:c>
      <x:c r="M177" s="128" t="str">
        <x:v>Confirm a shared wording only if the same user intent applies. Keep surface-specific detail where the action or consequence differs.</x:v>
      </x:c>
      <x:c r="N177" s="137" t="str">
        <x:v>Not set — use original Final Copy Override cells</x:v>
      </x:c>
    </x:row>
    <x:row r="178" ht="42" customHeight="1">
      <x:c r="A178" s="128" t="str">
        <x:v>EX-134</x:v>
      </x:c>
      <x:c r="B178" s="134" t="str">
        <x:v>Exact phrase</x:v>
      </x:c>
      <x:c r="C178" s="143" t="str">
        <x:v>2 · Trust / high-stakes</x:v>
      </x:c>
      <x:c r="D178" s="128" t="n">
        <x:v>523</x:v>
      </x:c>
      <x:c r="E178" s="128" t="str">
        <x:v>standard action / label</x:v>
      </x:c>
      <x:c r="F178" s="128" t="str">
        <x:v>Norway</x:v>
      </x:c>
      <x:c r="G178" s="128" t="n">
        <x:v>2</x:v>
      </x:c>
      <x:c r="H178" s="128" t="str">
        <x:v>MRV-FEAAF615FC, MRV-88B877B64D</x:v>
      </x:c>
      <x:c r="I178" s="128" t="str">
        <x:v>Passport</x:v>
      </x:c>
      <x:c r="J178" s="128" t="str">
        <x:v>SCHENGEN_DESTINATIONS (Default) · EU_EEA_PASSPORTS (Default)</x:v>
      </x:c>
      <x:c r="K178" s="128" t="str">
        <x:v>Norway</x:v>
      </x:c>
      <x:c r="L178" s="128" t="str">
        <x:v>Should this shared wording stay identical across every listed surface?</x:v>
      </x:c>
      <x:c r="M178" s="128" t="str">
        <x:v>Confirm a shared wording only if the same user intent applies. Keep surface-specific detail where the action or consequence differs.</x:v>
      </x:c>
      <x:c r="N178" s="137" t="str">
        <x:v>Not set — use original Final Copy Override cells</x:v>
      </x:c>
    </x:row>
    <x:row r="179" ht="42" customHeight="1">
      <x:c r="A179" s="128" t="str">
        <x:v>EX-135</x:v>
      </x:c>
      <x:c r="B179" s="134" t="str">
        <x:v>Exact phrase</x:v>
      </x:c>
      <x:c r="C179" s="143" t="str">
        <x:v>2 · Trust / high-stakes</x:v>
      </x:c>
      <x:c r="D179" s="128" t="n">
        <x:v>523</x:v>
      </x:c>
      <x:c r="E179" s="128" t="str">
        <x:v>standard action / label</x:v>
      </x:c>
      <x:c r="F179" s="128" t="str">
        <x:v>Spain</x:v>
      </x:c>
      <x:c r="G179" s="128" t="n">
        <x:v>2</x:v>
      </x:c>
      <x:c r="H179" s="128" t="str">
        <x:v>MRV-D4C6A505DC, MRV-56233D2850</x:v>
      </x:c>
      <x:c r="I179" s="128" t="str">
        <x:v>Passport</x:v>
      </x:c>
      <x:c r="J179" s="128" t="str">
        <x:v>SCHENGEN_DESTINATIONS (Default) · EU_EEA_PASSPORTS (Default)</x:v>
      </x:c>
      <x:c r="K179" s="128" t="str">
        <x:v>Spain</x:v>
      </x:c>
      <x:c r="L179" s="128" t="str">
        <x:v>Should this shared wording stay identical across every listed surface?</x:v>
      </x:c>
      <x:c r="M179" s="128" t="str">
        <x:v>Confirm a shared wording only if the same user intent applies. Keep surface-specific detail where the action or consequence differs.</x:v>
      </x:c>
      <x:c r="N179" s="137" t="str">
        <x:v>Not set — use original Final Copy Override cells</x:v>
      </x:c>
    </x:row>
    <x:row r="180" ht="42" customHeight="1">
      <x:c r="A180" s="128" t="str">
        <x:v>EX-136</x:v>
      </x:c>
      <x:c r="B180" s="134" t="str">
        <x:v>Exact phrase</x:v>
      </x:c>
      <x:c r="C180" s="143" t="str">
        <x:v>2 · Trust / high-stakes</x:v>
      </x:c>
      <x:c r="D180" s="128" t="n">
        <x:v>523</x:v>
      </x:c>
      <x:c r="E180" s="128" t="str">
        <x:v>standard action / label</x:v>
      </x:c>
      <x:c r="F180" s="128" t="str">
        <x:v>Sweden</x:v>
      </x:c>
      <x:c r="G180" s="128" t="n">
        <x:v>2</x:v>
      </x:c>
      <x:c r="H180" s="128" t="str">
        <x:v>MRV-1139833391, MRV-F68262062E</x:v>
      </x:c>
      <x:c r="I180" s="128" t="str">
        <x:v>Passport</x:v>
      </x:c>
      <x:c r="J180" s="128" t="str">
        <x:v>SCHENGEN_DESTINATIONS (Default) · EU_EEA_PASSPORTS (Default)</x:v>
      </x:c>
      <x:c r="K180" s="128" t="str">
        <x:v>Sweden</x:v>
      </x:c>
      <x:c r="L180" s="128" t="str">
        <x:v>Should this shared wording stay identical across every listed surface?</x:v>
      </x:c>
      <x:c r="M180" s="128" t="str">
        <x:v>Confirm a shared wording only if the same user intent applies. Keep surface-specific detail where the action or consequence differs.</x:v>
      </x:c>
      <x:c r="N180" s="137" t="str">
        <x:v>Not set — use original Final Copy Override cells</x:v>
      </x:c>
    </x:row>
    <x:row r="181" ht="42" customHeight="1">
      <x:c r="A181" s="128" t="str">
        <x:v>EX-137</x:v>
      </x:c>
      <x:c r="B181" s="134" t="str">
        <x:v>Exact phrase</x:v>
      </x:c>
      <x:c r="C181" s="143" t="str">
        <x:v>2 · Trust / high-stakes</x:v>
      </x:c>
      <x:c r="D181" s="128" t="n">
        <x:v>523</x:v>
      </x:c>
      <x:c r="E181" s="128" t="str">
        <x:v>standard action / label</x:v>
      </x:c>
      <x:c r="F181" s="128" t="str">
        <x:v>WHAT PULLS YOU IN</x:v>
      </x:c>
      <x:c r="G181" s="128" t="n">
        <x:v>2</x:v>
      </x:c>
      <x:c r="H181" s="128" t="str">
        <x:v>MRV-B7EDCF03BB, MRV-B9FBDDD3EC</x:v>
      </x:c>
      <x:c r="I181" s="128" t="str">
        <x:v>Discover / Routes index · Profile</x:v>
      </x:c>
      <x:c r="J181" s="128" t="str">
        <x:v>DiscoveryBrowser (Default) · ProfileForm (Default)</x:v>
      </x:c>
      <x:c r="K181" s="128" t="str">
        <x:v>WHAT PULLS YOU IN | What pulls you in</x:v>
      </x:c>
      <x:c r="L181" s="128" t="str">
        <x:v>Should this shared wording stay identical across every listed surface?</x:v>
      </x:c>
      <x:c r="M181" s="128" t="str">
        <x:v>Confirm a shared wording only if the same user intent applies. Keep surface-specific detail where the action or consequence differs.</x:v>
      </x:c>
      <x:c r="N181" s="137" t="str">
        <x:v>Not set — use original Final Copy Override cells</x:v>
      </x:c>
    </x:row>
    <x:row r="182" ht="42" customHeight="1">
      <x:c r="A182" s="128" t="str">
        <x:v>EX-138</x:v>
      </x:c>
      <x:c r="B182" s="134" t="str">
        <x:v>Exact phrase</x:v>
      </x:c>
      <x:c r="C182" s="143" t="str">
        <x:v>3 · Error / recovery</x:v>
      </x:c>
      <x:c r="D182" s="128" t="n">
        <x:v>461</x:v>
      </x:c>
      <x:c r="E182" s="128" t="str">
        <x:v>standard action / label · error / recovery</x:v>
      </x:c>
      <x:c r="F182" s="128" t="str">
        <x:v>Start a trip</x:v>
      </x:c>
      <x:c r="G182" s="128" t="n">
        <x:v>3</x:v>
      </x:c>
      <x:c r="H182" s="128" t="str">
        <x:v>MRV-E3C5EB7894, MRV-41FC3CAE56, MRV-28C5F1E8F5</x:v>
      </x:c>
      <x:c r="I182" s="128" t="str">
        <x:v>Dashboard · Shared recovery / system · Trip mode</x:v>
      </x:c>
      <x:c r="J182" s="128" t="str">
        <x:v>DashboardClient (Default) · JourneyNotFound (System recovery) · TripModeClient (Default)</x:v>
      </x:c>
      <x:c r="K182" s="128" t="str">
        <x:v>Start a trip</x:v>
      </x:c>
      <x:c r="L182" s="128" t="str">
        <x:v>Should this shared wording stay identical across every listed surface?</x:v>
      </x:c>
      <x:c r="M182" s="128" t="str">
        <x:v>Use “trip” for the saved plan and its workspace. Keep “journey” only for editorial, brand-level language.</x:v>
      </x:c>
      <x:c r="N182" s="137" t="str">
        <x:v>Not set — use original Final Copy Override cells</x:v>
      </x:c>
    </x:row>
    <x:row r="183" ht="42" customHeight="1">
      <x:c r="A183" s="128" t="str">
        <x:v>UX-039</x:v>
      </x:c>
      <x:c r="B183" s="134" t="str">
        <x:v>Near UX pattern</x:v>
      </x:c>
      <x:c r="C183" s="143" t="str">
        <x:v>3 · Error / recovery</x:v>
      </x:c>
      <x:c r="D183" s="128" t="n">
        <x:v>458</x:v>
      </x:c>
      <x:c r="E183" s="128" t="str">
        <x:v>error / recovery</x:v>
      </x:c>
      <x:c r="F183" s="128" t="str">
        <x:v>error / recovery · route · support</x:v>
      </x:c>
      <x:c r="G183" s="128" t="n">
        <x:v>19</x:v>
      </x:c>
      <x:c r="H183" s="128" t="str">
        <x:v>MRV-36943DAFF1, MRV-60426B0E38, MRV-EF57263745, MRV-A4A23E9C68, MRV-C34804026F, MRV-62B1E48603, MRV-313659E736, MRV-06409C5163, MRV-75107314E7, MRV-A85A633742, MRV-2B83245292, MRV-38B556FFB8, MRV-1AA8481343, MRV-4EA364A256, MRV-934AA98296, MRV-40717AB74F, MRV-653BF99FC9, MRV-585C15EE49, MRV-97464C36DE</x:v>
      </x:c>
      <x:c r="I183" s="128" t="str">
        <x:v>Shared recovery / system · New trip builder · Route detail · Planner recommendations</x:v>
      </x:c>
      <x:c r="J183" s="128" t="str">
        <x:v>JourneyError (System recovery) · addStop (Failure / recovery) · JourneyNotFound (System recovery) · RouteHeroImage (Failure / recovery) +11 more</x:v>
      </x:c>
      <x:c r="K183" s="128" t="str">
        <x:v>Something went off route. | {value} is already in your route. | That route has moved. | Try one of the routes on the homepage, or start shaping a trip from scratch. +13 more</x:v>
      </x:c>
      <x:c r="L183" s="128" t="str">
        <x:v>Set a consistent error / recovery pattern for “route” without erasing contextual detail.</x:v>
      </x:c>
      <x:c r="M183" s="128" t="str">
        <x:v>Name what failed, say whether work is safe, then offer one clear recovery action. Keep the cause only when it helps the traveller act.</x:v>
      </x:c>
      <x:c r="N183" s="137" t="str">
        <x:v>Not set — use original Final Copy Override cells</x:v>
      </x:c>
    </x:row>
    <x:row r="184" ht="42" customHeight="1">
      <x:c r="A184" s="128" t="str">
        <x:v>EX-139</x:v>
      </x:c>
      <x:c r="B184" s="134" t="str">
        <x:v>Exact phrase</x:v>
      </x:c>
      <x:c r="C184" s="143" t="str">
        <x:v>3 · Error / recovery</x:v>
      </x:c>
      <x:c r="D184" s="128" t="n">
        <x:v>449</x:v>
      </x:c>
      <x:c r="E184" s="128" t="str">
        <x:v>error / recovery</x:v>
      </x:c>
      <x:c r="F184" s="128" t="str">
        <x:v>The PDF could not be prepared.</x:v>
      </x:c>
      <x:c r="G184" s="128" t="n">
        <x:v>3</x:v>
      </x:c>
      <x:c r="H184" s="128" t="str">
        <x:v>MRV-72FE6F4A01, MRV-B573C0EEF2, MRV-80BA3F53D6</x:v>
      </x:c>
      <x:c r="I184" s="128" t="str">
        <x:v>Planner recommendations</x:v>
      </x:c>
      <x:c r="J184" s="128" t="str">
        <x:v>exportPlan (Failure / recovery) · JourneyMapPlannerWorkspace (Failure / recovery)</x:v>
      </x:c>
      <x:c r="K184" s="128" t="str">
        <x:v>The PDF could not be prepared.</x:v>
      </x:c>
      <x:c r="L184" s="128" t="str">
        <x:v>Should this shared wording stay identical across every listed surface?</x:v>
      </x:c>
      <x:c r="M184" s="128" t="str">
        <x:v>Name what failed, say whether work is safe, then offer one clear recovery action. Keep the cause only when it helps the traveller act.</x:v>
      </x:c>
      <x:c r="N184" s="137" t="str">
        <x:v>Not set — use original Final Copy Override cells</x:v>
      </x:c>
    </x:row>
    <x:row r="185" ht="42" customHeight="1">
      <x:c r="A185" s="128" t="str">
        <x:v>EX-140</x:v>
      </x:c>
      <x:c r="B185" s="134" t="str">
        <x:v>Exact phrase</x:v>
      </x:c>
      <x:c r="C185" s="143" t="str">
        <x:v>3 · Error / recovery</x:v>
      </x:c>
      <x:c r="D185" s="128" t="n">
        <x:v>448</x:v>
      </x:c>
      <x:c r="E185" s="128" t="str">
        <x:v>error / recovery</x:v>
      </x:c>
      <x:c r="F185" s="128" t="str">
        <x:v>A newer device edit was preserved while this version finished syncing. Open the device copy before continuing.</x:v>
      </x:c>
      <x:c r="G185" s="128" t="n">
        <x:v>2</x:v>
      </x:c>
      <x:c r="H185" s="128" t="str">
        <x:v>MRV-51E0354C57, MRV-68CCD0BFCA</x:v>
      </x:c>
      <x:c r="I185" s="128" t="str">
        <x:v>New trip builder · Planner recommendations</x:v>
      </x:c>
      <x:c r="J185" s="128" t="str">
        <x:v>persistGeneratedTrip (Offline / network failure) · cacheSavedTrip (Failure / recovery)</x:v>
      </x:c>
      <x:c r="K185" s="128" t="str">
        <x:v>A newer device edit was preserved while this version finished syncing. Open the device copy before continuing.</x:v>
      </x:c>
      <x:c r="L185" s="128" t="str">
        <x:v>Should this shared wording stay identical across every listed surface?</x:v>
      </x:c>
      <x:c r="M185" s="128" t="str">
        <x:v>Name what failed, say whether work is safe, then offer one clear recovery action. Keep the cause only when it helps the traveller act.</x:v>
      </x:c>
      <x:c r="N185" s="137" t="str">
        <x:v>Not set — use original Final Copy Override cells</x:v>
      </x:c>
    </x:row>
    <x:row r="186" ht="42" customHeight="1">
      <x:c r="A186" s="128" t="str">
        <x:v>EX-141</x:v>
      </x:c>
      <x:c r="B186" s="134" t="str">
        <x:v>Exact phrase</x:v>
      </x:c>
      <x:c r="C186" s="143" t="str">
        <x:v>3 · Error / recovery</x:v>
      </x:c>
      <x:c r="D186" s="128" t="n">
        <x:v>448</x:v>
      </x:c>
      <x:c r="E186" s="128" t="str">
        <x:v>error / recovery</x:v>
      </x:c>
      <x:c r="F186" s="128" t="str">
        <x:v>Open in Maps</x:v>
      </x:c>
      <x:c r="G186" s="128" t="n">
        <x:v>2</x:v>
      </x:c>
      <x:c r="H186" s="128" t="str">
        <x:v>MRV-E7360A3868, MRV-DFFD00A9C6</x:v>
      </x:c>
      <x:c r="I186" s="128" t="str">
        <x:v>Shared recovery / system</x:v>
      </x:c>
      <x:c r="J186" s="128" t="str">
        <x:v>JourneyLocalFinder (Default) · JourneyRestaurantFinder (Default)</x:v>
      </x:c>
      <x:c r="K186" s="128" t="str">
        <x:v>Open in Maps</x:v>
      </x:c>
      <x:c r="L186" s="128" t="str">
        <x:v>Should this shared wording stay identical across every listed surface?</x:v>
      </x:c>
      <x:c r="M186" s="128" t="str">
        <x:v>Name what failed, say whether work is safe, then offer one clear recovery action. Keep the cause only when it helps the traveller act.</x:v>
      </x:c>
      <x:c r="N186" s="137" t="str">
        <x:v>Not set — use original Final Copy Override cells</x:v>
      </x:c>
    </x:row>
    <x:row r="187" ht="42" customHeight="1">
      <x:c r="A187" s="128" t="str">
        <x:v>EX-142</x:v>
      </x:c>
      <x:c r="B187" s="134" t="str">
        <x:v>Exact phrase</x:v>
      </x:c>
      <x:c r="C187" s="143" t="str">
        <x:v>3 · Error / recovery</x:v>
      </x:c>
      <x:c r="D187" s="128" t="n">
        <x:v>448</x:v>
      </x:c>
      <x:c r="E187" s="128" t="str">
        <x:v>error / recovery</x:v>
      </x:c>
      <x:c r="F187" s="128" t="str">
        <x:v>Saved to itinerary</x:v>
      </x:c>
      <x:c r="G187" s="128" t="n">
        <x:v>2</x:v>
      </x:c>
      <x:c r="H187" s="128" t="str">
        <x:v>MRV-08B3A9BAC5, MRV-8EBBE0E0F5</x:v>
      </x:c>
      <x:c r="I187" s="128" t="str">
        <x:v>Shared recovery / system</x:v>
      </x:c>
      <x:c r="J187" s="128" t="str">
        <x:v>JourneyLocalFinder (Default) · JourneyRestaurantFinder (Default)</x:v>
      </x:c>
      <x:c r="K187" s="128" t="str">
        <x:v>Saved to itinerary</x:v>
      </x:c>
      <x:c r="L187" s="128" t="str">
        <x:v>Should this shared wording stay identical across every listed surface?</x:v>
      </x:c>
      <x:c r="M187" s="128" t="str">
        <x:v>Name what failed, say whether work is safe, then offer one clear recovery action. Keep the cause only when it helps the traveller act.</x:v>
      </x:c>
      <x:c r="N187" s="137" t="str">
        <x:v>Not set — use original Final Copy Override cells</x:v>
      </x:c>
    </x:row>
    <x:row r="188" ht="42" customHeight="1">
      <x:c r="A188" s="128" t="str">
        <x:v>EX-143</x:v>
      </x:c>
      <x:c r="B188" s="134" t="str">
        <x:v>Exact phrase</x:v>
      </x:c>
      <x:c r="C188" s="143" t="str">
        <x:v>3 · Error / recovery</x:v>
      </x:c>
      <x:c r="D188" s="128" t="n">
        <x:v>448</x:v>
      </x:c>
      <x:c r="E188" s="128" t="str">
        <x:v>error / recovery</x:v>
      </x:c>
      <x:c r="F188" s="128" t="str">
        <x:v>The cloud copy is open. Your separate device edits remain preserved until you open or explicitly discard them.</x:v>
      </x:c>
      <x:c r="G188" s="128" t="n">
        <x:v>2</x:v>
      </x:c>
      <x:c r="H188" s="128" t="str">
        <x:v>MRV-CD2A0B3743, MRV-413C2666ED</x:v>
      </x:c>
      <x:c r="I188" s="128" t="str">
        <x:v>Planner recommendations</x:v>
      </x:c>
      <x:c r="J188" s="128" t="str">
        <x:v>reloadCloudCopy (Failure / recovery) · hydratePlan (Failure / recovery)</x:v>
      </x:c>
      <x:c r="K188" s="128" t="str">
        <x:v>The cloud copy is open. Your separate device edits remain preserved until you open or explicitly discard them.</x:v>
      </x:c>
      <x:c r="L188" s="128" t="str">
        <x:v>Should this shared wording stay identical across every listed surface?</x:v>
      </x:c>
      <x:c r="M188" s="128" t="str">
        <x:v>Name what failed, say whether work is safe, then offer one clear recovery action. Keep the cause only when it helps the traveller act.</x:v>
      </x:c>
      <x:c r="N188" s="137" t="str">
        <x:v>Not set — use original Final Copy Override cells</x:v>
      </x:c>
    </x:row>
    <x:row r="189" ht="42" customHeight="1">
      <x:c r="A189" s="128" t="str">
        <x:v>EX-144</x:v>
      </x:c>
      <x:c r="B189" s="134" t="str">
        <x:v>Exact phrase</x:v>
      </x:c>
      <x:c r="C189" s="143" t="str">
        <x:v>3 · Error / recovery</x:v>
      </x:c>
      <x:c r="D189" s="128" t="n">
        <x:v>448</x:v>
      </x:c>
      <x:c r="E189" s="128" t="str">
        <x:v>error / recovery</x:v>
      </x:c>
      <x:c r="F189" s="128" t="str">
        <x:v>This trip could not be updated. Check your connection and try again.</x:v>
      </x:c>
      <x:c r="G189" s="128" t="n">
        <x:v>2</x:v>
      </x:c>
      <x:c r="H189" s="128" t="str">
        <x:v>MRV-1369DF7788, MRV-E3A31FDAC7</x:v>
      </x:c>
      <x:c r="I189" s="128" t="str">
        <x:v>Dashboard</x:v>
      </x:c>
      <x:c r="J189" s="128" t="str">
        <x:v>runAction (Offline / network failure)</x:v>
      </x:c>
      <x:c r="K189" s="128" t="str">
        <x:v>This trip could not be updated. Check your connection and try again.</x:v>
      </x:c>
      <x:c r="L189" s="128" t="str">
        <x:v>Should this shared wording stay identical across every listed surface?</x:v>
      </x:c>
      <x:c r="M189" s="128" t="str">
        <x:v>Name what failed, say whether work is safe, then offer one clear recovery action. Keep the cause only when it helps the traveller act.</x:v>
      </x:c>
      <x:c r="N189" s="137" t="str">
        <x:v>Not set — use original Final Copy Override cells</x:v>
      </x:c>
    </x:row>
    <x:row r="190" ht="42" customHeight="1">
      <x:c r="A190" s="128" t="str">
        <x:v>UX-040</x:v>
      </x:c>
      <x:c r="B190" s="134" t="str">
        <x:v>Near UX pattern</x:v>
      </x:c>
      <x:c r="C190" s="143" t="str">
        <x:v>3 · Error / recovery</x:v>
      </x:c>
      <x:c r="D190" s="128" t="n">
        <x:v>448</x:v>
      </x:c>
      <x:c r="E190" s="128" t="str">
        <x:v>error / recovery</x:v>
      </x:c>
      <x:c r="F190" s="128" t="str">
        <x:v>error / recovery · review / verify · action</x:v>
      </x:c>
      <x:c r="G190" s="128" t="n">
        <x:v>2</x:v>
      </x:c>
      <x:c r="H190" s="128" t="str">
        <x:v>MRV-5B92762C43, MRV-C61402CD2F</x:v>
      </x:c>
      <x:c r="I190" s="128" t="str">
        <x:v>Shared recovery / system</x:v>
      </x:c>
      <x:c r="J190" s="128" t="str">
        <x:v>JourneyLocalFinder (Default) · JourneyTripQuality (Default)</x:v>
      </x:c>
      <x:c r="K190" s="128" t="str">
        <x:v>Check availability | Review</x:v>
      </x:c>
      <x:c r="L190" s="128" t="str">
        <x:v>Set a consistent error / recovery pattern for “review / verify” without erasing contextual detail.</x:v>
      </x:c>
      <x:c r="M190" s="128" t="str">
        <x:v>Name what failed, say whether work is safe, then offer one clear recovery action. Keep the cause only when it helps the traveller act.</x:v>
      </x:c>
      <x:c r="N190" s="137" t="str">
        <x:v>Not set — use original Final Copy Override cells</x:v>
      </x:c>
    </x:row>
    <x:row r="191" ht="42" customHeight="1">
      <x:c r="A191" s="128" t="str">
        <x:v>EX-145</x:v>
      </x:c>
      <x:c r="B191" s="134" t="str">
        <x:v>Exact phrase</x:v>
      </x:c>
      <x:c r="C191" s="143" t="str">
        <x:v>3 · Error / recovery</x:v>
      </x:c>
      <x:c r="D191" s="128" t="n">
        <x:v>447</x:v>
      </x:c>
      <x:c r="E191" s="128" t="str">
        <x:v>error / recovery</x:v>
      </x:c>
      <x:c r="F191" s="128" t="str">
        <x:v>Reintentar</x:v>
      </x:c>
      <x:c r="G191" s="128" t="n">
        <x:v>4</x:v>
      </x:c>
      <x:c r="H191" s="128" t="str">
        <x:v>MRV-BD4A8B3031, MRV-6D37B21E06, MRV-02BDE48061, MRV-9137E4C896</x:v>
      </x:c>
      <x:c r="I191" s="128" t="str">
        <x:v>Dashboard · New trip builder · Planner recommendations</x:v>
      </x:c>
      <x:c r="J191" s="128" t="str">
        <x:v>DashboardClient (Failure / recovery) · TripBuilderDocument (Failure / recovery) · JourneyMapPlannerWorkspace (Failure / recovery)</x:v>
      </x:c>
      <x:c r="K191" s="128" t="str">
        <x:v>Reintentar</x:v>
      </x:c>
      <x:c r="L191" s="128" t="str">
        <x:v>Should this shared wording stay identical across every listed surface?</x:v>
      </x:c>
      <x:c r="M191" s="128" t="str">
        <x:v>Name what failed, say whether work is safe, then offer one clear recovery action. Keep the cause only when it helps the traveller act.</x:v>
      </x:c>
      <x:c r="N191" s="137" t="str">
        <x:v>Not set — use original Final Copy Override cells</x:v>
      </x:c>
    </x:row>
    <x:row r="192" ht="42" customHeight="1">
      <x:c r="A192" s="128" t="str">
        <x:v>EX-146</x:v>
      </x:c>
      <x:c r="B192" s="134" t="str">
        <x:v>Exact phrase</x:v>
      </x:c>
      <x:c r="C192" s="143" t="str">
        <x:v>3 · Error / recovery</x:v>
      </x:c>
      <x:c r="D192" s="128" t="n">
        <x:v>445</x:v>
      </x:c>
      <x:c r="E192" s="128" t="str">
        <x:v>error / recovery</x:v>
      </x:c>
      <x:c r="F192" s="128" t="str">
        <x:v>Morrovia</x:v>
      </x:c>
      <x:c r="G192" s="128" t="n">
        <x:v>2</x:v>
      </x:c>
      <x:c r="H192" s="128" t="str">
        <x:v>MRV-F3F04A2230, MRV-E3B347B88D</x:v>
      </x:c>
      <x:c r="I192" s="128" t="str">
        <x:v>Shared recovery / system</x:v>
      </x:c>
      <x:c r="J192" s="128" t="str">
        <x:v>JourneyError (System recovery) · JourneyNotFound (System recovery)</x:v>
      </x:c>
      <x:c r="K192" s="128" t="str">
        <x:v>Morrovia</x:v>
      </x:c>
      <x:c r="L192" s="128" t="str">
        <x:v>Should this shared wording stay identical across every listed surface?</x:v>
      </x:c>
      <x:c r="M192" s="128" t="str">
        <x:v>Name what failed, say whether work is safe, then offer one clear recovery action. Keep the cause only when it helps the traveller act.</x:v>
      </x:c>
      <x:c r="N192" s="137" t="str">
        <x:v>Not set — use original Final Copy Override cells</x:v>
      </x:c>
    </x:row>
    <x:row r="193" ht="42" customHeight="1">
      <x:c r="A193" s="128" t="str">
        <x:v>UX-041</x:v>
      </x:c>
      <x:c r="B193" s="134" t="str">
        <x:v>Near UX pattern</x:v>
      </x:c>
      <x:c r="C193" s="143" t="str">
        <x:v>3 · Error / recovery</x:v>
      </x:c>
      <x:c r="D193" s="128" t="n">
        <x:v>438</x:v>
      </x:c>
      <x:c r="E193" s="128" t="str">
        <x:v>error / recovery</x:v>
      </x:c>
      <x:c r="F193" s="128" t="str">
        <x:v>error / recovery · continue · support</x:v>
      </x:c>
      <x:c r="G193" s="128" t="n">
        <x:v>4</x:v>
      </x:c>
      <x:c r="H193" s="128" t="str">
        <x:v>MRV-2E20489326, MRV-DB2CBFBA1B, MRV-DFE8833389, MRV-E1D74C4A23</x:v>
      </x:c>
      <x:c r="I193" s="128" t="str">
        <x:v>Shared recovery / system</x:v>
      </x:c>
      <x:c r="J193" s="128" t="str">
        <x:v>appendVoiceTranscript (Default) · JourneyCarousel (Accessibility / input support) · writeView (Default)</x:v>
      </x:c>
      <x:c r="K193" s="128" t="str">
        <x:v>{existing}{/\s$/.test(current) ? "" : " "}{next} | Next image | translate({next.x} {next.y}) scale({next.scale}) | {Math.round(next.scale * 10) / 10}×</x:v>
      </x:c>
      <x:c r="L193" s="128" t="str">
        <x:v>Set a consistent error / recovery pattern for “continue” without erasing contextual detail.</x:v>
      </x:c>
      <x:c r="M193" s="128" t="str">
        <x:v>Name what failed, say whether work is safe, then offer one clear recovery action. Keep the cause only when it helps the traveller act.</x:v>
      </x:c>
      <x:c r="N193" s="137" t="str">
        <x:v>Not set — use original Final Copy Override cells</x:v>
      </x:c>
    </x:row>
    <x:row r="194" ht="42" customHeight="1">
      <x:c r="A194" s="128" t="str">
        <x:v>UX-042</x:v>
      </x:c>
      <x:c r="B194" s="134" t="str">
        <x:v>Near UX pattern</x:v>
      </x:c>
      <x:c r="C194" s="143" t="str">
        <x:v>3 · Error / recovery</x:v>
      </x:c>
      <x:c r="D194" s="128" t="n">
        <x:v>436</x:v>
      </x:c>
      <x:c r="E194" s="128" t="str">
        <x:v>error / recovery</x:v>
      </x:c>
      <x:c r="F194" s="128" t="str">
        <x:v>error / recovery · Accessibility label · support</x:v>
      </x:c>
      <x:c r="G194" s="128" t="n">
        <x:v>35</x:v>
      </x:c>
      <x:c r="H194" s="128" t="str">
        <x:v>MRV-13683CF72B, MRV-9BC818F85D, MRV-BA172EB90F, MRV-1C29517E4A, MRV-01D23440A5, MRV-9B9A53F85D, MRV-8310B6165F, MRV-7F7F4F8B65, MRV-9167DE1C71, MRV-4B3B7EEE2B, MRV-9AE30BF4F0, MRV-03375B475A, MRV-5EE23D393A, MRV-F3AF4984C0, MRV-5ABBAA421B, MRV-0232D2E324, MRV-A40B96FF80, MRV-45C4B61A5C, MRV-E1F9251F4D, MRV-B8B6EEC8CF, MRV-DB8BC8FAC5, MRV-49248A69CF, MRV-F0E26C1181, MRV-4EC732DB61, MRV-257AB214F7, MRV-CEFC92A0BD, MRV-D2BE65E200, MRV-8499350B9C, MRV-46E4D6FCA1, MRV-4262DF24AE, MRV-C60385E7C6, MRV-5C2FEB2E22, MRV-2163307877, MRV-9740BC24B6, MRV-FB26BB63AE</x:v>
      </x:c>
      <x:c r="I194" s="128" t="str">
        <x:v>Shared recovery / system</x:v>
      </x:c>
      <x:c r="J194" s="128" t="str">
        <x:v>EasyTFeedback (Accessibility / input support) · TripItineraryWorkspace (Accessibility / input support) · fallback (Accessibility / input support) · DayNavigation (Accessibility / input support) +7 more</x:v>
      </x:c>
      <x:c r="K194" s="128" t="str">
        <x:v>{index + 1} out of 5 | Trip itinerary | Image unavailable for {day.title} | Day navigation +29 more</x:v>
      </x:c>
      <x:c r="L194" s="128" t="str">
        <x:v>Set a consistent error / recovery pattern for “Accessibility label” without erasing contextual detail.</x:v>
      </x:c>
      <x:c r="M194" s="128" t="str">
        <x:v>Name what failed, say whether work is safe, then offer one clear recovery action. Keep the cause only when it helps the traveller act.</x:v>
      </x:c>
      <x:c r="N194" s="137" t="str">
        <x:v>Not set — use original Final Copy Override cells</x:v>
      </x:c>
    </x:row>
    <x:row r="195" ht="42" customHeight="1">
      <x:c r="A195" s="128" t="str">
        <x:v>EX-147</x:v>
      </x:c>
      <x:c r="B195" s="134" t="str">
        <x:v>Exact phrase</x:v>
      </x:c>
      <x:c r="C195" s="143" t="str">
        <x:v>3 · Error / recovery</x:v>
      </x:c>
      <x:c r="D195" s="128" t="n">
        <x:v>434</x:v>
      </x:c>
      <x:c r="E195" s="128" t="str">
        <x:v>standard action / label · error / recovery</x:v>
      </x:c>
      <x:c r="F195" s="128" t="str">
        <x:v>Hide</x:v>
      </x:c>
      <x:c r="G195" s="128" t="n">
        <x:v>3</x:v>
      </x:c>
      <x:c r="H195" s="128" t="str">
        <x:v>MRV-B67E67DFF6, MRV-5EE23D393A, MRV-5ABBAA421B</x:v>
      </x:c>
      <x:c r="I195" s="128" t="str">
        <x:v>Plan next · Shared recovery / system</x:v>
      </x:c>
      <x:c r="J195" s="128" t="str">
        <x:v>MapPlanNext (Default) · JourneyGlobe (Accessibility / input support)</x:v>
      </x:c>
      <x:c r="K195" s="128" t="str">
        <x:v>Hide</x:v>
      </x:c>
      <x:c r="L195" s="128" t="str">
        <x:v>Should this shared wording stay identical across every listed surface?</x:v>
      </x:c>
      <x:c r="M195" s="128" t="str">
        <x:v>Confirm a shared wording only if the same user intent applies. Keep surface-specific detail where the action or consequence differs.</x:v>
      </x:c>
      <x:c r="N195" s="137" t="str">
        <x:v>Not set — use original Final Copy Override cells</x:v>
      </x:c>
    </x:row>
    <x:row r="196" ht="42" customHeight="1">
      <x:c r="A196" s="128" t="str">
        <x:v>EX-148</x:v>
      </x:c>
      <x:c r="B196" s="134" t="str">
        <x:v>Exact phrase</x:v>
      </x:c>
      <x:c r="C196" s="143" t="str">
        <x:v>3 · Error / recovery</x:v>
      </x:c>
      <x:c r="D196" s="128" t="n">
        <x:v>434</x:v>
      </x:c>
      <x:c r="E196" s="128" t="str">
        <x:v>standard action / label · error / recovery</x:v>
      </x:c>
      <x:c r="F196" s="128" t="str">
        <x:v>Show</x:v>
      </x:c>
      <x:c r="G196" s="128" t="n">
        <x:v>3</x:v>
      </x:c>
      <x:c r="H196" s="128" t="str">
        <x:v>MRV-9E7DD5D6A3, MRV-F3AF4984C0, MRV-0232D2E324</x:v>
      </x:c>
      <x:c r="I196" s="128" t="str">
        <x:v>Plan next · Shared recovery / system</x:v>
      </x:c>
      <x:c r="J196" s="128" t="str">
        <x:v>MapPlanNext (Default) · JourneyGlobe (Accessibility / input support)</x:v>
      </x:c>
      <x:c r="K196" s="128" t="str">
        <x:v>Show</x:v>
      </x:c>
      <x:c r="L196" s="128" t="str">
        <x:v>Should this shared wording stay identical across every listed surface?</x:v>
      </x:c>
      <x:c r="M196" s="128" t="str">
        <x:v>Confirm a shared wording only if the same user intent applies. Keep surface-specific detail where the action or consequence differs.</x:v>
      </x:c>
      <x:c r="N196" s="137" t="str">
        <x:v>Not set — use original Final Copy Override cells</x:v>
      </x:c>
    </x:row>
    <x:row r="197" ht="42" customHeight="1">
      <x:c r="A197" s="128" t="str">
        <x:v>EX-149</x:v>
      </x:c>
      <x:c r="B197" s="134" t="str">
        <x:v>Exact phrase</x:v>
      </x:c>
      <x:c r="C197" s="143" t="str">
        <x:v>3 · Error / recovery</x:v>
      </x:c>
      <x:c r="D197" s="128" t="n">
        <x:v>433</x:v>
      </x:c>
      <x:c r="E197" s="128" t="str">
        <x:v>error / recovery</x:v>
      </x:c>
      <x:c r="F197" s="128" t="str">
        <x:v>Trip forecast</x:v>
      </x:c>
      <x:c r="G197" s="128" t="n">
        <x:v>2</x:v>
      </x:c>
      <x:c r="H197" s="128" t="str">
        <x:v>MRV-9740BC24B6, MRV-A8847FD66B</x:v>
      </x:c>
      <x:c r="I197" s="128" t="str">
        <x:v>Shared recovery / system</x:v>
      </x:c>
      <x:c r="J197" s="128" t="str">
        <x:v>JourneyWeather (Accessibility / input support) · JourneyWeather (Default)</x:v>
      </x:c>
      <x:c r="K197" s="128" t="str">
        <x:v>Trip forecast</x:v>
      </x:c>
      <x:c r="L197" s="128" t="str">
        <x:v>Should this shared wording stay identical across every listed surface?</x:v>
      </x:c>
      <x:c r="M197" s="128" t="str">
        <x:v>Name what failed, say whether work is safe, then offer one clear recovery action. Keep the cause only when it helps the traveller act.</x:v>
      </x:c>
      <x:c r="N197" s="137" t="str">
        <x:v>Not set — use original Final Copy Override cells</x:v>
      </x:c>
    </x:row>
    <x:row r="198" ht="42" customHeight="1">
      <x:c r="A198" s="128" t="str">
        <x:v>UX-043</x:v>
      </x:c>
      <x:c r="B198" s="134" t="str">
        <x:v>Near UX pattern</x:v>
      </x:c>
      <x:c r="C198" s="143" t="str">
        <x:v>3 · Error / recovery</x:v>
      </x:c>
      <x:c r="D198" s="128" t="n">
        <x:v>433</x:v>
      </x:c>
      <x:c r="E198" s="128" t="str">
        <x:v>error / recovery</x:v>
      </x:c>
      <x:c r="F198" s="128" t="str">
        <x:v>error / recovery · build trip · support</x:v>
      </x:c>
      <x:c r="G198" s="128" t="n">
        <x:v>12</x:v>
      </x:c>
      <x:c r="H198" s="128" t="str">
        <x:v>MRV-30519207E6, MRV-7BB70A529D, MRV-A3DC1EF734, MRV-D5E2F1FBC6, MRV-3180A0A807, MRV-7BC6E53C80, MRV-81888A1C7D, MRV-26813D2A06, MRV-B950C7213D, MRV-35F71C5C4F, MRV-F836083E1B, MRV-0727197A68</x:v>
      </x:c>
      <x:c r="I198" s="128" t="str">
        <x:v>Shared recovery / system</x:v>
      </x:c>
      <x:c r="J198" s="128" t="str">
        <x:v>buildBookingReadiness (Default) · source (Default) · buildTripReadiness (Default)</x:v>
      </x:c>
      <x:c r="K198" s="128" t="str">
        <x:v>Find a stay in {stop.name} | Check major activities in {stop.name} | Check return flights | Compare car hire{from ? ` from {from.name}` : ""} +8 more</x:v>
      </x:c>
      <x:c r="L198" s="128" t="str">
        <x:v>Set a consistent error / recovery pattern for “build trip” without erasing contextual detail.</x:v>
      </x:c>
      <x:c r="M198" s="128" t="str">
        <x:v>Name what failed, say whether work is safe, then offer one clear recovery action. Keep the cause only when it helps the traveller act.</x:v>
      </x:c>
      <x:c r="N198" s="137" t="str">
        <x:v>Not set — use original Final Copy Override cells</x:v>
      </x:c>
    </x:row>
    <x:row r="199" ht="42" customHeight="1">
      <x:c r="A199" s="128" t="str">
        <x:v>UX-044</x:v>
      </x:c>
      <x:c r="B199" s="134" t="str">
        <x:v>Near UX pattern</x:v>
      </x:c>
      <x:c r="C199" s="143" t="str">
        <x:v>3 · Error / recovery</x:v>
      </x:c>
      <x:c r="D199" s="128" t="n">
        <x:v>433</x:v>
      </x:c>
      <x:c r="E199" s="128" t="str">
        <x:v>error / recovery</x:v>
      </x:c>
      <x:c r="F199" s="128" t="str">
        <x:v>error / recovery · stays · support</x:v>
      </x:c>
      <x:c r="G199" s="128" t="n">
        <x:v>9</x:v>
      </x:c>
      <x:c r="H199" s="128" t="str">
        <x:v>MRV-6DB9255914, MRV-87456FD32F, MRV-20645B9C63, MRV-6A1544378F, MRV-D0A84C43AF, MRV-9F39C95589, MRV-987A112D2B, MRV-4FC99A516D, MRV-2C0FB2825C</x:v>
      </x:c>
      <x:c r="I199" s="128" t="str">
        <x:v>Shared recovery / system</x:v>
      </x:c>
      <x:c r="J199" s="128" t="str">
        <x:v>accommodationDateLabel (Default) · key (Default) · JourneyItineraryAccommodation (Default) · label (Default) +1 more</x:v>
      </x:c>
      <x:c r="K199" s="128" t="str">
        <x:v>{arrival}–{departure} | morrovia:accommodation-viewed:{trip.id}:{currentStopId} | stays sorted | Stay sorted +4 more</x:v>
      </x:c>
      <x:c r="L199" s="128" t="str">
        <x:v>Set a consistent error / recovery pattern for “stays” without erasing contextual detail.</x:v>
      </x:c>
      <x:c r="M199" s="128" t="str">
        <x:v>Name what failed, say whether work is safe, then offer one clear recovery action. Keep the cause only when it helps the traveller act.</x:v>
      </x:c>
      <x:c r="N199" s="137" t="str">
        <x:v>Not set — use original Final Copy Override cells</x:v>
      </x:c>
    </x:row>
    <x:row r="200" ht="42" customHeight="1">
      <x:c r="A200" s="128" t="str">
        <x:v>EX-150</x:v>
      </x:c>
      <x:c r="B200" s="134" t="str">
        <x:v>Exact phrase</x:v>
      </x:c>
      <x:c r="C200" s="143" t="str">
        <x:v>3 · Error / recovery</x:v>
      </x:c>
      <x:c r="D200" s="128" t="n">
        <x:v>427</x:v>
      </x:c>
      <x:c r="E200" s="128" t="str">
        <x:v>standard action / label · error / recovery</x:v>
      </x:c>
      <x:c r="F200" s="128" t="str">
        <x:v>All</x:v>
      </x:c>
      <x:c r="G200" s="128" t="n">
        <x:v>6</x:v>
      </x:c>
      <x:c r="H200" s="128" t="str">
        <x:v>MRV-7DD1BF2D13, MRV-D5D982E5B8, MRV-45DEEEFEA1, MRV-FA40255FA5, MRV-2FDC0F3475, MRV-43CA7BA581</x:v>
      </x:c>
      <x:c r="I200" s="128" t="str">
        <x:v>New trip builder · Shared recovery / system</x:v>
      </x:c>
      <x:c r="J200" s="128" t="str">
        <x:v>FILTERS (Default) · TripBuilderDocument (Default) · list (Default) · filters (Default) +2 more</x:v>
      </x:c>
      <x:c r="K200" s="128" t="str">
        <x:v>All</x:v>
      </x:c>
      <x:c r="L200" s="128" t="str">
        <x:v>Should this shared wording stay identical across every listed surface?</x:v>
      </x:c>
      <x:c r="M200" s="128" t="str">
        <x:v>Confirm a shared wording only if the same user intent applies. Keep surface-specific detail where the action or consequence differs.</x:v>
      </x:c>
      <x:c r="N200" s="137" t="str">
        <x:v>Not set — use original Final Copy Override cells</x:v>
      </x:c>
    </x:row>
    <x:row r="201" ht="42" customHeight="1">
      <x:c r="A201" s="128" t="str">
        <x:v>EX-151</x:v>
      </x:c>
      <x:c r="B201" s="134" t="str">
        <x:v>Exact phrase</x:v>
      </x:c>
      <x:c r="C201" s="143" t="str">
        <x:v>3 · Error / recovery</x:v>
      </x:c>
      <x:c r="D201" s="128" t="n">
        <x:v>426</x:v>
      </x:c>
      <x:c r="E201" s="128" t="str">
        <x:v>standard action / label · error / recovery</x:v>
      </x:c>
      <x:c r="F201" s="128" t="str">
        <x:v>Dates to confirm</x:v>
      </x:c>
      <x:c r="G201" s="128" t="n">
        <x:v>5</x:v>
      </x:c>
      <x:c r="H201" s="128" t="str">
        <x:v>MRV-9B9F5DBA8F, MRV-9CFBBD188B, MRV-0273792E61, MRV-A75DE91859, MRV-80B34AABBF</x:v>
      </x:c>
      <x:c r="I201" s="128" t="str">
        <x:v>Dashboard · Shared recovery / system · Prep</x:v>
      </x:c>
      <x:c r="J201" s="128" t="str">
        <x:v>formatTripDates (Default) · accommodationDateLabel (Default)</x:v>
      </x:c>
      <x:c r="K201" s="128" t="str">
        <x:v>Dates to confirm</x:v>
      </x:c>
      <x:c r="L201" s="128" t="str">
        <x:v>Should this shared wording stay identical across every listed surface?</x:v>
      </x:c>
      <x:c r="M201" s="128" t="str">
        <x:v>Confirm a shared wording only if the same user intent applies. Keep surface-specific detail where the action or consequence differs.</x:v>
      </x:c>
      <x:c r="N201" s="137" t="str">
        <x:v>Not set — use original Final Copy Override cells</x:v>
      </x:c>
    </x:row>
    <x:row r="202" ht="42" customHeight="1">
      <x:c r="A202" s="128" t="str">
        <x:v>EX-152</x:v>
      </x:c>
      <x:c r="B202" s="134" t="str">
        <x:v>Exact phrase</x:v>
      </x:c>
      <x:c r="C202" s="143" t="str">
        <x:v>3 · Error / recovery</x:v>
      </x:c>
      <x:c r="D202" s="128" t="n">
        <x:v>426</x:v>
      </x:c>
      <x:c r="E202" s="128" t="str">
        <x:v>error / recovery · contextual UX</x:v>
      </x:c>
      <x:c r="F202" s="128" t="str">
        <x:v>Fit destination</x:v>
      </x:c>
      <x:c r="G202" s="128" t="n">
        <x:v>2</x:v>
      </x:c>
      <x:c r="H202" s="128" t="str">
        <x:v>MRV-DBE4FDE7C3, MRV-75D03B1EDB</x:v>
      </x:c>
      <x:c r="I202" s="128" t="str">
        <x:v>Shared recovery / system · Planner recommendations</x:v>
      </x:c>
      <x:c r="J202" s="128" t="str">
        <x:v>JourneyGlobe (Default) · JourneyMapPlannerWorkspace (Accessibility / input support)</x:v>
      </x:c>
      <x:c r="K202" s="128" t="str">
        <x:v>Fit destination</x:v>
      </x:c>
      <x:c r="L202" s="128" t="str">
        <x:v>Should this shared wording stay identical across every listed surface?</x:v>
      </x:c>
      <x:c r="M202" s="128" t="str">
        <x:v>Use “stop” for a selected itinerary item; “destination” for a city or region choice; “place” for a generic search result.</x:v>
      </x:c>
      <x:c r="N202" s="137" t="str">
        <x:v>Not set — use original Final Copy Override cells</x:v>
      </x:c>
    </x:row>
    <x:row r="203" ht="42" customHeight="1">
      <x:c r="A203" s="128" t="str">
        <x:v>EX-153</x:v>
      </x:c>
      <x:c r="B203" s="134" t="str">
        <x:v>Exact phrase</x:v>
      </x:c>
      <x:c r="C203" s="143" t="str">
        <x:v>3 · Error / recovery</x:v>
      </x:c>
      <x:c r="D203" s="128" t="n">
        <x:v>426</x:v>
      </x:c>
      <x:c r="E203" s="128" t="str">
        <x:v>contextual UX · error / recovery</x:v>
      </x:c>
      <x:c r="F203" s="128" t="str">
        <x:v>Map controls</x:v>
      </x:c>
      <x:c r="G203" s="128" t="n">
        <x:v>2</x:v>
      </x:c>
      <x:c r="H203" s="128" t="str">
        <x:v>MRV-6602D64F20, MRV-A40B96FF80</x:v>
      </x:c>
      <x:c r="I203" s="128" t="str">
        <x:v>Stamps · Shared recovery / system</x:v>
      </x:c>
      <x:c r="J203" s="128" t="str">
        <x:v>StampedExperience (Accessibility / input support) · JourneyGlobe (Accessibility / input support)</x:v>
      </x:c>
      <x:c r="K203" s="128" t="str">
        <x:v>Map controls</x:v>
      </x:c>
      <x:c r="L203" s="128" t="str">
        <x:v>Should this shared wording stay identical across every listed surface?</x:v>
      </x:c>
      <x:c r="M203" s="128" t="str">
        <x:v>Confirm a shared wording only if the same user intent applies. Keep surface-specific detail where the action or consequence differs.</x:v>
      </x:c>
      <x:c r="N203" s="137" t="str">
        <x:v>Not set — use original Final Copy Override cells</x:v>
      </x:c>
    </x:row>
    <x:row r="204" ht="42" customHeight="1">
      <x:c r="A204" s="128" t="str">
        <x:v>EX-154</x:v>
      </x:c>
      <x:c r="B204" s="134" t="str">
        <x:v>Exact phrase</x:v>
      </x:c>
      <x:c r="C204" s="143" t="str">
        <x:v>3 · Error / recovery</x:v>
      </x:c>
      <x:c r="D204" s="128" t="n">
        <x:v>426</x:v>
      </x:c>
      <x:c r="E204" s="128" t="str">
        <x:v>error / recovery · contextual UX</x:v>
      </x:c>
      <x:c r="F204" s="128" t="str">
        <x:v>Trip itinerary</x:v>
      </x:c>
      <x:c r="G204" s="128" t="n">
        <x:v>2</x:v>
      </x:c>
      <x:c r="H204" s="128" t="str">
        <x:v>MRV-9BC818F85D, MRV-9A192CC04E</x:v>
      </x:c>
      <x:c r="I204" s="128" t="str">
        <x:v>Shared recovery / system · Planner recommendations</x:v>
      </x:c>
      <x:c r="J204" s="128" t="str">
        <x:v>TripItineraryWorkspace (Accessibility / input support) · JourneyMapPlannerWorkspace (Accessibility / input support)</x:v>
      </x:c>
      <x:c r="K204" s="128" t="str">
        <x:v>Trip itinerary</x:v>
      </x:c>
      <x:c r="L204" s="128" t="str">
        <x:v>Should this shared wording stay identical across every listed surface?</x:v>
      </x:c>
      <x:c r="M204" s="128" t="str">
        <x:v>Use “trip” for the saved plan and its workspace. Keep “journey” only for editorial, brand-level language.</x:v>
      </x:c>
      <x:c r="N204" s="137" t="str">
        <x:v>Not set — use original Final Copy Override cells</x:v>
      </x:c>
    </x:row>
    <x:row r="205" ht="42" customHeight="1">
      <x:c r="A205" s="128" t="str">
        <x:v>UX-045</x:v>
      </x:c>
      <x:c r="B205" s="134" t="str">
        <x:v>Near UX pattern</x:v>
      </x:c>
      <x:c r="C205" s="143" t="str">
        <x:v>3 · Error / recovery</x:v>
      </x:c>
      <x:c r="D205" s="128" t="n">
        <x:v>426</x:v>
      </x:c>
      <x:c r="E205" s="128" t="str">
        <x:v>error / recovery</x:v>
      </x:c>
      <x:c r="F205" s="128" t="str">
        <x:v>error / recovery · Image alternative · support</x:v>
      </x:c>
      <x:c r="G205" s="128" t="n">
        <x:v>25</x:v>
      </x:c>
      <x:c r="H205" s="128" t="str">
        <x:v>MRV-468460C08A, MRV-BF8DDCF197, MRV-6B85F954B4, MRV-A7E4661500, MRV-CEC4EB1BFB, MRV-D1812D6CA4, MRV-15159DEAFB, MRV-3E2232F960, MRV-EE1609853E, MRV-7330228844, MRV-3EE863730E, MRV-1935FFE60C, MRV-587389889F, MRV-7DD5863321, MRV-98DD653695, MRV-26DBB0F0D5, MRV-7C8500488D, MRV-6603ECE5FC, MRV-590BCDB652, MRV-6451412EA8, MRV-2DB6DC75FB, MRV-C4B80CDADA, MRV-2B17E31EC6, MRV-067F7DA5B8, MRV-C3A11A7C27</x:v>
      </x:c>
      <x:c r="I205" s="128" t="str">
        <x:v>Shared recovery / system</x:v>
      </x:c>
      <x:c r="J205" s="128" t="str">
        <x:v>places (Accessibility / input support)</x:v>
      </x:c>
      <x:c r="K205" s="128" t="str">
        <x:v>Tokyo skyline | Tokyo Big Sight exhibition centre | Tokyo Marathon runners | Forest scenery on Mount Takao +21 more</x:v>
      </x:c>
      <x:c r="L205" s="128" t="str">
        <x:v>Set a consistent error / recovery pattern for “Image alternative” without erasing contextual detail.</x:v>
      </x:c>
      <x:c r="M205" s="128" t="str">
        <x:v>Name what failed, say whether work is safe, then offer one clear recovery action. Keep the cause only when it helps the traveller act.</x:v>
      </x:c>
      <x:c r="N205" s="137" t="str">
        <x:v>Not set — use original Final Copy Override cells</x:v>
      </x:c>
    </x:row>
    <x:row r="206" ht="42" customHeight="1">
      <x:c r="A206" s="128" t="str">
        <x:v>UX-046</x:v>
      </x:c>
      <x:c r="B206" s="134" t="str">
        <x:v>Near UX pattern</x:v>
      </x:c>
      <x:c r="C206" s="143" t="str">
        <x:v>3 · Error / recovery</x:v>
      </x:c>
      <x:c r="D206" s="128" t="n">
        <x:v>426</x:v>
      </x:c>
      <x:c r="E206" s="128" t="str">
        <x:v>error / recovery</x:v>
      </x:c>
      <x:c r="F206" s="128" t="str">
        <x:v>error / recovery · Tooltip · support</x:v>
      </x:c>
      <x:c r="G206" s="128" t="n">
        <x:v>14</x:v>
      </x:c>
      <x:c r="H206" s="128" t="str">
        <x:v>MRV-053BA53070, MRV-BC2A80772C, MRV-63DACD9548, MRV-1F82552291, MRV-36B8B620C5, MRV-312633D047, MRV-2CA4875A3A, MRV-C41691A775, MRV-DBE4FDE7C3, MRV-13BD075277, MRV-2494C5DF6F, MRV-F1DB806BDF, MRV-9ABA425B33, MRV-A9DD281C7A</x:v>
      </x:c>
      <x:c r="I206" s="128" t="str">
        <x:v>Shared recovery / system</x:v>
      </x:c>
      <x:c r="J206" s="128" t="str">
        <x:v>metadata (Default) · copy (Default) · labels (Default) · JourneyGlobe (Default) +2 more</x:v>
      </x:c>
      <x:c r="K206" s="128" t="str">
        <x:v>Morrovia · Travel your way | Trip prep · Morrovia | ¿Cómo se siente Morrovia? | How’s Morrovia feeling? +10 more</x:v>
      </x:c>
      <x:c r="L206" s="128" t="str">
        <x:v>Set a consistent error / recovery pattern for “Tooltip” without erasing contextual detail.</x:v>
      </x:c>
      <x:c r="M206" s="128" t="str">
        <x:v>Name what failed, say whether work is safe, then offer one clear recovery action. Keep the cause only when it helps the traveller act.</x:v>
      </x:c>
      <x:c r="N206" s="137" t="str">
        <x:v>Not set — use original Final Copy Override cells</x:v>
      </x:c>
    </x:row>
    <x:row r="207" ht="42" customHeight="1">
      <x:c r="A207" s="128" t="str">
        <x:v>EX-155</x:v>
      </x:c>
      <x:c r="B207" s="134" t="str">
        <x:v>Exact phrase</x:v>
      </x:c>
      <x:c r="C207" s="143" t="str">
        <x:v>3 · Error / recovery</x:v>
      </x:c>
      <x:c r="D207" s="128" t="n">
        <x:v>424</x:v>
      </x:c>
      <x:c r="E207" s="128" t="str">
        <x:v>standard action / label · error / recovery</x:v>
      </x:c>
      <x:c r="F207" s="128" t="str">
        <x:v>· Day</x:v>
      </x:c>
      <x:c r="G207" s="128" t="n">
        <x:v>3</x:v>
      </x:c>
      <x:c r="H207" s="128" t="str">
        <x:v>MRV-34C448FA54, MRV-06409C5163, MRV-52DB644A3A</x:v>
      </x:c>
      <x:c r="I207" s="128" t="str">
        <x:v>Trip mode · Shared recovery / system</x:v>
      </x:c>
      <x:c r="J207" s="128" t="str">
        <x:v>TripModeClient (Default) · LegacyDayContent (Default) · JourneyGlobe (Default)</x:v>
      </x:c>
      <x:c r="K207" s="128" t="str">
        <x:v>· Day | · DAY</x:v>
      </x:c>
      <x:c r="L207" s="128" t="str">
        <x:v>Should this shared wording stay identical across every listed surface?</x:v>
      </x:c>
      <x:c r="M207" s="128" t="str">
        <x:v>Confirm a shared wording only if the same user intent applies. Keep surface-specific detail where the action or consequence differs.</x:v>
      </x:c>
      <x:c r="N207" s="137" t="str">
        <x:v>Not set — use original Final Copy Override cells</x:v>
      </x:c>
    </x:row>
    <x:row r="208" ht="42" customHeight="1">
      <x:c r="A208" s="128" t="str">
        <x:v>EX-156</x:v>
      </x:c>
      <x:c r="B208" s="134" t="str">
        <x:v>Exact phrase</x:v>
      </x:c>
      <x:c r="C208" s="143" t="str">
        <x:v>3 · Error / recovery</x:v>
      </x:c>
      <x:c r="D208" s="128" t="n">
        <x:v>424</x:v>
      </x:c>
      <x:c r="E208" s="128" t="str">
        <x:v>error / recovery</x:v>
      </x:c>
      <x:c r="F208" s="128" t="str">
        <x:v>Available for your dates</x:v>
      </x:c>
      <x:c r="G208" s="128" t="n">
        <x:v>3</x:v>
      </x:c>
      <x:c r="H208" s="128" t="str">
        <x:v>MRV-D8DBF0D148, MRV-BBB471371B, MRV-9A59E1AB14</x:v>
      </x:c>
      <x:c r="I208" s="128" t="str">
        <x:v>Shared recovery / system</x:v>
      </x:c>
      <x:c r="J208" s="128" t="str">
        <x:v>JourneyLocalFinder (Loading / in progress) · JourneyLocalFinder (Default)</x:v>
      </x:c>
      <x:c r="K208" s="128" t="str">
        <x:v>Available for your dates | AVAILABLE FOR YOUR DATES</x:v>
      </x:c>
      <x:c r="L208" s="128" t="str">
        <x:v>Should this shared wording stay identical across every listed surface?</x:v>
      </x:c>
      <x:c r="M208" s="128" t="str">
        <x:v>Name what failed, say whether work is safe, then offer one clear recovery action. Keep the cause only when it helps the traveller act.</x:v>
      </x:c>
      <x:c r="N208" s="137" t="str">
        <x:v>Not set — use original Final Copy Override cells</x:v>
      </x:c>
    </x:row>
    <x:row r="209" ht="42" customHeight="1">
      <x:c r="A209" s="128" t="str">
        <x:v>EX-157</x:v>
      </x:c>
      <x:c r="B209" s="134" t="str">
        <x:v>Exact phrase</x:v>
      </x:c>
      <x:c r="C209" s="143" t="str">
        <x:v>3 · Error / recovery</x:v>
      </x:c>
      <x:c r="D209" s="128" t="n">
        <x:v>424</x:v>
      </x:c>
      <x:c r="E209" s="128" t="str">
        <x:v>standard action / label · error / recovery</x:v>
      </x:c>
      <x:c r="F209" s="128" t="str">
        <x:v>Beach</x:v>
      </x:c>
      <x:c r="G209" s="128" t="n">
        <x:v>3</x:v>
      </x:c>
      <x:c r="H209" s="128" t="str">
        <x:v>MRV-8D32E0E042, MRV-4B25A55E4B, MRV-952567E55E</x:v>
      </x:c>
      <x:c r="I209" s="128" t="str">
        <x:v>New trip builder · Shared recovery / system</x:v>
      </x:c>
      <x:c r="J209" s="128" t="str">
        <x:v>FILTERS (Default) · TripBuilderDocument (Default) · filters (Default)</x:v>
      </x:c>
      <x:c r="K209" s="128" t="str">
        <x:v>Beach</x:v>
      </x:c>
      <x:c r="L209" s="128" t="str">
        <x:v>Should this shared wording stay identical across every listed surface?</x:v>
      </x:c>
      <x:c r="M209" s="128" t="str">
        <x:v>Confirm a shared wording only if the same user intent applies. Keep surface-specific detail where the action or consequence differs.</x:v>
      </x:c>
      <x:c r="N209" s="137" t="str">
        <x:v>Not set — use original Final Copy Override cells</x:v>
      </x:c>
    </x:row>
    <x:row r="210" ht="42" customHeight="1">
      <x:c r="A210" s="128" t="str">
        <x:v>EX-158</x:v>
      </x:c>
      <x:c r="B210" s="134" t="str">
        <x:v>Exact phrase</x:v>
      </x:c>
      <x:c r="C210" s="143" t="str">
        <x:v>3 · Error / recovery</x:v>
      </x:c>
      <x:c r="D210" s="128" t="n">
        <x:v>424</x:v>
      </x:c>
      <x:c r="E210" s="128" t="str">
        <x:v>error / recovery</x:v>
      </x:c>
      <x:c r="F210" s="128" t="str">
        <x:v>China</x:v>
      </x:c>
      <x:c r="G210" s="128" t="n">
        <x:v>3</x:v>
      </x:c>
      <x:c r="H210" s="128" t="str">
        <x:v>MRV-E95252F694, MRV-AE4D29A378, MRV-44153E2237</x:v>
      </x:c>
      <x:c r="I210" s="128" t="str">
        <x:v>Shared recovery / system</x:v>
      </x:c>
      <x:c r="J210" s="128" t="str">
        <x:v>countryCode (Default) · placeMapUrl (Default) · selectedPlaceMapProvider (Default)</x:v>
      </x:c>
      <x:c r="K210" s="128" t="str">
        <x:v>China</x:v>
      </x:c>
      <x:c r="L210" s="128" t="str">
        <x:v>Should this shared wording stay identical across every listed surface?</x:v>
      </x:c>
      <x:c r="M210" s="128" t="str">
        <x:v>Name what failed, say whether work is safe, then offer one clear recovery action. Keep the cause only when it helps the traveller act.</x:v>
      </x:c>
      <x:c r="N210" s="137" t="str">
        <x:v>Not set — use original Final Copy Override cells</x:v>
      </x:c>
    </x:row>
    <x:row r="211" ht="42" customHeight="1">
      <x:c r="A211" s="128" t="str">
        <x:v>EX-159</x:v>
      </x:c>
      <x:c r="B211" s="134" t="str">
        <x:v>Exact phrase</x:v>
      </x:c>
      <x:c r="C211" s="143" t="str">
        <x:v>3 · Error / recovery</x:v>
      </x:c>
      <x:c r="D211" s="128" t="n">
        <x:v>424</x:v>
      </x:c>
      <x:c r="E211" s="128" t="str">
        <x:v>standard action / label · error / recovery</x:v>
      </x:c>
      <x:c r="F211" s="128" t="str">
        <x:v>Cities</x:v>
      </x:c>
      <x:c r="G211" s="128" t="n">
        <x:v>3</x:v>
      </x:c>
      <x:c r="H211" s="128" t="str">
        <x:v>MRV-C9F56E2A82, MRV-8CE600FA5C, MRV-DC5300009E</x:v>
      </x:c>
      <x:c r="I211" s="128" t="str">
        <x:v>New trip builder · Shared recovery / system</x:v>
      </x:c>
      <x:c r="J211" s="128" t="str">
        <x:v>FILTERS (Default) · TripBuilderDocument (Default) · filters (Default)</x:v>
      </x:c>
      <x:c r="K211" s="128" t="str">
        <x:v>Cities</x:v>
      </x:c>
      <x:c r="L211" s="128" t="str">
        <x:v>Should this shared wording stay identical across every listed surface?</x:v>
      </x:c>
      <x:c r="M211" s="128" t="str">
        <x:v>Confirm a shared wording only if the same user intent applies. Keep surface-specific detail where the action or consequence differs.</x:v>
      </x:c>
      <x:c r="N211" s="137" t="str">
        <x:v>Not set — use original Final Copy Override cells</x:v>
      </x:c>
    </x:row>
    <x:row r="212" ht="42" customHeight="1">
      <x:c r="A212" s="128" t="str">
        <x:v>EX-160</x:v>
      </x:c>
      <x:c r="B212" s="134" t="str">
        <x:v>Exact phrase</x:v>
      </x:c>
      <x:c r="C212" s="143" t="str">
        <x:v>3 · Error / recovery</x:v>
      </x:c>
      <x:c r="D212" s="128" t="n">
        <x:v>424</x:v>
      </x:c>
      <x:c r="E212" s="128" t="str">
        <x:v>standard action / label · error / recovery</x:v>
      </x:c>
      <x:c r="F212" s="128" t="str">
        <x:v>Date to confirm</x:v>
      </x:c>
      <x:c r="G212" s="128" t="n">
        <x:v>3</x:v>
      </x:c>
      <x:c r="H212" s="128" t="str">
        <x:v>MRV-029D05E894, MRV-FBDD54000A, MRV-A964255901</x:v>
      </x:c>
      <x:c r="I212" s="128" t="str">
        <x:v>Trip mode · Shared recovery / system · Planner recommendations</x:v>
      </x:c>
      <x:c r="J212" s="128" t="str">
        <x:v>dayLabel (Default) · displayDate (Default) · customDate (Default)</x:v>
      </x:c>
      <x:c r="K212" s="128" t="str">
        <x:v>Date to confirm</x:v>
      </x:c>
      <x:c r="L212" s="128" t="str">
        <x:v>Should this shared wording stay identical across every listed surface?</x:v>
      </x:c>
      <x:c r="M212" s="128" t="str">
        <x:v>Confirm a shared wording only if the same user intent applies. Keep surface-specific detail where the action or consequence differs.</x:v>
      </x:c>
      <x:c r="N212" s="137" t="str">
        <x:v>Not set — use original Final Copy Override cells</x:v>
      </x:c>
    </x:row>
    <x:row r="213" ht="42" customHeight="1">
      <x:c r="A213" s="128" t="str">
        <x:v>EX-161</x:v>
      </x:c>
      <x:c r="B213" s="134" t="str">
        <x:v>Exact phrase</x:v>
      </x:c>
      <x:c r="C213" s="143" t="str">
        <x:v>3 · Error / recovery</x:v>
      </x:c>
      <x:c r="D213" s="128" t="n">
        <x:v>424</x:v>
      </x:c>
      <x:c r="E213" s="128" t="str">
        <x:v>standard action / label · error / recovery</x:v>
      </x:c>
      <x:c r="F213" s="128" t="str">
        <x:v>Day</x:v>
      </x:c>
      <x:c r="G213" s="128" t="n">
        <x:v>3</x:v>
      </x:c>
      <x:c r="H213" s="128" t="str">
        <x:v>MRV-D917103E7B, MRV-4700CEEBD8, MRV-8974F328ED</x:v>
      </x:c>
      <x:c r="I213" s="128" t="str">
        <x:v>Plan next · Shared recovery / system · Planner recommendations</x:v>
      </x:c>
      <x:c r="J213" s="128" t="str">
        <x:v>MapPlanNext (Default) · DayNavigation (Default) · JourneyMapPlannerWorkspace (Default)</x:v>
      </x:c>
      <x:c r="K213" s="128" t="str">
        <x:v>Day</x:v>
      </x:c>
      <x:c r="L213" s="128" t="str">
        <x:v>Should this shared wording stay identical across every listed surface?</x:v>
      </x:c>
      <x:c r="M213" s="128" t="str">
        <x:v>Confirm a shared wording only if the same user intent applies. Keep surface-specific detail where the action or consequence differs.</x:v>
      </x:c>
      <x:c r="N213" s="137" t="str">
        <x:v>Not set — use original Final Copy Override cells</x:v>
      </x:c>
    </x:row>
    <x:row r="214" ht="42" customHeight="1">
      <x:c r="A214" s="128" t="str">
        <x:v>EX-162</x:v>
      </x:c>
      <x:c r="B214" s="134" t="str">
        <x:v>Exact phrase</x:v>
      </x:c>
      <x:c r="C214" s="143" t="str">
        <x:v>3 · Error / recovery</x:v>
      </x:c>
      <x:c r="D214" s="128" t="n">
        <x:v>424</x:v>
      </x:c>
      <x:c r="E214" s="128" t="str">
        <x:v>standard action / label · error / recovery</x:v>
      </x:c>
      <x:c r="F214" s="128" t="str">
        <x:v>Route</x:v>
      </x:c>
      <x:c r="G214" s="128" t="n">
        <x:v>3</x:v>
      </x:c>
      <x:c r="H214" s="128" t="str">
        <x:v>MRV-99703D8627, MRV-62B1E48603, MRV-313659E736</x:v>
      </x:c>
      <x:c r="I214" s="128" t="str">
        <x:v>New trip builder · Shared recovery / system</x:v>
      </x:c>
      <x:c r="J214" s="128" t="str">
        <x:v>TripBuilderDocument (Default) · TripItineraryWorkspace (Default) · LegacyDayRail (Default)</x:v>
      </x:c>
      <x:c r="K214" s="128" t="str">
        <x:v>Route</x:v>
      </x:c>
      <x:c r="L214" s="128" t="str">
        <x:v>Should this shared wording stay identical across every listed surface?</x:v>
      </x:c>
      <x:c r="M214" s="128" t="str">
        <x:v>Use “route” for sequence and connections; use “plan” for the wider trip, including dates, stays and tasks.</x:v>
      </x:c>
      <x:c r="N214" s="137" t="str">
        <x:v>Not set — use original Final Copy Override cells</x:v>
      </x:c>
    </x:row>
    <x:row r="215" ht="42" customHeight="1">
      <x:c r="A215" s="128" t="str">
        <x:v>EX-163</x:v>
      </x:c>
      <x:c r="B215" s="134" t="str">
        <x:v>Exact phrase</x:v>
      </x:c>
      <x:c r="C215" s="143" t="str">
        <x:v>3 · Error / recovery</x:v>
      </x:c>
      <x:c r="D215" s="128" t="n">
        <x:v>424</x:v>
      </x:c>
      <x:c r="E215" s="128" t="str">
        <x:v>error / recovery · standard action / label</x:v>
      </x:c>
      <x:c r="F215" s="128" t="str">
        <x:v>stays sorted</x:v>
      </x:c>
      <x:c r="G215" s="128" t="n">
        <x:v>3</x:v>
      </x:c>
      <x:c r="H215" s="128" t="str">
        <x:v>MRV-20645B9C63, MRV-6A1544378F, MRV-AD6C849F6A</x:v>
      </x:c>
      <x:c r="I215" s="128" t="str">
        <x:v>Shared recovery / system · Prep</x:v>
      </x:c>
      <x:c r="J215" s="128" t="str">
        <x:v>JourneyItineraryAccommodation (Default) · JourneyTripPrepAccommodation (Default)</x:v>
      </x:c>
      <x:c r="K215" s="128" t="str">
        <x:v>stays sorted</x:v>
      </x:c>
      <x:c r="L215" s="128" t="str">
        <x:v>Should this shared wording stay identical across every listed surface?</x:v>
      </x:c>
      <x:c r="M215" s="128" t="str">
        <x:v>Use “ready” for readiness, “booked” only for a confirmed booking, and avoid “sorted” as a readiness claim.</x:v>
      </x:c>
      <x:c r="N215" s="137" t="str">
        <x:v>Not set — use original Final Copy Override cells</x:v>
      </x:c>
    </x:row>
    <x:row r="216" ht="42" customHeight="1">
      <x:c r="A216" s="128" t="str">
        <x:v>EX-164</x:v>
      </x:c>
      <x:c r="B216" s="134" t="str">
        <x:v>Exact phrase</x:v>
      </x:c>
      <x:c r="C216" s="143" t="str">
        <x:v>3 · Error / recovery</x:v>
      </x:c>
      <x:c r="D216" s="128" t="n">
        <x:v>424</x:v>
      </x:c>
      <x:c r="E216" s="128" t="str">
        <x:v>error / recovery</x:v>
      </x:c>
      <x:c r="F216" s="128" t="str">
        <x:v>United States</x:v>
      </x:c>
      <x:c r="G216" s="128" t="n">
        <x:v>3</x:v>
      </x:c>
      <x:c r="H216" s="128" t="str">
        <x:v>MRV-819B09BEF3, MRV-F6468AF0D3, MRV-1E8DCE443A</x:v>
      </x:c>
      <x:c r="I216" s="128" t="str">
        <x:v>Shared recovery / system</x:v>
      </x:c>
      <x:c r="J216" s="128" t="str">
        <x:v>countryCode (Default) · countryZoom (Default) · adviceSourceFor (Default)</x:v>
      </x:c>
      <x:c r="K216" s="128" t="str">
        <x:v>United States | united states</x:v>
      </x:c>
      <x:c r="L216" s="128" t="str">
        <x:v>Should this shared wording stay identical across every listed surface?</x:v>
      </x:c>
      <x:c r="M216" s="128" t="str">
        <x:v>Name what failed, say whether work is safe, then offer one clear recovery action. Keep the cause only when it helps the traveller act.</x:v>
      </x:c>
      <x:c r="N216" s="137" t="str">
        <x:v>Not set — use original Final Copy Override cells</x:v>
      </x:c>
    </x:row>
    <x:row r="217" ht="42" customHeight="1">
      <x:c r="A217" s="128" t="str">
        <x:v>EX-165</x:v>
      </x:c>
      <x:c r="B217" s="134" t="str">
        <x:v>Exact phrase</x:v>
      </x:c>
      <x:c r="C217" s="143" t="str">
        <x:v>3 · Error / recovery</x:v>
      </x:c>
      <x:c r="D217" s="128" t="n">
        <x:v>423</x:v>
      </x:c>
      <x:c r="E217" s="128" t="str">
        <x:v>error / recovery · standard action / label</x:v>
      </x:c>
      <x:c r="F217" s="128" t="str">
        <x:v>{arrival}–{departure}</x:v>
      </x:c>
      <x:c r="G217" s="128" t="n">
        <x:v>2</x:v>
      </x:c>
      <x:c r="H217" s="128" t="str">
        <x:v>MRV-6DB9255914, MRV-5AF4EB315C</x:v>
      </x:c>
      <x:c r="I217" s="128" t="str">
        <x:v>Shared recovery / system · Prep</x:v>
      </x:c>
      <x:c r="J217" s="128" t="str">
        <x:v>accommodationDateLabel (Default)</x:v>
      </x:c>
      <x:c r="K217" s="128" t="str">
        <x:v>{arrival}–{departure}</x:v>
      </x:c>
      <x:c r="L217" s="128" t="str">
        <x:v>Should this shared wording stay identical across every listed surface?</x:v>
      </x:c>
      <x:c r="M217" s="128" t="str">
        <x:v>Confirm a shared wording only if the same user intent applies. Keep surface-specific detail where the action or consequence differs.</x:v>
      </x:c>
      <x:c r="N217" s="137" t="str">
        <x:v>Not set — use original Final Copy Override cells</x:v>
      </x:c>
    </x:row>
    <x:row r="218" ht="42" customHeight="1">
      <x:c r="A218" s="128" t="str">
        <x:v>EX-166</x:v>
      </x:c>
      <x:c r="B218" s="134" t="str">
        <x:v>Exact phrase</x:v>
      </x:c>
      <x:c r="C218" s="143" t="str">
        <x:v>3 · Error / recovery</x:v>
      </x:c>
      <x:c r="D218" s="128" t="n">
        <x:v>423</x:v>
      </x:c>
      <x:c r="E218" s="128" t="str">
        <x:v>error / recovery</x:v>
      </x:c>
      <x:c r="F218" s="128" t="str">
        <x:v>{from} → {to}</x:v>
      </x:c>
      <x:c r="G218" s="128" t="n">
        <x:v>2</x:v>
      </x:c>
      <x:c r="H218" s="128" t="str">
        <x:v>MRV-75107314E7, MRV-585C15EE49</x:v>
      </x:c>
      <x:c r="I218" s="128" t="str">
        <x:v>Shared recovery / system</x:v>
      </x:c>
      <x:c r="J218" s="128" t="str">
        <x:v>TransferRow (Default) · route (Default)</x:v>
      </x:c>
      <x:c r="K218" s="128" t="str">
        <x:v>{from} → {to}</x:v>
      </x:c>
      <x:c r="L218" s="128" t="str">
        <x:v>Should this shared wording stay identical across every listed surface?</x:v>
      </x:c>
      <x:c r="M218" s="128" t="str">
        <x:v>Name what failed, say whether work is safe, then offer one clear recovery action. Keep the cause only when it helps the traveller act.</x:v>
      </x:c>
      <x:c r="N218" s="137" t="str">
        <x:v>Not set — use original Final Copy Override cells</x:v>
      </x:c>
    </x:row>
    <x:row r="219" ht="42" customHeight="1">
      <x:c r="A219" s="128" t="str">
        <x:v>EX-167</x:v>
      </x:c>
      <x:c r="B219" s="134" t="str">
        <x:v>Exact phrase</x:v>
      </x:c>
      <x:c r="C219" s="143" t="str">
        <x:v>3 · Error / recovery</x:v>
      </x:c>
      <x:c r="D219" s="128" t="n">
        <x:v>423</x:v>
      </x:c>
      <x:c r="E219" s="128" t="str">
        <x:v>error / recovery</x:v>
      </x:c>
      <x:c r="F219" s="128" t="str">
        <x:v>{value}T00:00:00Z</x:v>
      </x:c>
      <x:c r="G219" s="128" t="n">
        <x:v>2</x:v>
      </x:c>
      <x:c r="H219" s="128" t="str">
        <x:v>MRV-A640E621F5, MRV-321B0E6BD5</x:v>
      </x:c>
      <x:c r="I219" s="128" t="str">
        <x:v>Shared recovery / system</x:v>
      </x:c>
      <x:c r="J219" s="128" t="str">
        <x:v>validDate (Default) · oldestReview (Default)</x:v>
      </x:c>
      <x:c r="K219" s="128" t="str">
        <x:v>{value}T00:00:00Z</x:v>
      </x:c>
      <x:c r="L219" s="128" t="str">
        <x:v>Should this shared wording stay identical across every listed surface?</x:v>
      </x:c>
      <x:c r="M219" s="128" t="str">
        <x:v>Name what failed, say whether work is safe, then offer one clear recovery action. Keep the cause only when it helps the traveller act.</x:v>
      </x:c>
      <x:c r="N219" s="137" t="str">
        <x:v>Not set — use original Final Copy Override cells</x:v>
      </x:c>
    </x:row>
    <x:row r="220" ht="42" customHeight="1">
      <x:c r="A220" s="128" t="str">
        <x:v>EX-168</x:v>
      </x:c>
      <x:c r="B220" s="134" t="str">
        <x:v>Exact phrase</x:v>
      </x:c>
      <x:c r="C220" s="143" t="str">
        <x:v>3 · Error / recovery</x:v>
      </x:c>
      <x:c r="D220" s="128" t="n">
        <x:v>423</x:v>
      </x:c>
      <x:c r="E220" s="128" t="str">
        <x:v>error / recovery · standard action / label</x:v>
      </x:c>
      <x:c r="F220" s="128" t="str">
        <x:v>Accommodation saved</x:v>
      </x:c>
      <x:c r="G220" s="128" t="n">
        <x:v>2</x:v>
      </x:c>
      <x:c r="H220" s="128" t="str">
        <x:v>MRV-CF0BFF4380, MRV-88552CC2F9</x:v>
      </x:c>
      <x:c r="I220" s="128" t="str">
        <x:v>Shared recovery / system · Prep</x:v>
      </x:c>
      <x:c r="J220" s="128" t="str">
        <x:v>JourneyItineraryAccommodation (Default) · JourneyTripPrepAccommodation (Default)</x:v>
      </x:c>
      <x:c r="K220" s="128" t="str">
        <x:v>Accommodation saved</x:v>
      </x:c>
      <x:c r="L220" s="128" t="str">
        <x:v>Should this shared wording stay identical across every listed surface?</x:v>
      </x:c>
      <x:c r="M220" s="128" t="str">
        <x:v>Confirm a shared wording only if the same user intent applies. Keep surface-specific detail where the action or consequence differs.</x:v>
      </x:c>
      <x:c r="N220" s="137" t="str">
        <x:v>Not set — use original Final Copy Override cells</x:v>
      </x:c>
    </x:row>
    <x:row r="221" ht="42" customHeight="1">
      <x:c r="A221" s="128" t="str">
        <x:v>EX-169</x:v>
      </x:c>
      <x:c r="B221" s="134" t="str">
        <x:v>Exact phrase</x:v>
      </x:c>
      <x:c r="C221" s="143" t="str">
        <x:v>3 · Error / recovery</x:v>
      </x:c>
      <x:c r="D221" s="128" t="n">
        <x:v>423</x:v>
      </x:c>
      <x:c r="E221" s="128" t="str">
        <x:v>error / recovery</x:v>
      </x:c>
      <x:c r="F221" s="128" t="str">
        <x:v>Hong Kong</x:v>
      </x:c>
      <x:c r="G221" s="128" t="n">
        <x:v>2</x:v>
      </x:c>
      <x:c r="H221" s="128" t="str">
        <x:v>MRV-D0083ACB06, MRV-8467DA0416</x:v>
      </x:c>
      <x:c r="I221" s="128" t="str">
        <x:v>Shared recovery / system</x:v>
      </x:c>
      <x:c r="J221" s="128" t="str">
        <x:v>countryCode (Default) · countryZoom (Default)</x:v>
      </x:c>
      <x:c r="K221" s="128" t="str">
        <x:v>Hong Kong</x:v>
      </x:c>
      <x:c r="L221" s="128" t="str">
        <x:v>Should this shared wording stay identical across every listed surface?</x:v>
      </x:c>
      <x:c r="M221" s="128" t="str">
        <x:v>Name what failed, say whether work is safe, then offer one clear recovery action. Keep the cause only when it helps the traveller act.</x:v>
      </x:c>
      <x:c r="N221" s="137" t="str">
        <x:v>Not set — use original Final Copy Override cells</x:v>
      </x:c>
    </x:row>
    <x:row r="222" ht="42" customHeight="1">
      <x:c r="A222" s="128" t="str">
        <x:v>EX-170</x:v>
      </x:c>
      <x:c r="B222" s="134" t="str">
        <x:v>Exact phrase</x:v>
      </x:c>
      <x:c r="C222" s="143" t="str">
        <x:v>3 · Error / recovery</x:v>
      </x:c>
      <x:c r="D222" s="128" t="n">
        <x:v>423</x:v>
      </x:c>
      <x:c r="E222" s="128" t="str">
        <x:v>error / recovery · onboarding / empty</x:v>
      </x:c>
      <x:c r="F222" s="128" t="str">
        <x:v>Itinerary to confirm</x:v>
      </x:c>
      <x:c r="G222" s="128" t="n">
        <x:v>2</x:v>
      </x:c>
      <x:c r="H222" s="128" t="str">
        <x:v>MRV-9E764A869D, MRV-547437D1BB</x:v>
      </x:c>
      <x:c r="I222" s="128" t="str">
        <x:v>Shared recovery / system · Planner recommendations</x:v>
      </x:c>
      <x:c r="J222" s="128" t="str">
        <x:v>TripItineraryWorkspace (Default) · emptyJourneyDay (Default)</x:v>
      </x:c>
      <x:c r="K222" s="128" t="str">
        <x:v>Itinerary to confirm</x:v>
      </x:c>
      <x:c r="L222" s="128" t="str">
        <x:v>Should this shared wording stay identical across every listed surface?</x:v>
      </x:c>
      <x:c r="M222" s="128" t="str">
        <x:v>Confirm a shared wording only if the same user intent applies. Keep surface-specific detail where the action or consequence differs.</x:v>
      </x:c>
      <x:c r="N222" s="137" t="str">
        <x:v>Not set — use original Final Copy Override cells</x:v>
      </x:c>
    </x:row>
    <x:row r="223" ht="42" customHeight="1">
      <x:c r="A223" s="128" t="str">
        <x:v>EX-171</x:v>
      </x:c>
      <x:c r="B223" s="134" t="str">
        <x:v>Exact phrase</x:v>
      </x:c>
      <x:c r="C223" s="143" t="str">
        <x:v>3 · Error / recovery</x:v>
      </x:c>
      <x:c r="D223" s="128" t="n">
        <x:v>423</x:v>
      </x:c>
      <x:c r="E223" s="128" t="str">
        <x:v>error / recovery</x:v>
      </x:c>
      <x:c r="F223" s="128" t="str">
        <x:v>Japan</x:v>
      </x:c>
      <x:c r="G223" s="128" t="n">
        <x:v>2</x:v>
      </x:c>
      <x:c r="H223" s="128" t="str">
        <x:v>MRV-78DF7AC7DD, MRV-BDF99CBA96</x:v>
      </x:c>
      <x:c r="I223" s="128" t="str">
        <x:v>Shared recovery / system</x:v>
      </x:c>
      <x:c r="J223" s="128" t="str">
        <x:v>countryCode (Default) · countryZoom (Default)</x:v>
      </x:c>
      <x:c r="K223" s="128" t="str">
        <x:v>Japan</x:v>
      </x:c>
      <x:c r="L223" s="128" t="str">
        <x:v>Should this shared wording stay identical across every listed surface?</x:v>
      </x:c>
      <x:c r="M223" s="128" t="str">
        <x:v>Name what failed, say whether work is safe, then offer one clear recovery action. Keep the cause only when it helps the traveller act.</x:v>
      </x:c>
      <x:c r="N223" s="137" t="str">
        <x:v>Not set — use original Final Copy Override cells</x:v>
      </x:c>
    </x:row>
    <x:row r="224" ht="42" customHeight="1">
      <x:c r="A224" s="128" t="str">
        <x:v>EX-172</x:v>
      </x:c>
      <x:c r="B224" s="134" t="str">
        <x:v>Exact phrase</x:v>
      </x:c>
      <x:c r="C224" s="143" t="str">
        <x:v>3 · Error / recovery</x:v>
      </x:c>
      <x:c r="D224" s="128" t="n">
        <x:v>423</x:v>
      </x:c>
      <x:c r="E224" s="128" t="str">
        <x:v>error / recovery · loading / in progress</x:v>
      </x:c>
      <x:c r="F224" s="128" t="str">
        <x:v>Loading your journey…</x:v>
      </x:c>
      <x:c r="G224" s="128" t="n">
        <x:v>2</x:v>
      </x:c>
      <x:c r="H224" s="128" t="str">
        <x:v>MRV-8B41D8E336, MRV-34936A7ACC</x:v>
      </x:c>
      <x:c r="I224" s="128" t="str">
        <x:v>Shared recovery / system · Planner recommendations</x:v>
      </x:c>
      <x:c r="J224" s="128" t="str">
        <x:v>JourneyLoading (Loading / in progress) · JourneyMapPlannerWorkspace (Loading / in progress)</x:v>
      </x:c>
      <x:c r="K224" s="128" t="str">
        <x:v>Loading your journey…</x:v>
      </x:c>
      <x:c r="L224" s="128" t="str">
        <x:v>Should this shared wording stay identical across every listed surface?</x:v>
      </x:c>
      <x:c r="M224" s="128" t="str">
        <x:v>Use “trip” for the saved plan and its workspace. Keep “journey” only for editorial, brand-level language.</x:v>
      </x:c>
      <x:c r="N224" s="137" t="str">
        <x:v>Not set — use original Final Copy Override cells</x:v>
      </x:c>
    </x:row>
    <x:row r="225" ht="42" customHeight="1">
      <x:c r="A225" s="128" t="str">
        <x:v>EX-173</x:v>
      </x:c>
      <x:c r="B225" s="134" t="str">
        <x:v>Exact phrase</x:v>
      </x:c>
      <x:c r="C225" s="143" t="str">
        <x:v>3 · Error / recovery</x:v>
      </x:c>
      <x:c r="D225" s="128" t="n">
        <x:v>423</x:v>
      </x:c>
      <x:c r="E225" s="128" t="str">
        <x:v>error / recovery · standard action / label</x:v>
      </x:c>
      <x:c r="F225" s="128" t="str">
        <x:v>Needs a stay</x:v>
      </x:c>
      <x:c r="G225" s="128" t="n">
        <x:v>2</x:v>
      </x:c>
      <x:c r="H225" s="128" t="str">
        <x:v>MRV-9F39C95589, MRV-74254A62CC</x:v>
      </x:c>
      <x:c r="I225" s="128" t="str">
        <x:v>Shared recovery / system · Prep</x:v>
      </x:c>
      <x:c r="J225" s="128" t="str">
        <x:v>JourneyItineraryAccommodation (Default) · JourneyTripPrepAccommodation (Default)</x:v>
      </x:c>
      <x:c r="K225" s="128" t="str">
        <x:v>Needs a stay</x:v>
      </x:c>
      <x:c r="L225" s="128" t="str">
        <x:v>Should this shared wording stay identical across every listed surface?</x:v>
      </x:c>
      <x:c r="M225" s="128" t="str">
        <x:v>Confirm a shared wording only if the same user intent applies. Keep surface-specific detail where the action or consequence differs.</x:v>
      </x:c>
      <x:c r="N225" s="137" t="str">
        <x:v>Not set — use original Final Copy Override cells</x:v>
      </x:c>
    </x:row>
    <x:row r="226" ht="42" customHeight="1">
      <x:c r="A226" s="128" t="str">
        <x:v>EX-174</x:v>
      </x:c>
      <x:c r="B226" s="134" t="str">
        <x:v>Exact phrase</x:v>
      </x:c>
      <x:c r="C226" s="143" t="str">
        <x:v>3 · Error / recovery</x:v>
      </x:c>
      <x:c r="D226" s="128" t="n">
        <x:v>423</x:v>
      </x:c>
      <x:c r="E226" s="128" t="str">
        <x:v>error / recovery · standard action / label</x:v>
      </x:c>
      <x:c r="F226" s="128" t="str">
        <x:v>Stay sorted</x:v>
      </x:c>
      <x:c r="G226" s="128" t="n">
        <x:v>2</x:v>
      </x:c>
      <x:c r="H226" s="128" t="str">
        <x:v>MRV-D0A84C43AF, MRV-7B407AEEF2</x:v>
      </x:c>
      <x:c r="I226" s="128" t="str">
        <x:v>Shared recovery / system · Prep</x:v>
      </x:c>
      <x:c r="J226" s="128" t="str">
        <x:v>JourneyItineraryAccommodation (Default) · JourneyTripPrepAccommodation (Default)</x:v>
      </x:c>
      <x:c r="K226" s="128" t="str">
        <x:v>Stay sorted</x:v>
      </x:c>
      <x:c r="L226" s="128" t="str">
        <x:v>Should this shared wording stay identical across every listed surface?</x:v>
      </x:c>
      <x:c r="M226" s="128" t="str">
        <x:v>Use “ready” for readiness, “booked” only for a confirmed booking, and avoid “sorted” as a readiness claim.</x:v>
      </x:c>
      <x:c r="N226" s="137" t="str">
        <x:v>Not set — use original Final Copy Override cells</x:v>
      </x:c>
    </x:row>
    <x:row r="227" ht="42" customHeight="1">
      <x:c r="A227" s="128" t="str">
        <x:v>EX-175</x:v>
      </x:c>
      <x:c r="B227" s="134" t="str">
        <x:v>Exact phrase</x:v>
      </x:c>
      <x:c r="C227" s="143" t="str">
        <x:v>4 · Onboarding / empty</x:v>
      </x:c>
      <x:c r="D227" s="128" t="n">
        <x:v>326</x:v>
      </x:c>
      <x:c r="E227" s="128" t="str">
        <x:v>standard action / label</x:v>
      </x:c>
      <x:c r="F227" s="128" t="str">
        <x:v>See the decision before the detail.</x:v>
      </x:c>
      <x:c r="G227" s="128" t="n">
        <x:v>2</x:v>
      </x:c>
      <x:c r="H227" s="128" t="str">
        <x:v>MRV-2E3A4F7913, MRV-7D105D90CB</x:v>
      </x:c>
      <x:c r="I227" s="128" t="str">
        <x:v>Homepage</x:v>
      </x:c>
      <x:c r="J227" s="128" t="str">
        <x:v>copy (Default) · HomeProof (Default)</x:v>
      </x:c>
      <x:c r="K227" s="128" t="str">
        <x:v>See the decision before the detail. | SEE THE DECISION BEFORE THE DETAIL</x:v>
      </x:c>
      <x:c r="L227" s="128" t="str">
        <x:v>Should this shared wording stay identical across every listed surface?</x:v>
      </x:c>
      <x:c r="M227" s="128" t="str">
        <x:v>Confirm a shared wording only if the same user intent applies. Keep surface-specific detail where the action or consequence differs.</x:v>
      </x:c>
      <x:c r="N227" s="137" t="str">
        <x:v>Not set — use original Final Copy Override cells</x:v>
      </x:c>
    </x:row>
    <x:row r="228" ht="42" customHeight="1">
      <x:c r="A228" s="128" t="str">
        <x:v>EX-176</x:v>
      </x:c>
      <x:c r="B228" s="134" t="str">
        <x:v>Exact phrase</x:v>
      </x:c>
      <x:c r="C228" s="143" t="str">
        <x:v>4 · Onboarding / empty</x:v>
      </x:c>
      <x:c r="D228" s="128" t="n">
        <x:v>326</x:v>
      </x:c>
      <x:c r="E228" s="128" t="str">
        <x:v>standard action / label</x:v>
      </x:c>
      <x:c r="F228" s="128" t="str">
        <x:v>Ve la decisión antes que el detalle.</x:v>
      </x:c>
      <x:c r="G228" s="128" t="n">
        <x:v>2</x:v>
      </x:c>
      <x:c r="H228" s="128" t="str">
        <x:v>MRV-FB0E99B617, MRV-CF98A619E0</x:v>
      </x:c>
      <x:c r="I228" s="128" t="str">
        <x:v>Homepage</x:v>
      </x:c>
      <x:c r="J228" s="128" t="str">
        <x:v>copy (Default) · HomeProof (Default)</x:v>
      </x:c>
      <x:c r="K228" s="128" t="str">
        <x:v>Ve la decisión antes que el detalle. | VE LA DECISIÓN ANTES QUE EL DETALLE</x:v>
      </x:c>
      <x:c r="L228" s="128" t="str">
        <x:v>Should this shared wording stay identical across every listed surface?</x:v>
      </x:c>
      <x:c r="M228" s="128" t="str">
        <x:v>Confirm a shared wording only if the same user intent applies. Keep surface-specific detail where the action or consequence differs.</x:v>
      </x:c>
      <x:c r="N228" s="137" t="str">
        <x:v>Not set — use original Final Copy Override cells</x:v>
      </x:c>
    </x:row>
    <x:row r="229" ht="42" customHeight="1">
      <x:c r="A229" s="128" t="str">
        <x:v>UX-047</x:v>
      </x:c>
      <x:c r="B229" s="134" t="str">
        <x:v>Near UX pattern</x:v>
      </x:c>
      <x:c r="C229" s="143" t="str">
        <x:v>4 · Onboarding / empty</x:v>
      </x:c>
      <x:c r="D229" s="128" t="n">
        <x:v>324</x:v>
      </x:c>
      <x:c r="E229" s="128" t="str">
        <x:v>onboarding / empty</x:v>
      </x:c>
      <x:c r="F229" s="128" t="str">
        <x:v>onboarding / empty · Label · support</x:v>
      </x:c>
      <x:c r="G229" s="128" t="n">
        <x:v>3</x:v>
      </x:c>
      <x:c r="H229" s="128" t="str">
        <x:v>MRV-A083CB22F6, MRV-86A131187B, MRV-627996A6A9</x:v>
      </x:c>
      <x:c r="I229" s="128" t="str">
        <x:v>Admin operations · Dashboard</x:v>
      </x:c>
      <x:c r="J229" s="128" t="str">
        <x:v>EasyTAdminFeedbackPage (Default) · DashboardClient (Empty state)</x:v>
      </x:c>
      <x:c r="K229" s="128" t="str">
        <x:v>No rating yet | Tu primer viaje | Your first trip</x:v>
      </x:c>
      <x:c r="L229" s="128" t="str">
        <x:v>Set a consistent onboarding / empty pattern for “Label” without erasing contextual detail.</x:v>
      </x:c>
      <x:c r="M229" s="128" t="str">
        <x:v>Lead with the next useful action. Keep supporting explanation short and specific to this empty state.</x:v>
      </x:c>
      <x:c r="N229" s="137" t="str">
        <x:v>Not set — use original Final Copy Override cells</x:v>
      </x:c>
    </x:row>
    <x:row r="230" ht="42" customHeight="1">
      <x:c r="A230" s="128" t="str">
        <x:v>EX-177</x:v>
      </x:c>
      <x:c r="B230" s="134" t="str">
        <x:v>Exact phrase</x:v>
      </x:c>
      <x:c r="C230" s="143" t="str">
        <x:v>4 · Onboarding / empty</x:v>
      </x:c>
      <x:c r="D230" s="128" t="n">
        <x:v>323</x:v>
      </x:c>
      <x:c r="E230" s="128" t="str">
        <x:v>standard action / label</x:v>
      </x:c>
      <x:c r="F230" s="128" t="str">
        <x:v>How it works</x:v>
      </x:c>
      <x:c r="G230" s="128" t="n">
        <x:v>2</x:v>
      </x:c>
      <x:c r="H230" s="128" t="str">
        <x:v>MRV-1FE685A06C, MRV-020C0E8448</x:v>
      </x:c>
      <x:c r="I230" s="128" t="str">
        <x:v>Primary navigation</x:v>
      </x:c>
      <x:c r="J230" s="128" t="str">
        <x:v>EasyTNavigation (Default)</x:v>
      </x:c>
      <x:c r="K230" s="128" t="str">
        <x:v>How it works</x:v>
      </x:c>
      <x:c r="L230" s="128" t="str">
        <x:v>Should this shared wording stay identical across every listed surface?</x:v>
      </x:c>
      <x:c r="M230" s="128" t="str">
        <x:v>Confirm a shared wording only if the same user intent applies. Keep surface-specific detail where the action or consequence differs.</x:v>
      </x:c>
      <x:c r="N230" s="137" t="str">
        <x:v>Not set — use original Final Copy Override cells</x:v>
      </x:c>
    </x:row>
    <x:row r="231" ht="42" customHeight="1">
      <x:c r="A231" s="128" t="str">
        <x:v>EX-178</x:v>
      </x:c>
      <x:c r="B231" s="134" t="str">
        <x:v>Exact phrase</x:v>
      </x:c>
      <x:c r="C231" s="143" t="str">
        <x:v>5 · Navigation</x:v>
      </x:c>
      <x:c r="D231" s="128" t="n">
        <x:v>224</x:v>
      </x:c>
      <x:c r="E231" s="128" t="str">
        <x:v>standard action / label</x:v>
      </x:c>
      <x:c r="F231" s="128" t="str">
        <x:v>Iniciar sesión</x:v>
      </x:c>
      <x:c r="G231" s="128" t="n">
        <x:v>3</x:v>
      </x:c>
      <x:c r="H231" s="128" t="str">
        <x:v>MRV-0F9AA93184, MRV-B16FACBA59, MRV-472CD5B9F7</x:v>
      </x:c>
      <x:c r="I231" s="128" t="str">
        <x:v>Primary navigation · Stamps</x:v>
      </x:c>
      <x:c r="J231" s="128" t="str">
        <x:v>EasyTNavigation (Default) · StampedExperience (Default)</x:v>
      </x:c>
      <x:c r="K231" s="128" t="str">
        <x:v>Iniciar sesión</x:v>
      </x:c>
      <x:c r="L231" s="128" t="str">
        <x:v>Should this shared wording stay identical across every listed surface?</x:v>
      </x:c>
      <x:c r="M231" s="128" t="str">
        <x:v>Confirm a shared wording only if the same user intent applies. Keep surface-specific detail where the action or consequence differs.</x:v>
      </x:c>
      <x:c r="N231" s="137" t="str">
        <x:v>Not set — use original Final Copy Override cells</x:v>
      </x:c>
    </x:row>
    <x:row r="232" ht="42" customHeight="1">
      <x:c r="A232" s="128" t="str">
        <x:v>EX-179</x:v>
      </x:c>
      <x:c r="B232" s="134" t="str">
        <x:v>Exact phrase</x:v>
      </x:c>
      <x:c r="C232" s="143" t="str">
        <x:v>5 · Navigation</x:v>
      </x:c>
      <x:c r="D232" s="128" t="n">
        <x:v>223</x:v>
      </x:c>
      <x:c r="E232" s="128" t="str">
        <x:v>standard action / label</x:v>
      </x:c>
      <x:c r="F232" s="128" t="str">
        <x:v>Cómo funciona</x:v>
      </x:c>
      <x:c r="G232" s="128" t="n">
        <x:v>2</x:v>
      </x:c>
      <x:c r="H232" s="128" t="str">
        <x:v>MRV-C4CD7EA67E, MRV-3C6E74B7B0</x:v>
      </x:c>
      <x:c r="I232" s="128" t="str">
        <x:v>Primary navigation</x:v>
      </x:c>
      <x:c r="J232" s="128" t="str">
        <x:v>EasyTNavigation (Default)</x:v>
      </x:c>
      <x:c r="K232" s="128" t="str">
        <x:v>Cómo funciona</x:v>
      </x:c>
      <x:c r="L232" s="128" t="str">
        <x:v>Should this shared wording stay identical across every listed surface?</x:v>
      </x:c>
      <x:c r="M232" s="128" t="str">
        <x:v>Confirm a shared wording only if the same user intent applies. Keep surface-specific detail where the action or consequence differs.</x:v>
      </x:c>
      <x:c r="N232" s="137" t="str">
        <x:v>Not set — use original Final Copy Override cells</x:v>
      </x:c>
    </x:row>
    <x:row r="233" ht="42" customHeight="1">
      <x:c r="A233" s="128" t="str">
        <x:v>EX-180</x:v>
      </x:c>
      <x:c r="B233" s="134" t="str">
        <x:v>Exact phrase</x:v>
      </x:c>
      <x:c r="C233" s="143" t="str">
        <x:v>5 · Navigation</x:v>
      </x:c>
      <x:c r="D233" s="128" t="n">
        <x:v>223</x:v>
      </x:c>
      <x:c r="E233" s="128" t="str">
        <x:v>standard action / label</x:v>
      </x:c>
      <x:c r="F233" s="128" t="str">
        <x:v>Información de pasaporte</x:v>
      </x:c>
      <x:c r="G233" s="128" t="n">
        <x:v>2</x:v>
      </x:c>
      <x:c r="H233" s="128" t="str">
        <x:v>MRV-29B91F3E02, MRV-274AF0FBBE</x:v>
      </x:c>
      <x:c r="I233" s="128" t="str">
        <x:v>Primary navigation</x:v>
      </x:c>
      <x:c r="J233" s="128" t="str">
        <x:v>EasyTNavigation (Default)</x:v>
      </x:c>
      <x:c r="K233" s="128" t="str">
        <x:v>Información de pasaporte</x:v>
      </x:c>
      <x:c r="L233" s="128" t="str">
        <x:v>Should this shared wording stay identical across every listed surface?</x:v>
      </x:c>
      <x:c r="M233" s="128" t="str">
        <x:v>Confirm a shared wording only if the same user intent applies. Keep surface-specific detail where the action or consequence differs.</x:v>
      </x:c>
      <x:c r="N233" s="137" t="str">
        <x:v>Not set — use original Final Copy Override cells</x:v>
      </x:c>
    </x:row>
    <x:row r="234" ht="42" customHeight="1">
      <x:c r="A234" s="128" t="str">
        <x:v>EX-181</x:v>
      </x:c>
      <x:c r="B234" s="134" t="str">
        <x:v>Exact phrase</x:v>
      </x:c>
      <x:c r="C234" s="143" t="str">
        <x:v>5 · Navigation</x:v>
      </x:c>
      <x:c r="D234" s="128" t="n">
        <x:v>223</x:v>
      </x:c>
      <x:c r="E234" s="128" t="str">
        <x:v>standard action / label</x:v>
      </x:c>
      <x:c r="F234" s="128" t="str">
        <x:v>Routes</x:v>
      </x:c>
      <x:c r="G234" s="128" t="n">
        <x:v>2</x:v>
      </x:c>
      <x:c r="H234" s="128" t="str">
        <x:v>MRV-0803E42A2E, MRV-EAE286E0B1</x:v>
      </x:c>
      <x:c r="I234" s="128" t="str">
        <x:v>Primary navigation</x:v>
      </x:c>
      <x:c r="J234" s="128" t="str">
        <x:v>EasyTNavigation (Default)</x:v>
      </x:c>
      <x:c r="K234" s="128" t="str">
        <x:v>Routes</x:v>
      </x:c>
      <x:c r="L234" s="128" t="str">
        <x:v>Should this shared wording stay identical across every listed surface?</x:v>
      </x:c>
      <x:c r="M234" s="128" t="str">
        <x:v>Use “route” for sequence and connections; use “plan” for the wider trip, including dates, stays and tasks.</x:v>
      </x:c>
      <x:c r="N234" s="137" t="str">
        <x:v>Not set — use original Final Copy Override cells</x:v>
      </x:c>
    </x:row>
    <x:row r="235" ht="42" customHeight="1">
      <x:c r="A235" s="128" t="str">
        <x:v>EX-182</x:v>
      </x:c>
      <x:c r="B235" s="134" t="str">
        <x:v>Exact phrase</x:v>
      </x:c>
      <x:c r="C235" s="143" t="str">
        <x:v>5 · Navigation</x:v>
      </x:c>
      <x:c r="D235" s="128" t="n">
        <x:v>223</x:v>
      </x:c>
      <x:c r="E235" s="128" t="str">
        <x:v>standard action / label</x:v>
      </x:c>
      <x:c r="F235" s="128" t="str">
        <x:v>Rutas</x:v>
      </x:c>
      <x:c r="G235" s="128" t="n">
        <x:v>2</x:v>
      </x:c>
      <x:c r="H235" s="128" t="str">
        <x:v>MRV-1B2E491747, MRV-92F9B7EC9D</x:v>
      </x:c>
      <x:c r="I235" s="128" t="str">
        <x:v>Primary navigation</x:v>
      </x:c>
      <x:c r="J235" s="128" t="str">
        <x:v>EasyTNavigation (Default)</x:v>
      </x:c>
      <x:c r="K235" s="128" t="str">
        <x:v>Rutas</x:v>
      </x:c>
      <x:c r="L235" s="128" t="str">
        <x:v>Should this shared wording stay identical across every listed surface?</x:v>
      </x:c>
      <x:c r="M235" s="128" t="str">
        <x:v>Confirm a shared wording only if the same user intent applies. Keep surface-specific detail where the action or consequence differs.</x:v>
      </x:c>
      <x:c r="N235" s="137" t="str">
        <x:v>Not set — use original Final Copy Override cells</x:v>
      </x:c>
    </x:row>
    <x:row r="236" ht="42" customHeight="1">
      <x:c r="A236" s="128" t="str">
        <x:v>EX-183</x:v>
      </x:c>
      <x:c r="B236" s="134" t="str">
        <x:v>Exact phrase</x:v>
      </x:c>
      <x:c r="C236" s="143" t="str">
        <x:v>6 · Long-tail</x:v>
      </x:c>
      <x:c r="D236" s="128" t="n">
        <x:v>148</x:v>
      </x:c>
      <x:c r="E236" s="128" t="str">
        <x:v>standard action / label</x:v>
      </x:c>
      <x:c r="F236" s="128" t="str">
        <x:v>Dismiss</x:v>
      </x:c>
      <x:c r="G236" s="128" t="n">
        <x:v>2</x:v>
      </x:c>
      <x:c r="H236" s="128" t="str">
        <x:v>MRV-5DC34DED5B, MRV-15A00DAA49</x:v>
      </x:c>
      <x:c r="I236" s="128" t="str">
        <x:v>Stamps</x:v>
      </x:c>
      <x:c r="J236" s="128" t="str">
        <x:v>StampedExperience (Default)</x:v>
      </x:c>
      <x:c r="K236" s="128" t="str">
        <x:v>Dismiss</x:v>
      </x:c>
      <x:c r="L236" s="128" t="str">
        <x:v>Should this shared wording stay identical across every listed surface?</x:v>
      </x:c>
      <x:c r="M236" s="128" t="str">
        <x:v>Confirm a shared wording only if the same user intent applies. Keep surface-specific detail where the action or consequence differs.</x:v>
      </x:c>
      <x:c r="N236" s="137" t="str">
        <x:v>Not set — use original Final Copy Override cells</x:v>
      </x:c>
    </x:row>
    <x:row r="237" ht="42" customHeight="1">
      <x:c r="A237" s="128" t="str">
        <x:v>EX-184</x:v>
      </x:c>
      <x:c r="B237" s="134" t="str">
        <x:v>Exact phrase</x:v>
      </x:c>
      <x:c r="C237" s="143" t="str">
        <x:v>6 · Long-tail / accessibility</x:v>
      </x:c>
      <x:c r="D237" s="128" t="n">
        <x:v>148</x:v>
      </x:c>
      <x:c r="E237" s="128" t="str">
        <x:v>standard action / label</x:v>
      </x:c>
      <x:c r="F237" s="128" t="str">
        <x:v>Users &amp; support</x:v>
      </x:c>
      <x:c r="G237" s="128" t="n">
        <x:v>2</x:v>
      </x:c>
      <x:c r="H237" s="128" t="str">
        <x:v>MRV-ECF9D91C3A, MRV-7DE8BE3D81</x:v>
      </x:c>
      <x:c r="I237" s="128" t="str">
        <x:v>Admin operations</x:v>
      </x:c>
      <x:c r="J237" s="128" t="str">
        <x:v>areas (Default) · EasyTUsersAdminPage (Default)</x:v>
      </x:c>
      <x:c r="K237" s="128" t="str">
        <x:v>Users &amp; support | Users &amp; support.</x:v>
      </x:c>
      <x:c r="L237" s="128" t="str">
        <x:v>Should this shared wording stay identical across every listed surface?</x:v>
      </x:c>
      <x:c r="M237" s="128" t="str">
        <x:v>Confirm a shared wording only if the same user intent applies. Keep surface-specific detail where the action or consequence differs.</x:v>
      </x:c>
      <x:c r="N237" s="137" t="str">
        <x:v>Not set — use original Final Copy Override cells</x:v>
      </x:c>
    </x:row>
    <x:row r="238" ht="42" customHeight="1">
      <x:c r="A238" s="128" t="str">
        <x:v>EX-185</x:v>
      </x:c>
      <x:c r="B238" s="134" t="str">
        <x:v>Exact phrase</x:v>
      </x:c>
      <x:c r="C238" s="143" t="str">
        <x:v>6 · Long-tail</x:v>
      </x:c>
      <x:c r="D238" s="128" t="n">
        <x:v>133</x:v>
      </x:c>
      <x:c r="E238" s="128" t="str">
        <x:v>standard action / label · contextual UX</x:v>
      </x:c>
      <x:c r="F238" s="128" t="str">
        <x:v>Buscar viajes</x:v>
      </x:c>
      <x:c r="G238" s="128" t="n">
        <x:v>2</x:v>
      </x:c>
      <x:c r="H238" s="128" t="str">
        <x:v>MRV-E75FC5A2E7, MRV-F467ABF404</x:v>
      </x:c>
      <x:c r="I238" s="128" t="str">
        <x:v>Dashboard</x:v>
      </x:c>
      <x:c r="J238" s="128" t="str">
        <x:v>DashboardClient (Default) · DashboardClient (Accessibility / input support)</x:v>
      </x:c>
      <x:c r="K238" s="128" t="str">
        <x:v>Buscar viajes</x:v>
      </x:c>
      <x:c r="L238" s="128" t="str">
        <x:v>Should this shared wording stay identical across every listed surface?</x:v>
      </x:c>
      <x:c r="M238" s="128" t="str">
        <x:v>Confirm a shared wording only if the same user intent applies. Keep surface-specific detail where the action or consequence differs.</x:v>
      </x:c>
      <x:c r="N238" s="137" t="str">
        <x:v>Not set — use original Final Copy Override cells</x:v>
      </x:c>
    </x:row>
    <x:row r="239" ht="42" customHeight="1">
      <x:c r="A239" s="128" t="str">
        <x:v>EX-186</x:v>
      </x:c>
      <x:c r="B239" s="134" t="str">
        <x:v>Exact phrase</x:v>
      </x:c>
      <x:c r="C239" s="143" t="str">
        <x:v>6 · Long-tail</x:v>
      </x:c>
      <x:c r="D239" s="128" t="n">
        <x:v>133</x:v>
      </x:c>
      <x:c r="E239" s="128" t="str">
        <x:v>standard action / label · contextual UX</x:v>
      </x:c>
      <x:c r="F239" s="128" t="str">
        <x:v>Search trips</x:v>
      </x:c>
      <x:c r="G239" s="128" t="n">
        <x:v>2</x:v>
      </x:c>
      <x:c r="H239" s="128" t="str">
        <x:v>MRV-0156A3E1A7, MRV-F96BC55D41</x:v>
      </x:c>
      <x:c r="I239" s="128" t="str">
        <x:v>Dashboard</x:v>
      </x:c>
      <x:c r="J239" s="128" t="str">
        <x:v>DashboardClient (Default) · DashboardClient (Accessibility / input support)</x:v>
      </x:c>
      <x:c r="K239" s="128" t="str">
        <x:v>Search trips</x:v>
      </x:c>
      <x:c r="L239" s="128" t="str">
        <x:v>Should this shared wording stay identical across every listed surface?</x:v>
      </x:c>
      <x:c r="M239" s="128" t="str">
        <x:v>Use “trip” for the saved plan and its workspace. Keep “journey” only for editorial, brand-level language.</x:v>
      </x:c>
      <x:c r="N239" s="137" t="str">
        <x:v>Not set — use original Final Copy Override cells</x:v>
      </x:c>
    </x:row>
    <x:row r="240" ht="42" customHeight="1">
      <x:c r="A240" s="128" t="str">
        <x:v>EX-187</x:v>
      </x:c>
      <x:c r="B240" s="134" t="str">
        <x:v>Exact phrase</x:v>
      </x:c>
      <x:c r="C240" s="143" t="str">
        <x:v>6 · Long-tail</x:v>
      </x:c>
      <x:c r="D240" s="128" t="n">
        <x:v>127</x:v>
      </x:c>
      <x:c r="E240" s="128" t="str">
        <x:v>standard action / label</x:v>
      </x:c>
      <x:c r="F240" s="128" t="str">
        <x:v>{item.id} {item.label}</x:v>
      </x:c>
      <x:c r="G240" s="128" t="n">
        <x:v>3</x:v>
      </x:c>
      <x:c r="H240" s="128" t="str">
        <x:v>MRV-57FE8E83CB, MRV-E7362D17DD, MRV-E53CA1FD8A</x:v>
      </x:c>
      <x:c r="I240" s="128" t="str">
        <x:v>Prep</x:v>
      </x:c>
      <x:c r="J240" s="128" t="str">
        <x:v>matchingChecklist (Default) · text (Default)</x:v>
      </x:c>
      <x:c r="K240" s="128" t="str">
        <x:v>{item.id} {item.label}</x:v>
      </x:c>
      <x:c r="L240" s="128" t="str">
        <x:v>Should this shared wording stay identical across every listed surface?</x:v>
      </x:c>
      <x:c r="M240" s="128" t="str">
        <x:v>Confirm a shared wording only if the same user intent applies. Keep surface-specific detail where the action or consequence differs.</x:v>
      </x:c>
      <x:c r="N240" s="137" t="str">
        <x:v>Not set — use original Final Copy Override cells</x:v>
      </x:c>
    </x:row>
    <x:row r="241" ht="42" customHeight="1">
      <x:c r="A241" s="128" t="str">
        <x:v>EX-188</x:v>
      </x:c>
      <x:c r="B241" s="134" t="str">
        <x:v>Exact phrase</x:v>
      </x:c>
      <x:c r="C241" s="143" t="str">
        <x:v>6 · Long-tail / accessibility</x:v>
      </x:c>
      <x:c r="D241" s="128" t="n">
        <x:v>126</x:v>
      </x:c>
      <x:c r="E241" s="128" t="str">
        <x:v>standard action / label</x:v>
      </x:c>
      <x:c r="F241" s="128" t="str">
        <x:v>Admin audit.</x:v>
      </x:c>
      <x:c r="G241" s="128" t="n">
        <x:v>2</x:v>
      </x:c>
      <x:c r="H241" s="128" t="str">
        <x:v>MRV-1215AFC9AF, MRV-FB00B073BA</x:v>
      </x:c>
      <x:c r="I241" s="128" t="str">
        <x:v>Admin operations</x:v>
      </x:c>
      <x:c r="J241" s="128" t="str">
        <x:v>EasyTAuditPage (Default) · areas (Default)</x:v>
      </x:c>
      <x:c r="K241" s="128" t="str">
        <x:v>Admin audit. | Admin audit</x:v>
      </x:c>
      <x:c r="L241" s="128" t="str">
        <x:v>Should this shared wording stay identical across every listed surface?</x:v>
      </x:c>
      <x:c r="M241" s="128" t="str">
        <x:v>Confirm a shared wording only if the same user intent applies. Keep surface-specific detail where the action or consequence differs.</x:v>
      </x:c>
      <x:c r="N241" s="137" t="str">
        <x:v>Not set — use original Final Copy Override cells</x:v>
      </x:c>
    </x:row>
    <x:row r="242" ht="42" customHeight="1">
      <x:c r="A242" s="128" t="str">
        <x:v>EX-189</x:v>
      </x:c>
      <x:c r="B242" s="134" t="str">
        <x:v>Exact phrase</x:v>
      </x:c>
      <x:c r="C242" s="143" t="str">
        <x:v>6 · Long-tail / accessibility</x:v>
      </x:c>
      <x:c r="D242" s="128" t="n">
        <x:v>126</x:v>
      </x:c>
      <x:c r="E242" s="128" t="str">
        <x:v>standard action / label</x:v>
      </x:c>
      <x:c r="F242" s="128" t="str">
        <x:v>Email delivery.</x:v>
      </x:c>
      <x:c r="G242" s="128" t="n">
        <x:v>2</x:v>
      </x:c>
      <x:c r="H242" s="128" t="str">
        <x:v>MRV-750A2B2AF2, MRV-72E217CF10</x:v>
      </x:c>
      <x:c r="I242" s="128" t="str">
        <x:v>Admin operations</x:v>
      </x:c>
      <x:c r="J242" s="128" t="str">
        <x:v>EasyTEmailAdminPage (Default) · areas (Default)</x:v>
      </x:c>
      <x:c r="K242" s="128" t="str">
        <x:v>Email delivery. | Email delivery</x:v>
      </x:c>
      <x:c r="L242" s="128" t="str">
        <x:v>Should this shared wording stay identical across every listed surface?</x:v>
      </x:c>
      <x:c r="M242" s="128" t="str">
        <x:v>Confirm a shared wording only if the same user intent applies. Keep surface-specific detail where the action or consequence differs.</x:v>
      </x:c>
      <x:c r="N242" s="137" t="str">
        <x:v>Not set — use original Final Copy Override cells</x:v>
      </x:c>
    </x:row>
    <x:row r="243" ht="42" customHeight="1">
      <x:c r="A243" s="128" t="str">
        <x:v>EX-190</x:v>
      </x:c>
      <x:c r="B243" s="134" t="str">
        <x:v>Exact phrase</x:v>
      </x:c>
      <x:c r="C243" s="143" t="str">
        <x:v>6 · Long-tail / accessibility</x:v>
      </x:c>
      <x:c r="D243" s="128" t="n">
        <x:v>126</x:v>
      </x:c>
      <x:c r="E243" s="128" t="str">
        <x:v>standard action / label</x:v>
      </x:c>
      <x:c r="F243" s="128" t="str">
        <x:v>Feedback inbox.</x:v>
      </x:c>
      <x:c r="G243" s="128" t="n">
        <x:v>2</x:v>
      </x:c>
      <x:c r="H243" s="128" t="str">
        <x:v>MRV-67ABE73269, MRV-88991FD624</x:v>
      </x:c>
      <x:c r="I243" s="128" t="str">
        <x:v>Admin operations</x:v>
      </x:c>
      <x:c r="J243" s="128" t="str">
        <x:v>EasyTAdminFeedbackPage (Default) · areas (Default)</x:v>
      </x:c>
      <x:c r="K243" s="128" t="str">
        <x:v>Feedback inbox. | Feedback inbox</x:v>
      </x:c>
      <x:c r="L243" s="128" t="str">
        <x:v>Should this shared wording stay identical across every listed surface?</x:v>
      </x:c>
      <x:c r="M243" s="128" t="str">
        <x:v>Confirm a shared wording only if the same user intent applies. Keep surface-specific detail where the action or consequence differs.</x:v>
      </x:c>
      <x:c r="N243" s="137" t="str">
        <x:v>Not set — use original Final Copy Override cells</x:v>
      </x:c>
    </x:row>
    <x:row r="244" ht="42" customHeight="1">
      <x:c r="A244" s="128" t="str">
        <x:v>EX-191</x:v>
      </x:c>
      <x:c r="B244" s="134" t="str">
        <x:v>Exact phrase</x:v>
      </x:c>
      <x:c r="C244" s="143" t="str">
        <x:v>6 · Long-tail / accessibility</x:v>
      </x:c>
      <x:c r="D244" s="128" t="n">
        <x:v>126</x:v>
      </x:c>
      <x:c r="E244" s="128" t="str">
        <x:v>contextual UX</x:v>
      </x:c>
      <x:c r="F244" s="128" t="str">
        <x:v>Interactive trip map</x:v>
      </x:c>
      <x:c r="G244" s="128" t="n">
        <x:v>2</x:v>
      </x:c>
      <x:c r="H244" s="128" t="str">
        <x:v>MRV-935EF4C7DA, MRV-E50F563426</x:v>
      </x:c>
      <x:c r="I244" s="128" t="str">
        <x:v>Plan next · Map</x:v>
      </x:c>
      <x:c r="J244" s="128" t="str">
        <x:v>MapPlanNext (Accessibility / input support) · JourneyPlannerMap (Accessibility / input support)</x:v>
      </x:c>
      <x:c r="K244" s="128" t="str">
        <x:v>Interactive trip map</x:v>
      </x:c>
      <x:c r="L244" s="128" t="str">
        <x:v>Should this shared wording stay identical across every listed surface?</x:v>
      </x:c>
      <x:c r="M244" s="128" t="str">
        <x:v>Use “trip” for the saved plan and its workspace. Keep “journey” only for editorial, brand-level language.</x:v>
      </x:c>
      <x:c r="N244" s="137" t="str">
        <x:v>Not set — use original Final Copy Override cells</x:v>
      </x:c>
    </x:row>
    <x:row r="245" ht="42" customHeight="1">
      <x:c r="A245" s="128" t="str">
        <x:v>EX-192</x:v>
      </x:c>
      <x:c r="B245" s="134" t="str">
        <x:v>Exact phrase</x:v>
      </x:c>
      <x:c r="C245" s="143" t="str">
        <x:v>6 · Long-tail / accessibility</x:v>
      </x:c>
      <x:c r="D245" s="128" t="n">
        <x:v>126</x:v>
      </x:c>
      <x:c r="E245" s="128" t="str">
        <x:v>standard action / label</x:v>
      </x:c>
      <x:c r="F245" s="128" t="str">
        <x:v>Route catalogue</x:v>
      </x:c>
      <x:c r="G245" s="128" t="n">
        <x:v>2</x:v>
      </x:c>
      <x:c r="H245" s="128" t="str">
        <x:v>MRV-B26FA4251D, MRV-CE2B2C9E35</x:v>
      </x:c>
      <x:c r="I245" s="128" t="str">
        <x:v>Admin operations</x:v>
      </x:c>
      <x:c r="J245" s="128" t="str">
        <x:v>areas (Default) · RouteCataloguePage (Default)</x:v>
      </x:c>
      <x:c r="K245" s="128" t="str">
        <x:v>Route catalogue | Route catalogue.</x:v>
      </x:c>
      <x:c r="L245" s="128" t="str">
        <x:v>Should this shared wording stay identical across every listed surface?</x:v>
      </x:c>
      <x:c r="M245" s="128" t="str">
        <x:v>Use “route” for sequence and connections; use “plan” for the wider trip, including dates, stays and tasks.</x:v>
      </x:c>
      <x:c r="N245" s="137" t="str">
        <x:v>Not set — use original Final Copy Override cells</x:v>
      </x:c>
    </x:row>
    <x:row r="246" ht="42" customHeight="1">
      <x:c r="A246" s="128" t="str">
        <x:v>EX-193</x:v>
      </x:c>
      <x:c r="B246" s="134" t="str">
        <x:v>Exact phrase</x:v>
      </x:c>
      <x:c r="C246" s="143" t="str">
        <x:v>6 · Long-tail</x:v>
      </x:c>
      <x:c r="D246" s="128" t="n">
        <x:v>126</x:v>
      </x:c>
      <x:c r="E246" s="128" t="str">
        <x:v>standard action / label</x:v>
      </x:c>
      <x:c r="F246" s="128" t="str">
        <x:v>Trip mode</x:v>
      </x:c>
      <x:c r="G246" s="128" t="n">
        <x:v>5</x:v>
      </x:c>
      <x:c r="H246" s="128" t="str">
        <x:v>MRV-513BB8D0EA, MRV-87A8514615, MRV-2E7A3DC2E7, MRV-C1B044DD60, MRV-41D11F51F3</x:v>
      </x:c>
      <x:c r="I246" s="128" t="str">
        <x:v>Dashboard · Trip mode</x:v>
      </x:c>
      <x:c r="J246" s="128" t="str">
        <x:v>TripCard (Default) · TripModeClient (Default)</x:v>
      </x:c>
      <x:c r="K246" s="128" t="str">
        <x:v>Trip mode | TRIP MODE</x:v>
      </x:c>
      <x:c r="L246" s="128" t="str">
        <x:v>Should this shared wording stay identical across every listed surface?</x:v>
      </x:c>
      <x:c r="M246" s="128" t="str">
        <x:v>Use “trip” for the saved plan and its workspace. Keep “journey” only for editorial, brand-level language.</x:v>
      </x:c>
      <x:c r="N246" s="137" t="str">
        <x:v>Not set — use original Final Copy Override cells</x:v>
      </x:c>
    </x:row>
    <x:row r="247" ht="42" customHeight="1">
      <x:c r="A247" s="128" t="str">
        <x:v>EX-194</x:v>
      </x:c>
      <x:c r="B247" s="134" t="str">
        <x:v>Exact phrase</x:v>
      </x:c>
      <x:c r="C247" s="143" t="str">
        <x:v>6 · Long-tail</x:v>
      </x:c>
      <x:c r="D247" s="128" t="n">
        <x:v>124</x:v>
      </x:c>
      <x:c r="E247" s="128" t="str">
        <x:v>standard action / label</x:v>
      </x:c>
      <x:c r="F247" s="128" t="str">
        <x:v>IntersectionObserver</x:v>
      </x:c>
      <x:c r="G247" s="128" t="n">
        <x:v>3</x:v>
      </x:c>
      <x:c r="H247" s="128" t="str">
        <x:v>MRV-B8CE7CF723, MRV-82C2EACE24, MRV-265F7EBC02</x:v>
      </x:c>
      <x:c r="I247" s="128" t="str">
        <x:v>Route detail</x:v>
      </x:c>
      <x:c r="J247" s="128" t="str">
        <x:v>RouteAttractionImage (Default) · observer (Default) · RouteStopImage (Default)</x:v>
      </x:c>
      <x:c r="K247" s="128" t="str">
        <x:v>IntersectionObserver</x:v>
      </x:c>
      <x:c r="L247" s="128" t="str">
        <x:v>Should this shared wording stay identical across every listed surface?</x:v>
      </x:c>
      <x:c r="M247" s="128" t="str">
        <x:v>Confirm a shared wording only if the same user intent applies. Keep surface-specific detail where the action or consequence differs.</x:v>
      </x:c>
      <x:c r="N247" s="137" t="str">
        <x:v>Not set — use original Final Copy Override cells</x:v>
      </x:c>
    </x:row>
    <x:row r="248" ht="42" customHeight="1">
      <x:c r="A248" s="128" t="str">
        <x:v>EX-195</x:v>
      </x:c>
      <x:c r="B248" s="134" t="str">
        <x:v>Exact phrase</x:v>
      </x:c>
      <x:c r="C248" s="143" t="str">
        <x:v>6 · Long-tail</x:v>
      </x:c>
      <x:c r="D248" s="128" t="n">
        <x:v>123</x:v>
      </x:c>
      <x:c r="E248" s="128" t="str">
        <x:v>standard action / label</x:v>
      </x:c>
      <x:c r="F248" s="128" t="str">
        <x:v>{stop} {country} travel</x:v>
      </x:c>
      <x:c r="G248" s="128" t="n">
        <x:v>2</x:v>
      </x:c>
      <x:c r="H248" s="128" t="str">
        <x:v>MRV-73DE84559C, MRV-5291FA84FB</x:v>
      </x:c>
      <x:c r="I248" s="128" t="str">
        <x:v>Route detail</x:v>
      </x:c>
      <x:c r="J248" s="128" t="str">
        <x:v>RouteAttractionImage (Default) · RouteStopImage (Default)</x:v>
      </x:c>
      <x:c r="K248" s="128" t="str">
        <x:v>{stop} {country} travel</x:v>
      </x:c>
      <x:c r="L248" s="128" t="str">
        <x:v>Should this shared wording stay identical across every listed surface?</x:v>
      </x:c>
      <x:c r="M248" s="128" t="str">
        <x:v>Use “stop” for a selected itinerary item; “destination” for a city or region choice; “place” for a generic search result.</x:v>
      </x:c>
      <x:c r="N248" s="137" t="str">
        <x:v>Not set — use original Final Copy Override cells</x:v>
      </x:c>
    </x:row>
    <x:row r="249" ht="42" customHeight="1">
      <x:c r="A249" s="128" t="str">
        <x:v>EX-196</x:v>
      </x:c>
      <x:c r="B249" s="134" t="str">
        <x:v>Exact phrase</x:v>
      </x:c>
      <x:c r="C249" s="143" t="str">
        <x:v>6 · Long-tail</x:v>
      </x:c>
      <x:c r="D249" s="128" t="n">
        <x:v>123</x:v>
      </x:c>
      <x:c r="E249" s="128" t="str">
        <x:v>standard action / label</x:v>
      </x:c>
      <x:c r="F249" s="128" t="str">
        <x:v>Coastal calm</x:v>
      </x:c>
      <x:c r="G249" s="128" t="n">
        <x:v>2</x:v>
      </x:c>
      <x:c r="H249" s="128" t="str">
        <x:v>MRV-AE4DDEF0A2, MRV-217AE2C202</x:v>
      </x:c>
      <x:c r="I249" s="128" t="str">
        <x:v>Discover / Routes index</x:v>
      </x:c>
      <x:c r="J249" s="128" t="str">
        <x:v>travelStyles (Default) · collections (Default)</x:v>
      </x:c>
      <x:c r="K249" s="128" t="str">
        <x:v>Coastal calm</x:v>
      </x:c>
      <x:c r="L249" s="128" t="str">
        <x:v>Should this shared wording stay identical across every listed surface?</x:v>
      </x:c>
      <x:c r="M249" s="128" t="str">
        <x:v>Confirm a shared wording only if the same user intent applies. Keep surface-specific detail where the action or consequence differs.</x:v>
      </x:c>
      <x:c r="N249" s="137" t="str">
        <x:v>Not set — use original Final Copy Override cells</x:v>
      </x:c>
    </x:row>
    <x:row r="250" ht="42" customHeight="1">
      <x:c r="A250" s="128" t="str">
        <x:v>EX-197</x:v>
      </x:c>
      <x:c r="B250" s="134" t="str">
        <x:v>Exact phrase</x:v>
      </x:c>
      <x:c r="C250" s="143" t="str">
        <x:v>6 · Long-tail</x:v>
      </x:c>
      <x:c r="D250" s="128" t="n">
        <x:v>123</x:v>
      </x:c>
      <x:c r="E250" s="128" t="str">
        <x:v>standard action / label</x:v>
      </x:c>
      <x:c r="F250" s="128" t="str">
        <x:v>days ·</x:v>
      </x:c>
      <x:c r="G250" s="128" t="n">
        <x:v>2</x:v>
      </x:c>
      <x:c r="H250" s="128" t="str">
        <x:v>MRV-7A82FE2817, MRV-E108D3DFC1</x:v>
      </x:c>
      <x:c r="I250" s="128" t="str">
        <x:v>Discover / Routes index · Route detail</x:v>
      </x:c>
      <x:c r="J250" s="128" t="str">
        <x:v>DiscoveryPage (Default) · RouteDetailView (Default)</x:v>
      </x:c>
      <x:c r="K250" s="128" t="str">
        <x:v>days ·</x:v>
      </x:c>
      <x:c r="L250" s="128" t="str">
        <x:v>Should this shared wording stay identical across every listed surface?</x:v>
      </x:c>
      <x:c r="M250" s="128" t="str">
        <x:v>Confirm a shared wording only if the same user intent applies. Keep surface-specific detail where the action or consequence differs.</x:v>
      </x:c>
      <x:c r="N250" s="137" t="str">
        <x:v>Not set — use original Final Copy Override cells</x:v>
      </x:c>
    </x:row>
    <x:row r="251" ht="42" customHeight="1">
      <x:c r="A251" s="128" t="str">
        <x:v>EX-198</x:v>
      </x:c>
      <x:c r="B251" s="134" t="str">
        <x:v>Exact phrase</x:v>
      </x:c>
      <x:c r="C251" s="143" t="str">
        <x:v>6 · Long-tail</x:v>
      </x:c>
      <x:c r="D251" s="128" t="n">
        <x:v>123</x:v>
      </x:c>
      <x:c r="E251" s="128" t="str">
        <x:v>standard action / label</x:v>
      </x:c>
      <x:c r="F251" s="128" t="str">
        <x:v>en-GB</x:v>
      </x:c>
      <x:c r="G251" s="128" t="n">
        <x:v>2</x:v>
      </x:c>
      <x:c r="H251" s="128" t="str">
        <x:v>MRV-EF464DBD9A, MRV-94F356F858</x:v>
      </x:c>
      <x:c r="I251" s="128" t="str">
        <x:v>Dashboard · Prep</x:v>
      </x:c>
      <x:c r="J251" s="128" t="str">
        <x:v>locale (Default) · departureDate (Default)</x:v>
      </x:c>
      <x:c r="K251" s="128" t="str">
        <x:v>en-GB</x:v>
      </x:c>
      <x:c r="L251" s="128" t="str">
        <x:v>Should this shared wording stay identical across every listed surface?</x:v>
      </x:c>
      <x:c r="M251" s="128" t="str">
        <x:v>Confirm a shared wording only if the same user intent applies. Keep surface-specific detail where the action or consequence differs.</x:v>
      </x:c>
      <x:c r="N251" s="137" t="str">
        <x:v>Not set — use original Final Copy Override cells</x:v>
      </x:c>
    </x:row>
    <x:row r="252" ht="42" customHeight="1">
      <x:c r="A252" s="128" t="str">
        <x:v>EX-199</x:v>
      </x:c>
      <x:c r="B252" s="134" t="str">
        <x:v>Exact phrase</x:v>
      </x:c>
      <x:c r="C252" s="143" t="str">
        <x:v>6 · Long-tail</x:v>
      </x:c>
      <x:c r="D252" s="128" t="n">
        <x:v>123</x:v>
      </x:c>
      <x:c r="E252" s="128" t="str">
        <x:v>standard action / label</x:v>
      </x:c>
      <x:c r="F252" s="128" t="str">
        <x:v>Pacing</x:v>
      </x:c>
      <x:c r="G252" s="128" t="n">
        <x:v>2</x:v>
      </x:c>
      <x:c r="H252" s="128" t="str">
        <x:v>MRV-303EBAA76D, MRV-166D8D5216</x:v>
      </x:c>
      <x:c r="I252" s="128" t="str">
        <x:v>Route detail</x:v>
      </x:c>
      <x:c r="J252" s="128" t="str">
        <x:v>RouteDetailView (Default)</x:v>
      </x:c>
      <x:c r="K252" s="128" t="str">
        <x:v>Pacing</x:v>
      </x:c>
      <x:c r="L252" s="128" t="str">
        <x:v>Should this shared wording stay identical across every listed surface?</x:v>
      </x:c>
      <x:c r="M252" s="128" t="str">
        <x:v>Confirm a shared wording only if the same user intent applies. Keep surface-specific detail where the action or consequence differs.</x:v>
      </x:c>
      <x:c r="N252" s="137" t="str">
        <x:v>Not set — use original Final Copy Override cells</x:v>
      </x:c>
    </x:row>
    <x:row r="253" ht="42" customHeight="1">
      <x:c r="A253" s="128" t="str">
        <x:v>EX-200</x:v>
      </x:c>
      <x:c r="B253" s="134" t="str">
        <x:v>Exact phrase</x:v>
      </x:c>
      <x:c r="C253" s="143" t="str">
        <x:v>6 · Long-tail</x:v>
      </x:c>
      <x:c r="D253" s="128" t="n">
        <x:v>123</x:v>
      </x:c>
      <x:c r="E253" s="128" t="str">
        <x:v>standard action / label</x:v>
      </x:c>
      <x:c r="F253" s="128" t="str">
        <x:v>Rail journeys</x:v>
      </x:c>
      <x:c r="G253" s="128" t="n">
        <x:v>2</x:v>
      </x:c>
      <x:c r="H253" s="128" t="str">
        <x:v>MRV-658A339912, MRV-A07FC2A1C6</x:v>
      </x:c>
      <x:c r="I253" s="128" t="str">
        <x:v>Discover / Routes index</x:v>
      </x:c>
      <x:c r="J253" s="128" t="str">
        <x:v>travelStyles (Default) · collections (Default)</x:v>
      </x:c>
      <x:c r="K253" s="128" t="str">
        <x:v>Rail journeys</x:v>
      </x:c>
      <x:c r="L253" s="128" t="str">
        <x:v>Should this shared wording stay identical across every listed surface?</x:v>
      </x:c>
      <x:c r="M253" s="128" t="str">
        <x:v>Use “trip” for the saved plan and its workspace. Keep “journey” only for editorial, brand-level language.</x:v>
      </x:c>
      <x:c r="N253" s="137" t="str">
        <x:v>Not set — use original Final Copy Override cells</x:v>
      </x:c>
    </x:row>
    <x:row r="254" ht="42" customHeight="1">
      <x:c r="A254" s="128" t="str">
        <x:v>EX-201</x:v>
      </x:c>
      <x:c r="B254" s="134" t="str">
        <x:v>Exact phrase</x:v>
      </x:c>
      <x:c r="C254" s="143" t="str">
        <x:v>6 · Long-tail</x:v>
      </x:c>
      <x:c r="D254" s="128" t="n">
        <x:v>123</x:v>
      </x:c>
      <x:c r="E254" s="128" t="str">
        <x:v>standard action / label</x:v>
      </x:c>
      <x:c r="F254" s="128" t="str">
        <x:v>Route character</x:v>
      </x:c>
      <x:c r="G254" s="128" t="n">
        <x:v>2</x:v>
      </x:c>
      <x:c r="H254" s="128" t="str">
        <x:v>MRV-B5F00C63B0, MRV-AC280CE1D0</x:v>
      </x:c>
      <x:c r="I254" s="128" t="str">
        <x:v>Route detail</x:v>
      </x:c>
      <x:c r="J254" s="128" t="str">
        <x:v>RouteDetailView (Default)</x:v>
      </x:c>
      <x:c r="K254" s="128" t="str">
        <x:v>Route character</x:v>
      </x:c>
      <x:c r="L254" s="128" t="str">
        <x:v>Should this shared wording stay identical across every listed surface?</x:v>
      </x:c>
      <x:c r="M254" s="128" t="str">
        <x:v>Use “route” for sequence and connections; use “plan” for the wider trip, including dates, stays and tasks.</x:v>
      </x:c>
      <x:c r="N254" s="137" t="str">
        <x:v>Not set — use original Final Copy Override cells</x:v>
      </x:c>
    </x:row>
    <x:row r="255" ht="42" customHeight="1">
      <x:c r="A255" s="128" t="str">
        <x:v>EX-202</x:v>
      </x:c>
      <x:c r="B255" s="134" t="str">
        <x:v>Exact phrase</x:v>
      </x:c>
      <x:c r="C255" s="143" t="str">
        <x:v>6 · Long-tail / accessibility</x:v>
      </x:c>
      <x:c r="D255" s="128" t="n">
        <x:v>123</x:v>
      </x:c>
      <x:c r="E255" s="128" t="str">
        <x:v>loading / in progress</x:v>
      </x:c>
      <x:c r="F255" s="128" t="str">
        <x:v>Saving…</x:v>
      </x:c>
      <x:c r="G255" s="128" t="n">
        <x:v>2</x:v>
      </x:c>
      <x:c r="H255" s="128" t="str">
        <x:v>MRV-7174858666, MRV-E54A31EA9B</x:v>
      </x:c>
      <x:c r="I255" s="128" t="str">
        <x:v>Admin operations</x:v>
      </x:c>
      <x:c r="J255" s="128" t="str">
        <x:v>FeedbackTriageList (Loading / in progress) · RouteControls (Loading / in progress)</x:v>
      </x:c>
      <x:c r="K255" s="128" t="str">
        <x:v>Saving…</x:v>
      </x:c>
      <x:c r="L255" s="128" t="str">
        <x:v>Should this shared wording stay identical across every listed surface?</x:v>
      </x:c>
      <x:c r="M255" s="128" t="str">
        <x:v>Use one short present-tense progress message. Explain preservation only when it reassures the traveller about their work.</x:v>
      </x:c>
      <x:c r="N255" s="137" t="str">
        <x:v>Not set — use original Final Copy Override cells</x:v>
      </x:c>
    </x:row>
    <x:row r="256" ht="42" customHeight="1">
      <x:c r="A256" s="128" t="str">
        <x:v>EX-203</x:v>
      </x:c>
      <x:c r="B256" s="134" t="str">
        <x:v>Exact phrase</x:v>
      </x:c>
      <x:c r="C256" s="143" t="str">
        <x:v>6 · Long-tail / accessibility</x:v>
      </x:c>
      <x:c r="D256" s="128" t="n">
        <x:v>123</x:v>
      </x:c>
      <x:c r="E256" s="128" t="str">
        <x:v>standard action / label</x:v>
      </x:c>
      <x:c r="F256" s="128" t="str">
        <x:v>Tu mundo, marcado</x:v>
      </x:c>
      <x:c r="G256" s="128" t="n">
        <x:v>2</x:v>
      </x:c>
      <x:c r="H256" s="128" t="str">
        <x:v>MRV-8109E27231, MRV-4FFF1F3142</x:v>
      </x:c>
      <x:c r="I256" s="128" t="str">
        <x:v>Dashboard · Stamps</x:v>
      </x:c>
      <x:c r="J256" s="128" t="str">
        <x:v>DashboardClient (Default) · copy (Default)</x:v>
      </x:c>
      <x:c r="K256" s="128" t="str">
        <x:v>Tu mundo, marcado | Tu mundo, marcado.</x:v>
      </x:c>
      <x:c r="L256" s="128" t="str">
        <x:v>Should this shared wording stay identical across every listed surface?</x:v>
      </x:c>
      <x:c r="M256" s="128" t="str">
        <x:v>Confirm a shared wording only if the same user intent applies. Keep surface-specific detail where the action or consequence differs.</x:v>
      </x:c>
      <x:c r="N256" s="137" t="str">
        <x:v>Not set — use original Final Copy Override cells</x:v>
      </x:c>
    </x:row>
    <x:row r="257" ht="42" customHeight="1">
      <x:c r="A257" s="128" t="str">
        <x:v>EX-204</x:v>
      </x:c>
      <x:c r="B257" s="134" t="str">
        <x:v>Exact phrase</x:v>
      </x:c>
      <x:c r="C257" s="143" t="str">
        <x:v>6 · Long-tail / accessibility</x:v>
      </x:c>
      <x:c r="D257" s="128" t="n">
        <x:v>123</x:v>
      </x:c>
      <x:c r="E257" s="128" t="str">
        <x:v>standard action / label</x:v>
      </x:c>
      <x:c r="F257" s="128" t="str">
        <x:v>Your world, marked</x:v>
      </x:c>
      <x:c r="G257" s="128" t="n">
        <x:v>2</x:v>
      </x:c>
      <x:c r="H257" s="128" t="str">
        <x:v>MRV-C77E19664A, MRV-0CD046094F</x:v>
      </x:c>
      <x:c r="I257" s="128" t="str">
        <x:v>Dashboard · Stamps</x:v>
      </x:c>
      <x:c r="J257" s="128" t="str">
        <x:v>DashboardClient (Default) · copy (Default)</x:v>
      </x:c>
      <x:c r="K257" s="128" t="str">
        <x:v>Your world, marked | Your world, marked.</x:v>
      </x:c>
      <x:c r="L257" s="128" t="str">
        <x:v>Should this shared wording stay identical across every listed surface?</x:v>
      </x:c>
      <x:c r="M257" s="128" t="str">
        <x:v>Confirm a shared wording only if the same user intent applies. Keep surface-specific detail where the action or consequence differs.</x:v>
      </x:c>
      <x:c r="N257" s="137" t="str">
        <x:v>Not set — use original Final Copy Override cells</x:v>
      </x:c>
    </x:row>
    <x:row r="258" ht="42" customHeight="1">
      <x:c r="A258" s="128" t="str">
        <x:v>EX-205</x:v>
      </x:c>
      <x:c r="B258" s="134" t="str">
        <x:v>Exact phrase</x:v>
      </x:c>
      <x:c r="C258" s="143" t="str">
        <x:v>6 · Long-tail / accessibility</x:v>
      </x:c>
      <x:c r="D258" s="128" t="n">
        <x:v>116</x:v>
      </x:c>
      <x:c r="E258" s="128" t="str">
        <x:v>standard action / label</x:v>
      </x:c>
      <x:c r="F258" s="128" t="str">
        <x:v>Find your route</x:v>
      </x:c>
      <x:c r="G258" s="128" t="n">
        <x:v>2</x:v>
      </x:c>
      <x:c r="H258" s="128" t="str">
        <x:v>MRV-1DE7E3E9ED, MRV-F177B3A8F4</x:v>
      </x:c>
      <x:c r="I258" s="128" t="str">
        <x:v>Discover / Routes index</x:v>
      </x:c>
      <x:c r="J258" s="128" t="str">
        <x:v>metadata (Default)</x:v>
      </x:c>
      <x:c r="K258" s="128" t="str">
        <x:v>Find your route</x:v>
      </x:c>
      <x:c r="L258" s="128" t="str">
        <x:v>Should this shared wording stay identical across every listed surface?</x:v>
      </x:c>
      <x:c r="M258" s="128" t="str">
        <x:v>Use “route” for sequence and connections; use “plan” for the wider trip, including dates, stays and tasks.</x:v>
      </x:c>
      <x:c r="N258" s="137" t="str">
        <x:v>Not set — use original Final Copy Override cells</x:v>
      </x:c>
    </x:row>
    <x:row r="259" ht="42" customHeight="1">
      <x:c r="A259" s="128" t="str">
        <x:v>EX-206</x:v>
      </x:c>
      <x:c r="B259" s="134" t="str">
        <x:v>Exact phrase</x:v>
      </x:c>
      <x:c r="C259" s="143" t="str">
        <x:v>6 · Long-tail / accessibility</x:v>
      </x:c>
      <x:c r="D259" s="128" t="n">
        <x:v>116</x:v>
      </x:c>
      <x:c r="E259" s="128" t="str">
        <x:v>contextual UX</x:v>
      </x:c>
      <x:c r="F259" s="128" t="str">
        <x:v>Memory from {selectedCountry.name}</x:v>
      </x:c>
      <x:c r="G259" s="128" t="n">
        <x:v>2</x:v>
      </x:c>
      <x:c r="H259" s="128" t="str">
        <x:v>MRV-C389E94199, MRV-490FC0CB79</x:v>
      </x:c>
      <x:c r="I259" s="128" t="str">
        <x:v>Stamps</x:v>
      </x:c>
      <x:c r="J259" s="128" t="str">
        <x:v>StampedExperience (Accessibility / input support)</x:v>
      </x:c>
      <x:c r="K259" s="128" t="str">
        <x:v>Memory from {selectedCountry.name}</x:v>
      </x:c>
      <x:c r="L259" s="128" t="str">
        <x:v>Should this shared wording stay identical across every listed surface?</x:v>
      </x:c>
      <x:c r="M259" s="128" t="str">
        <x:v>Confirm a shared wording only if the same user intent applies. Keep surface-specific detail where the action or consequence differs.</x:v>
      </x:c>
      <x:c r="N259" s="137" t="str">
        <x:v>Not set — use original Final Copy Override cells</x:v>
      </x:c>
    </x:row>
    <x:row r="260" ht="42" customHeight="1">
      <x:c r="A260" s="129" t="str">
        <x:v>EX-207</x:v>
      </x:c>
      <x:c r="B260" s="135" t="str">
        <x:v>Exact phrase</x:v>
      </x:c>
      <x:c r="C260" s="144" t="str">
        <x:v>6 · Long-tail / accessibility</x:v>
      </x:c>
      <x:c r="D260" s="129" t="n">
        <x:v>116</x:v>
      </x:c>
      <x:c r="E260" s="129" t="str">
        <x:v>contextual UX</x:v>
      </x:c>
      <x:c r="F260" s="129" t="str">
        <x:v>Recuerdo de {selectedCountry.name}</x:v>
      </x:c>
      <x:c r="G260" s="129" t="n">
        <x:v>2</x:v>
      </x:c>
      <x:c r="H260" s="129" t="str">
        <x:v>MRV-DFC1286242, MRV-A3984EE807</x:v>
      </x:c>
      <x:c r="I260" s="129" t="str">
        <x:v>Stamps</x:v>
      </x:c>
      <x:c r="J260" s="129" t="str">
        <x:v>StampedExperience (Accessibility / input support)</x:v>
      </x:c>
      <x:c r="K260" s="129" t="str">
        <x:v>Recuerdo de {selectedCountry.name}</x:v>
      </x:c>
      <x:c r="L260" s="129" t="str">
        <x:v>Should this shared wording stay identical across every listed surface?</x:v>
      </x:c>
      <x:c r="M260" s="129" t="str">
        <x:v>Confirm a shared wording only if the same user intent applies. Keep surface-specific detail where the action or consequence differs.</x:v>
      </x:c>
      <x:c r="N260" s="138" t="str">
        <x:v>Not set — use original Final Copy Override cells</x:v>
      </x:c>
    </x:row>
  </x:sheetData>
  <x:mergeCells>
    <x:mergeCell ref="A1:N1"/>
    <x:mergeCell ref="A2:N2"/>
    <x:mergeCell ref="A4:N4"/>
  </x:mergeCells>
  <x:pageMargins left="0.7" right="0.7" top="0.75" bottom="0.75" header="0.3" footer="0.3"/>
  <x:tableParts count="1">
    <x:tablePart xmlns:r="http://schemas.openxmlformats.org/officeDocument/2006/relationships" r:id="Rd362354c55144f3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26" hidden="0" customWidth="1"/>
    <x:col min="3" max="3" width="13" hidden="0" customWidth="1"/>
    <x:col min="4" max="4" width="35" hidden="0" customWidth="1"/>
    <x:col min="5" max="5" width="48" hidden="0" customWidth="1"/>
    <x:col min="6" max="6" width="55" hidden="0" customWidth="1"/>
    <x:col min="7" max="7" width="48" hidden="0" customWidth="1"/>
    <x:col min="8" max="8" width="34" hidden="0" customWidth="1"/>
  </x:cols>
  <x:sheetData>
    <x:row r="1" ht="30" customHeight="1">
      <x:c r="A1" s="85" t="str">
        <x:v>Terminology Review</x:v>
      </x:c>
    </x:row>
    <x:row r="2" ht="34" customHeight="1">
      <x:c r="A2" s="89" t="str">
        <x:v>Recommendations identify decisions to make; they do not change Current Copy, Suggested Replacement, Final Copy Override or Build Copy in the inventory.</x:v>
      </x:c>
    </x:row>
    <x:row r="4" ht="28" customHeight="1">
      <x:c r="A4" s="106" t="str">
        <x:v>Usage counts are directional signals from Current Copy, not approval criteria. Review each phrase in its surface context before placing a final override.</x:v>
      </x:c>
    </x:row>
    <x:row r="6" ht="34" customHeight="1">
      <x:c r="A6" s="118" t="str">
        <x:v>Ref</x:v>
      </x:c>
      <x:c r="B6" s="119" t="str">
        <x:v>Conflict</x:v>
      </x:c>
      <x:c r="C6" s="119" t="str">
        <x:v>Affected rows</x:v>
      </x:c>
      <x:c r="D6" s="119" t="str">
        <x:v>Surfaces</x:v>
      </x:c>
      <x:c r="E6" s="119" t="str">
        <x:v>Copy ID examples</x:v>
      </x:c>
      <x:c r="F6" s="119" t="str">
        <x:v>Recommendation</x:v>
      </x:c>
      <x:c r="G6" s="119" t="str">
        <x:v>Boundary</x:v>
      </x:c>
      <x:c r="H6" s="120" t="str">
        <x:v>Status</x:v>
      </x:c>
    </x:row>
    <x:row r="7" ht="52" customHeight="1">
      <x:c r="A7" s="127" t="str">
        <x:v>TERM-01</x:v>
      </x:c>
      <x:c r="B7" s="127" t="str">
        <x:v>Trip / journey</x:v>
      </x:c>
      <x:c r="C7" s="127" t="n">
        <x:v>202</x:v>
      </x:c>
      <x:c r="D7" s="127" t="str">
        <x:v>Overview · Admin operations · Dashboard · Discover / Routes index · Shared recovery / system · Gift claim +10 more</x:v>
      </x:c>
      <x:c r="E7" s="127" t="str">
        <x:v>MRV-15DDF9323E, MRV-6EF96B829F, MRV-600E643D74, MRV-1369DF7788, MRV-C3D47CB44A, MRV-C6F068C1D2, MRV-E3A31FDAC7, MRV-85EEE656D3, MRV-03BF57C174, MRV-4C09E87F73, MRV-E209B87C44, MRV-9587A66C7E, MRV-8D798F4319, MRV-1A2A227917, MRV-B41A3FA713, MRV-BE8E9DC85C, MRV-ECBC8E1069, MRV-627996A6A9 +184 more</x:v>
      </x:c>
      <x:c r="F7" s="145" t="str">
        <x:v>Use “trip” for the traveller’s saved plan, dashboard item and workspace. Reserve “journey” for editorial or brand-level language.</x:v>
      </x:c>
      <x:c r="G7" s="127" t="str">
        <x:v>Avoid using both nouns for the same saved object in one flow.</x:v>
      </x:c>
      <x:c r="H7" s="136" t="str">
        <x:v>Review recommendation only — no original-row decision set</x:v>
      </x:c>
    </x:row>
    <x:row r="8" ht="52" customHeight="1">
      <x:c r="A8" s="128" t="str">
        <x:v>TERM-02</x:v>
      </x:c>
      <x:c r="B8" s="128" t="str">
        <x:v>Stop / destination / place</x:v>
      </x:c>
      <x:c r="C8" s="128" t="n">
        <x:v>125</x:v>
      </x:c>
      <x:c r="D8" s="128" t="str">
        <x:v>Dashboard · Discover / Routes index · Homepage · Sign in / recovery · New trip builder · Passport +8 more</x:v>
      </x:c>
      <x:c r="E8" s="128" t="str">
        <x:v>MRV-033B45DEAE, MRV-47EEC0DAF3, MRV-884264CE09, MRV-9BC441D505, MRV-EFEE19F350, MRV-9B540F0FC8, MRV-79D2DBF9B7, MRV-9A78439280, MRV-BDFDA79333, MRV-443AE6984C, MRV-7DD73B36EB, MRV-F2C3668EEC, MRV-3D64239A47, MRV-A9ECA3E700, MRV-A11A073CC2, MRV-8F7519CD0D, MRV-8CB09542A5, MRV-483542F94E +107 more</x:v>
      </x:c>
      <x:c r="F8" s="146" t="str">
        <x:v>Use “stop” for a selected route item; “destination” for a city, country or region being chosen; “place” for a generic result or search term.</x:v>
      </x:c>
      <x:c r="G8" s="128" t="str">
        <x:v>Do not call a selected itinerary stop a “place” when route-specific editing is meant.</x:v>
      </x:c>
      <x:c r="H8" s="137" t="str">
        <x:v>Review recommendation only — no original-row decision set</x:v>
      </x:c>
    </x:row>
    <x:row r="9" ht="52" customHeight="1">
      <x:c r="A9" s="128" t="str">
        <x:v>TERM-03</x:v>
      </x:c>
      <x:c r="B9" s="128" t="str">
        <x:v>Route / plan</x:v>
      </x:c>
      <x:c r="C9" s="128" t="n">
        <x:v>125</x:v>
      </x:c>
      <x:c r="D9" s="128" t="str">
        <x:v>Overview · Admin operations · Dashboard · Discover / Routes index · Shared recovery / system · Homepage +8 more</x:v>
      </x:c>
      <x:c r="E9" s="128" t="str">
        <x:v>MRV-068EE3BC5A, MRV-B26FA4251D, MRV-76BC85273D, MRV-CE2B2C9E35, MRV-A7873B07A0, MRV-8EF8B9F296, MRV-C4B7ED4AF7, MRV-033B45DEAE, MRV-5111186314, MRV-DADF62564D, MRV-6CCC15B908, MRV-400D0687E7, MRV-2A73EC1D9D, MRV-46C31FE882, MRV-9BC441D505, MRV-1DE7E3E9ED, MRV-F177B3A8F4, MRV-D679C41250 +107 more</x:v>
      </x:c>
      <x:c r="F9" s="146" t="str">
        <x:v>Use “route” for sequence, direction, transfers and route health. Use “plan” for the broader trip, including dates, stays and prep.</x:v>
      </x:c>
      <x:c r="G9" s="128" t="str">
        <x:v>Do not use “route” to imply the whole trip is ready.</x:v>
      </x:c>
      <x:c r="H9" s="137" t="str">
        <x:v>Review recommendation only — no original-row decision set</x:v>
      </x:c>
    </x:row>
    <x:row r="10" ht="52" customHeight="1">
      <x:c r="A10" s="128" t="str">
        <x:v>TERM-04</x:v>
      </x:c>
      <x:c r="B10" s="128" t="str">
        <x:v>Ready / sorted / booked</x:v>
      </x:c>
      <x:c r="C10" s="128" t="n">
        <x:v>40</x:v>
      </x:c>
      <x:c r="D10" s="128" t="str">
        <x:v>Affiliate disclosure · Sign in / recovery · New trip builder · Passport · Trip mode · Overview +3 more</x:v>
      </x:c>
      <x:c r="E10" s="128" t="str">
        <x:v>MRV-0AA5C0C156, MRV-BC5EB55A82, MRV-348F9CB0EE, MRV-A897740F05, MRV-50EE6DB98E, MRV-4622DFF227, MRV-42B9B78459, MRV-8B5054C5EC, MRV-4C28E90013, MRV-4F62DB77BF, MRV-ED8BB2DE63, MRV-813F5DA539, MRV-4344AC8F40, MRV-C654FFD094, MRV-7F4BCFEEF6, MRV-3B2EDA1914, MRV-497CE19AB2, MRV-A33189D7C0 +22 more</x:v>
      </x:c>
      <x:c r="F10" s="146" t="str">
        <x:v>Use “ready” only for the shared readiness state. Use “booked” only for confirmed bookings. Avoid “sorted” as a traveller-facing completion claim.</x:v>
      </x:c>
      <x:c r="G10" s="128" t="str">
        <x:v>A plan can be planned yet not ready; a stay can be booked without making the trip ready.</x:v>
      </x:c>
      <x:c r="H10" s="137" t="str">
        <x:v>Review recommendation only — no original-row decision set</x:v>
      </x:c>
    </x:row>
    <x:row r="11" ht="52" customHeight="1">
      <x:c r="A11" s="129" t="str">
        <x:v>TERM-05</x:v>
      </x:c>
      <x:c r="B11" s="129" t="str">
        <x:v>Error / recovery</x:v>
      </x:c>
      <x:c r="C11" s="129" t="n">
        <x:v>4</x:v>
      </x:c>
      <x:c r="D11" s="129" t="str">
        <x:v>Dashboard · New trip builder · Trip mode</x:v>
      </x:c>
      <x:c r="E11" s="129" t="str">
        <x:v>MRV-D395D96D81, MRV-5467407803, MRV-F1FD458F92, MRV-1AE5A754D5</x:v>
      </x:c>
      <x:c r="F11" s="147" t="str">
        <x:v>Use direct, specific recovery wording: what failed, whether work is preserved, and one next action.</x:v>
      </x:c>
      <x:c r="G11" s="129" t="str">
        <x:v>Keep legal, passport, ownership and privacy nuance when it changes what the traveller can safely do.</x:v>
      </x:c>
      <x:c r="H11" s="138" t="str">
        <x:v>Review recommendation only — no original-row decision set</x:v>
      </x:c>
    </x:row>
  </x:sheetData>
  <x:mergeCells>
    <x:mergeCell ref="A1:H1"/>
    <x:mergeCell ref="A2:H2"/>
    <x:mergeCell ref="A4:H4"/>
  </x:mergeCells>
  <x:pageMargins left="0.7" right="0.7" top="0.75" bottom="0.75" header="0.3" footer="0.3"/>
  <x:tableParts count="1">
    <x:tablePart xmlns:r="http://schemas.openxmlformats.org/officeDocument/2006/relationships" r:id="R6eaaee5c52f04dd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24" hidden="0" customWidth="1"/>
    <x:col min="4" max="4" width="28" hidden="0" customWidth="1"/>
    <x:col min="5" max="5" width="24" hidden="0" customWidth="1"/>
    <x:col min="6" max="6" width="42" hidden="0" customWidth="1"/>
    <x:col min="7" max="7" width="32" hidden="0" customWidth="1"/>
    <x:col min="8" max="8" width="64" hidden="0" customWidth="1"/>
  </x:cols>
  <x:sheetData>
    <x:row r="1" ht="30" customHeight="1">
      <x:c r="A1" s="85" t="str">
        <x:v>Context Review</x:v>
      </x:c>
    </x:row>
    <x:row r="2" ht="34" customHeight="1">
      <x:c r="A2" s="89" t="str">
        <x:v>Only source-backed context resolution belongs here. A resolved intent still does not accept or propagate a wording decision.</x:v>
      </x:c>
    </x:row>
    <x:row r="4" ht="48" customHeight="1">
      <x:c r="A4" s="149" t="str">
        <x:v>The supplied Summary reports 589 “Needs context” items, but no Copy Inventory row is marked Needs context in Review Status or Rationale / Notes. Result: 0 resolved; 589 remain ambiguous because they cannot be linked safely to Copy IDs. Restore row-level markers before resolving them. No copy decision was inferred.</x:v>
      </x:c>
    </x:row>
  </x:sheetData>
  <x:mergeCells>
    <x:mergeCell ref="A1:H1"/>
    <x:mergeCell ref="A2:H2"/>
    <x:mergeCell ref="A4:H4"/>
  </x:mergeCells>
  <x:pageMargins left="0.7" right="0.7" top="0.75" bottom="0.75" header="0.3" footer="0.3"/>
</x:worksheet>
</file>